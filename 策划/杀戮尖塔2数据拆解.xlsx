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\Desktop\简历\策划\"/>
    </mc:Choice>
  </mc:AlternateContent>
  <xr:revisionPtr revIDLastSave="0" documentId="13_ncr:1_{D6E0F5DE-338A-44B0-A3A0-C7B09CD49C79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卡牌总表" sheetId="1" r:id="rId1"/>
    <sheet name="牌效计算表" sheetId="2" r:id="rId2"/>
    <sheet name="参数" sheetId="3" r:id="rId3"/>
    <sheet name="思路记录" sheetId="4" r:id="rId4"/>
    <sheet name="费伤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401" i="2"/>
  <c r="M401" i="2"/>
  <c r="H401" i="2"/>
  <c r="F401" i="2"/>
  <c r="E401" i="2"/>
  <c r="D401" i="2"/>
  <c r="J401" i="2" s="1"/>
  <c r="C401" i="2"/>
  <c r="B401" i="2"/>
  <c r="A401" i="2"/>
  <c r="Q400" i="2"/>
  <c r="M400" i="2"/>
  <c r="L400" i="2"/>
  <c r="N400" i="2" s="1"/>
  <c r="P400" i="2" s="1"/>
  <c r="J400" i="2"/>
  <c r="I400" i="2"/>
  <c r="K400" i="2" s="1"/>
  <c r="H400" i="2"/>
  <c r="F400" i="2"/>
  <c r="E400" i="2"/>
  <c r="D400" i="2"/>
  <c r="C400" i="2"/>
  <c r="B400" i="2"/>
  <c r="A400" i="2"/>
  <c r="Q399" i="2"/>
  <c r="M399" i="2"/>
  <c r="J399" i="2"/>
  <c r="H399" i="2"/>
  <c r="F399" i="2"/>
  <c r="E399" i="2"/>
  <c r="D399" i="2"/>
  <c r="C399" i="2"/>
  <c r="B399" i="2"/>
  <c r="A399" i="2"/>
  <c r="Q398" i="2"/>
  <c r="N398" i="2"/>
  <c r="P398" i="2" s="1"/>
  <c r="M398" i="2"/>
  <c r="L398" i="2"/>
  <c r="K398" i="2"/>
  <c r="J398" i="2"/>
  <c r="I398" i="2"/>
  <c r="H398" i="2"/>
  <c r="F398" i="2"/>
  <c r="E398" i="2"/>
  <c r="D398" i="2"/>
  <c r="C398" i="2"/>
  <c r="B398" i="2"/>
  <c r="A398" i="2"/>
  <c r="Q397" i="2"/>
  <c r="M397" i="2"/>
  <c r="J397" i="2"/>
  <c r="H397" i="2"/>
  <c r="F397" i="2"/>
  <c r="E397" i="2"/>
  <c r="D397" i="2"/>
  <c r="C397" i="2"/>
  <c r="B397" i="2"/>
  <c r="A397" i="2"/>
  <c r="Q396" i="2"/>
  <c r="M396" i="2"/>
  <c r="L396" i="2"/>
  <c r="N396" i="2" s="1"/>
  <c r="P396" i="2" s="1"/>
  <c r="K396" i="2"/>
  <c r="J396" i="2"/>
  <c r="I396" i="2"/>
  <c r="H396" i="2"/>
  <c r="F396" i="2"/>
  <c r="E396" i="2"/>
  <c r="D396" i="2"/>
  <c r="C396" i="2"/>
  <c r="B396" i="2"/>
  <c r="A396" i="2"/>
  <c r="Q395" i="2"/>
  <c r="M395" i="2"/>
  <c r="J395" i="2"/>
  <c r="H395" i="2"/>
  <c r="F395" i="2"/>
  <c r="E395" i="2"/>
  <c r="D395" i="2"/>
  <c r="C395" i="2"/>
  <c r="B395" i="2"/>
  <c r="A395" i="2"/>
  <c r="Q394" i="2"/>
  <c r="M394" i="2"/>
  <c r="J394" i="2"/>
  <c r="H394" i="2"/>
  <c r="F394" i="2"/>
  <c r="E394" i="2"/>
  <c r="D394" i="2"/>
  <c r="C394" i="2"/>
  <c r="B394" i="2"/>
  <c r="A394" i="2"/>
  <c r="Q393" i="2"/>
  <c r="P393" i="2"/>
  <c r="M393" i="2"/>
  <c r="L393" i="2"/>
  <c r="N393" i="2" s="1"/>
  <c r="J393" i="2"/>
  <c r="H393" i="2"/>
  <c r="F393" i="2"/>
  <c r="E393" i="2"/>
  <c r="D393" i="2"/>
  <c r="C393" i="2"/>
  <c r="B393" i="2"/>
  <c r="A393" i="2"/>
  <c r="Q392" i="2"/>
  <c r="N392" i="2"/>
  <c r="M392" i="2"/>
  <c r="L392" i="2"/>
  <c r="J392" i="2"/>
  <c r="H392" i="2"/>
  <c r="P392" i="2" s="1"/>
  <c r="F392" i="2"/>
  <c r="E392" i="2"/>
  <c r="D392" i="2"/>
  <c r="C392" i="2"/>
  <c r="B392" i="2"/>
  <c r="A392" i="2"/>
  <c r="Q391" i="2"/>
  <c r="N391" i="2"/>
  <c r="M391" i="2"/>
  <c r="L391" i="2"/>
  <c r="K391" i="2"/>
  <c r="J391" i="2"/>
  <c r="I391" i="2"/>
  <c r="H391" i="2"/>
  <c r="F391" i="2"/>
  <c r="E391" i="2"/>
  <c r="D391" i="2"/>
  <c r="C391" i="2"/>
  <c r="B391" i="2"/>
  <c r="A391" i="2"/>
  <c r="Q390" i="2"/>
  <c r="M390" i="2"/>
  <c r="N390" i="2" s="1"/>
  <c r="L390" i="2"/>
  <c r="J390" i="2"/>
  <c r="I390" i="2"/>
  <c r="H390" i="2"/>
  <c r="F390" i="2"/>
  <c r="E390" i="2"/>
  <c r="D390" i="2"/>
  <c r="C390" i="2"/>
  <c r="B390" i="2"/>
  <c r="A390" i="2"/>
  <c r="Q389" i="2"/>
  <c r="P389" i="2"/>
  <c r="M389" i="2"/>
  <c r="N389" i="2" s="1"/>
  <c r="L389" i="2"/>
  <c r="J389" i="2"/>
  <c r="I389" i="2"/>
  <c r="H389" i="2"/>
  <c r="F389" i="2"/>
  <c r="E389" i="2"/>
  <c r="D389" i="2"/>
  <c r="C389" i="2"/>
  <c r="B389" i="2"/>
  <c r="A389" i="2"/>
  <c r="Q388" i="2"/>
  <c r="M388" i="2"/>
  <c r="L388" i="2"/>
  <c r="N388" i="2" s="1"/>
  <c r="J388" i="2"/>
  <c r="K388" i="2" s="1"/>
  <c r="O388" i="2" s="1"/>
  <c r="I388" i="2"/>
  <c r="H388" i="2"/>
  <c r="F388" i="2"/>
  <c r="E388" i="2"/>
  <c r="D388" i="2"/>
  <c r="C388" i="2"/>
  <c r="B388" i="2"/>
  <c r="A388" i="2"/>
  <c r="Q387" i="2"/>
  <c r="M387" i="2"/>
  <c r="L387" i="2"/>
  <c r="N387" i="2" s="1"/>
  <c r="P387" i="2" s="1"/>
  <c r="J387" i="2"/>
  <c r="I387" i="2"/>
  <c r="K387" i="2" s="1"/>
  <c r="H387" i="2"/>
  <c r="F387" i="2"/>
  <c r="E387" i="2"/>
  <c r="D387" i="2"/>
  <c r="C387" i="2"/>
  <c r="B387" i="2"/>
  <c r="A387" i="2"/>
  <c r="Q386" i="2"/>
  <c r="M386" i="2"/>
  <c r="N386" i="2" s="1"/>
  <c r="P386" i="2" s="1"/>
  <c r="L386" i="2"/>
  <c r="J386" i="2"/>
  <c r="K386" i="2" s="1"/>
  <c r="O386" i="2" s="1"/>
  <c r="I386" i="2"/>
  <c r="H386" i="2"/>
  <c r="G386" i="2"/>
  <c r="F386" i="2"/>
  <c r="E386" i="2"/>
  <c r="D386" i="2"/>
  <c r="C386" i="2"/>
  <c r="B386" i="2"/>
  <c r="A386" i="2"/>
  <c r="Q385" i="2"/>
  <c r="M385" i="2"/>
  <c r="L385" i="2"/>
  <c r="N385" i="2" s="1"/>
  <c r="P385" i="2" s="1"/>
  <c r="J385" i="2"/>
  <c r="H385" i="2"/>
  <c r="F385" i="2"/>
  <c r="E385" i="2"/>
  <c r="D385" i="2"/>
  <c r="C385" i="2"/>
  <c r="B385" i="2"/>
  <c r="A385" i="2"/>
  <c r="Q384" i="2"/>
  <c r="M384" i="2"/>
  <c r="L384" i="2"/>
  <c r="N384" i="2" s="1"/>
  <c r="P384" i="2" s="1"/>
  <c r="J384" i="2"/>
  <c r="I384" i="2"/>
  <c r="K384" i="2" s="1"/>
  <c r="H384" i="2"/>
  <c r="F384" i="2"/>
  <c r="E384" i="2"/>
  <c r="D384" i="2"/>
  <c r="C384" i="2"/>
  <c r="B384" i="2"/>
  <c r="A384" i="2"/>
  <c r="Q383" i="2"/>
  <c r="N383" i="2"/>
  <c r="P383" i="2" s="1"/>
  <c r="M383" i="2"/>
  <c r="L383" i="2"/>
  <c r="J383" i="2"/>
  <c r="I383" i="2"/>
  <c r="K383" i="2" s="1"/>
  <c r="H383" i="2"/>
  <c r="F383" i="2"/>
  <c r="E383" i="2"/>
  <c r="D383" i="2"/>
  <c r="C383" i="2"/>
  <c r="B383" i="2"/>
  <c r="A383" i="2"/>
  <c r="Q382" i="2"/>
  <c r="P382" i="2"/>
  <c r="N382" i="2"/>
  <c r="M382" i="2"/>
  <c r="L382" i="2"/>
  <c r="J382" i="2"/>
  <c r="K382" i="2" s="1"/>
  <c r="O382" i="2" s="1"/>
  <c r="I382" i="2"/>
  <c r="H382" i="2"/>
  <c r="G382" i="2"/>
  <c r="F382" i="2"/>
  <c r="E382" i="2"/>
  <c r="D382" i="2"/>
  <c r="C382" i="2"/>
  <c r="B382" i="2"/>
  <c r="A382" i="2"/>
  <c r="Q381" i="2"/>
  <c r="P381" i="2"/>
  <c r="M381" i="2"/>
  <c r="L381" i="2"/>
  <c r="N381" i="2" s="1"/>
  <c r="K381" i="2"/>
  <c r="J381" i="2"/>
  <c r="I381" i="2"/>
  <c r="H381" i="2"/>
  <c r="F381" i="2"/>
  <c r="E381" i="2"/>
  <c r="D381" i="2"/>
  <c r="C381" i="2"/>
  <c r="B381" i="2"/>
  <c r="A381" i="2"/>
  <c r="Q380" i="2"/>
  <c r="M380" i="2"/>
  <c r="J380" i="2"/>
  <c r="H380" i="2"/>
  <c r="F380" i="2"/>
  <c r="E380" i="2"/>
  <c r="D380" i="2"/>
  <c r="C380" i="2"/>
  <c r="B380" i="2"/>
  <c r="A380" i="2"/>
  <c r="Q379" i="2"/>
  <c r="N379" i="2"/>
  <c r="P379" i="2" s="1"/>
  <c r="M379" i="2"/>
  <c r="L379" i="2"/>
  <c r="K379" i="2"/>
  <c r="J379" i="2"/>
  <c r="I379" i="2"/>
  <c r="H379" i="2"/>
  <c r="F379" i="2"/>
  <c r="E379" i="2"/>
  <c r="D379" i="2"/>
  <c r="C379" i="2"/>
  <c r="B379" i="2"/>
  <c r="A379" i="2"/>
  <c r="Q378" i="2"/>
  <c r="M378" i="2"/>
  <c r="J378" i="2"/>
  <c r="H378" i="2"/>
  <c r="F378" i="2"/>
  <c r="E378" i="2"/>
  <c r="D378" i="2"/>
  <c r="C378" i="2"/>
  <c r="B378" i="2"/>
  <c r="A378" i="2"/>
  <c r="Q377" i="2"/>
  <c r="M377" i="2"/>
  <c r="N377" i="2" s="1"/>
  <c r="P377" i="2" s="1"/>
  <c r="L377" i="2"/>
  <c r="J377" i="2"/>
  <c r="K377" i="2" s="1"/>
  <c r="I377" i="2"/>
  <c r="H377" i="2"/>
  <c r="F377" i="2"/>
  <c r="E377" i="2"/>
  <c r="D377" i="2"/>
  <c r="C377" i="2"/>
  <c r="B377" i="2"/>
  <c r="A377" i="2"/>
  <c r="Q376" i="2"/>
  <c r="M376" i="2"/>
  <c r="J376" i="2"/>
  <c r="H376" i="2"/>
  <c r="F376" i="2"/>
  <c r="E376" i="2"/>
  <c r="D376" i="2"/>
  <c r="C376" i="2"/>
  <c r="B376" i="2"/>
  <c r="A376" i="2"/>
  <c r="Q375" i="2"/>
  <c r="M375" i="2"/>
  <c r="L375" i="2"/>
  <c r="N375" i="2" s="1"/>
  <c r="P375" i="2" s="1"/>
  <c r="J375" i="2"/>
  <c r="I375" i="2"/>
  <c r="K375" i="2" s="1"/>
  <c r="H375" i="2"/>
  <c r="G375" i="2"/>
  <c r="F375" i="2"/>
  <c r="E375" i="2"/>
  <c r="D375" i="2"/>
  <c r="C375" i="2"/>
  <c r="B375" i="2"/>
  <c r="A375" i="2"/>
  <c r="Q374" i="2"/>
  <c r="M374" i="2"/>
  <c r="L374" i="2"/>
  <c r="N374" i="2" s="1"/>
  <c r="P374" i="2" s="1"/>
  <c r="J374" i="2"/>
  <c r="I374" i="2"/>
  <c r="K374" i="2" s="1"/>
  <c r="H374" i="2"/>
  <c r="F374" i="2"/>
  <c r="E374" i="2"/>
  <c r="D374" i="2"/>
  <c r="C374" i="2"/>
  <c r="B374" i="2"/>
  <c r="A374" i="2"/>
  <c r="Q373" i="2"/>
  <c r="M373" i="2"/>
  <c r="J373" i="2"/>
  <c r="H373" i="2"/>
  <c r="F373" i="2"/>
  <c r="E373" i="2"/>
  <c r="D373" i="2"/>
  <c r="C373" i="2"/>
  <c r="B373" i="2"/>
  <c r="A373" i="2"/>
  <c r="Q372" i="2"/>
  <c r="M372" i="2"/>
  <c r="J372" i="2"/>
  <c r="H372" i="2"/>
  <c r="F372" i="2"/>
  <c r="E372" i="2"/>
  <c r="D372" i="2"/>
  <c r="C372" i="2"/>
  <c r="B372" i="2"/>
  <c r="A372" i="2"/>
  <c r="Q371" i="2"/>
  <c r="M371" i="2"/>
  <c r="L371" i="2"/>
  <c r="N371" i="2" s="1"/>
  <c r="P371" i="2" s="1"/>
  <c r="K371" i="2"/>
  <c r="J371" i="2"/>
  <c r="I371" i="2"/>
  <c r="H371" i="2"/>
  <c r="F371" i="2"/>
  <c r="E371" i="2"/>
  <c r="D371" i="2"/>
  <c r="C371" i="2"/>
  <c r="B371" i="2"/>
  <c r="A371" i="2"/>
  <c r="Q370" i="2"/>
  <c r="M370" i="2"/>
  <c r="L370" i="2"/>
  <c r="N370" i="2" s="1"/>
  <c r="P370" i="2" s="1"/>
  <c r="K370" i="2"/>
  <c r="J370" i="2"/>
  <c r="I370" i="2"/>
  <c r="H370" i="2"/>
  <c r="F370" i="2"/>
  <c r="E370" i="2"/>
  <c r="D370" i="2"/>
  <c r="C370" i="2"/>
  <c r="B370" i="2"/>
  <c r="A370" i="2"/>
  <c r="Q369" i="2"/>
  <c r="N369" i="2"/>
  <c r="M369" i="2"/>
  <c r="L369" i="2"/>
  <c r="J369" i="2"/>
  <c r="I369" i="2"/>
  <c r="K369" i="2" s="1"/>
  <c r="O369" i="2" s="1"/>
  <c r="H369" i="2"/>
  <c r="F369" i="2"/>
  <c r="E369" i="2"/>
  <c r="D369" i="2"/>
  <c r="C369" i="2"/>
  <c r="B369" i="2"/>
  <c r="A369" i="2"/>
  <c r="Q368" i="2"/>
  <c r="M368" i="2"/>
  <c r="L368" i="2"/>
  <c r="J368" i="2"/>
  <c r="I368" i="2"/>
  <c r="K368" i="2" s="1"/>
  <c r="O368" i="2" s="1"/>
  <c r="H368" i="2"/>
  <c r="F368" i="2"/>
  <c r="E368" i="2"/>
  <c r="D368" i="2"/>
  <c r="C368" i="2"/>
  <c r="B368" i="2"/>
  <c r="A368" i="2"/>
  <c r="Q367" i="2"/>
  <c r="M367" i="2"/>
  <c r="N367" i="2" s="1"/>
  <c r="P367" i="2" s="1"/>
  <c r="L367" i="2"/>
  <c r="J367" i="2"/>
  <c r="I367" i="2"/>
  <c r="K367" i="2" s="1"/>
  <c r="H367" i="2"/>
  <c r="F367" i="2"/>
  <c r="E367" i="2"/>
  <c r="D367" i="2"/>
  <c r="C367" i="2"/>
  <c r="B367" i="2"/>
  <c r="A367" i="2"/>
  <c r="Q366" i="2"/>
  <c r="N366" i="2"/>
  <c r="P366" i="2" s="1"/>
  <c r="M366" i="2"/>
  <c r="L366" i="2"/>
  <c r="K366" i="2"/>
  <c r="J366" i="2"/>
  <c r="I366" i="2"/>
  <c r="H366" i="2"/>
  <c r="F366" i="2"/>
  <c r="E366" i="2"/>
  <c r="D366" i="2"/>
  <c r="C366" i="2"/>
  <c r="B366" i="2"/>
  <c r="A366" i="2"/>
  <c r="Q365" i="2"/>
  <c r="M365" i="2"/>
  <c r="L365" i="2"/>
  <c r="N365" i="2" s="1"/>
  <c r="K365" i="2"/>
  <c r="J365" i="2"/>
  <c r="I365" i="2"/>
  <c r="H365" i="2"/>
  <c r="F365" i="2"/>
  <c r="E365" i="2"/>
  <c r="D365" i="2"/>
  <c r="C365" i="2"/>
  <c r="B365" i="2"/>
  <c r="A365" i="2"/>
  <c r="Q364" i="2"/>
  <c r="P364" i="2"/>
  <c r="M364" i="2"/>
  <c r="L364" i="2"/>
  <c r="N364" i="2" s="1"/>
  <c r="J364" i="2"/>
  <c r="K364" i="2" s="1"/>
  <c r="I364" i="2"/>
  <c r="H364" i="2"/>
  <c r="F364" i="2"/>
  <c r="E364" i="2"/>
  <c r="D364" i="2"/>
  <c r="C364" i="2"/>
  <c r="B364" i="2"/>
  <c r="A364" i="2"/>
  <c r="Q363" i="2"/>
  <c r="M363" i="2"/>
  <c r="N363" i="2" s="1"/>
  <c r="P363" i="2" s="1"/>
  <c r="L363" i="2"/>
  <c r="J363" i="2"/>
  <c r="I363" i="2"/>
  <c r="H363" i="2"/>
  <c r="G363" i="2"/>
  <c r="F363" i="2"/>
  <c r="E363" i="2"/>
  <c r="D363" i="2"/>
  <c r="C363" i="2"/>
  <c r="B363" i="2"/>
  <c r="A363" i="2"/>
  <c r="Q362" i="2"/>
  <c r="M362" i="2"/>
  <c r="L362" i="2"/>
  <c r="N362" i="2" s="1"/>
  <c r="P362" i="2" s="1"/>
  <c r="J362" i="2"/>
  <c r="I362" i="2"/>
  <c r="K362" i="2" s="1"/>
  <c r="H362" i="2"/>
  <c r="F362" i="2"/>
  <c r="E362" i="2"/>
  <c r="D362" i="2"/>
  <c r="C362" i="2"/>
  <c r="B362" i="2"/>
  <c r="A362" i="2"/>
  <c r="Q361" i="2"/>
  <c r="P361" i="2"/>
  <c r="M361" i="2"/>
  <c r="L361" i="2"/>
  <c r="N361" i="2" s="1"/>
  <c r="J361" i="2"/>
  <c r="I361" i="2"/>
  <c r="K361" i="2" s="1"/>
  <c r="H361" i="2"/>
  <c r="F361" i="2"/>
  <c r="E361" i="2"/>
  <c r="D361" i="2"/>
  <c r="C361" i="2"/>
  <c r="B361" i="2"/>
  <c r="A361" i="2"/>
  <c r="Q360" i="2"/>
  <c r="M360" i="2"/>
  <c r="J360" i="2"/>
  <c r="H360" i="2"/>
  <c r="G360" i="2"/>
  <c r="F360" i="2"/>
  <c r="E360" i="2"/>
  <c r="D360" i="2"/>
  <c r="C360" i="2"/>
  <c r="B360" i="2"/>
  <c r="A360" i="2"/>
  <c r="Q359" i="2"/>
  <c r="N359" i="2"/>
  <c r="P359" i="2" s="1"/>
  <c r="M359" i="2"/>
  <c r="L359" i="2"/>
  <c r="K359" i="2"/>
  <c r="J359" i="2"/>
  <c r="I359" i="2"/>
  <c r="H359" i="2"/>
  <c r="F359" i="2"/>
  <c r="E359" i="2"/>
  <c r="D359" i="2"/>
  <c r="C359" i="2"/>
  <c r="B359" i="2"/>
  <c r="A359" i="2"/>
  <c r="Q358" i="2"/>
  <c r="M358" i="2"/>
  <c r="N358" i="2" s="1"/>
  <c r="P358" i="2" s="1"/>
  <c r="L358" i="2"/>
  <c r="J358" i="2"/>
  <c r="I358" i="2"/>
  <c r="K358" i="2" s="1"/>
  <c r="H358" i="2"/>
  <c r="F358" i="2"/>
  <c r="E358" i="2"/>
  <c r="D358" i="2"/>
  <c r="C358" i="2"/>
  <c r="B358" i="2"/>
  <c r="A358" i="2"/>
  <c r="Q357" i="2"/>
  <c r="M357" i="2"/>
  <c r="N357" i="2" s="1"/>
  <c r="P357" i="2" s="1"/>
  <c r="L357" i="2"/>
  <c r="J357" i="2"/>
  <c r="H357" i="2"/>
  <c r="F357" i="2"/>
  <c r="E357" i="2"/>
  <c r="D357" i="2"/>
  <c r="C357" i="2"/>
  <c r="B357" i="2"/>
  <c r="A357" i="2"/>
  <c r="Q356" i="2"/>
  <c r="M356" i="2"/>
  <c r="L356" i="2"/>
  <c r="N356" i="2" s="1"/>
  <c r="J356" i="2"/>
  <c r="H356" i="2"/>
  <c r="F356" i="2"/>
  <c r="E356" i="2"/>
  <c r="D356" i="2"/>
  <c r="C356" i="2"/>
  <c r="B356" i="2"/>
  <c r="A356" i="2"/>
  <c r="Q355" i="2"/>
  <c r="M355" i="2"/>
  <c r="L355" i="2"/>
  <c r="N355" i="2" s="1"/>
  <c r="P355" i="2" s="1"/>
  <c r="J355" i="2"/>
  <c r="I355" i="2"/>
  <c r="K355" i="2" s="1"/>
  <c r="H355" i="2"/>
  <c r="F355" i="2"/>
  <c r="E355" i="2"/>
  <c r="D355" i="2"/>
  <c r="C355" i="2"/>
  <c r="B355" i="2"/>
  <c r="A355" i="2"/>
  <c r="Q354" i="2"/>
  <c r="N354" i="2"/>
  <c r="M354" i="2"/>
  <c r="L354" i="2"/>
  <c r="J354" i="2"/>
  <c r="K354" i="2" s="1"/>
  <c r="I354" i="2"/>
  <c r="H354" i="2"/>
  <c r="F354" i="2"/>
  <c r="E354" i="2"/>
  <c r="D354" i="2"/>
  <c r="C354" i="2"/>
  <c r="B354" i="2"/>
  <c r="A354" i="2"/>
  <c r="Q353" i="2"/>
  <c r="M353" i="2"/>
  <c r="L353" i="2"/>
  <c r="N353" i="2" s="1"/>
  <c r="P353" i="2" s="1"/>
  <c r="K353" i="2"/>
  <c r="O353" i="2" s="1"/>
  <c r="J353" i="2"/>
  <c r="I353" i="2"/>
  <c r="H353" i="2"/>
  <c r="F353" i="2"/>
  <c r="E353" i="2"/>
  <c r="D353" i="2"/>
  <c r="C353" i="2"/>
  <c r="B353" i="2"/>
  <c r="A353" i="2"/>
  <c r="Q352" i="2"/>
  <c r="M352" i="2"/>
  <c r="L352" i="2"/>
  <c r="N352" i="2" s="1"/>
  <c r="P352" i="2" s="1"/>
  <c r="J352" i="2"/>
  <c r="I352" i="2"/>
  <c r="H352" i="2"/>
  <c r="F352" i="2"/>
  <c r="E352" i="2"/>
  <c r="D352" i="2"/>
  <c r="C352" i="2"/>
  <c r="B352" i="2"/>
  <c r="A352" i="2"/>
  <c r="Q351" i="2"/>
  <c r="P351" i="2"/>
  <c r="N351" i="2"/>
  <c r="M351" i="2"/>
  <c r="L351" i="2"/>
  <c r="J351" i="2"/>
  <c r="I351" i="2"/>
  <c r="K351" i="2" s="1"/>
  <c r="H351" i="2"/>
  <c r="F351" i="2"/>
  <c r="E351" i="2"/>
  <c r="D351" i="2"/>
  <c r="C351" i="2"/>
  <c r="B351" i="2"/>
  <c r="A351" i="2"/>
  <c r="Q350" i="2"/>
  <c r="M350" i="2"/>
  <c r="L350" i="2"/>
  <c r="N350" i="2" s="1"/>
  <c r="P350" i="2" s="1"/>
  <c r="J350" i="2"/>
  <c r="H350" i="2"/>
  <c r="F350" i="2"/>
  <c r="E350" i="2"/>
  <c r="D350" i="2"/>
  <c r="C350" i="2"/>
  <c r="B350" i="2"/>
  <c r="A350" i="2"/>
  <c r="Q349" i="2"/>
  <c r="M349" i="2"/>
  <c r="L349" i="2"/>
  <c r="N349" i="2" s="1"/>
  <c r="P349" i="2" s="1"/>
  <c r="J349" i="2"/>
  <c r="I349" i="2"/>
  <c r="K349" i="2" s="1"/>
  <c r="O349" i="2" s="1"/>
  <c r="H349" i="2"/>
  <c r="F349" i="2"/>
  <c r="E349" i="2"/>
  <c r="D349" i="2"/>
  <c r="C349" i="2"/>
  <c r="B349" i="2"/>
  <c r="A349" i="2"/>
  <c r="Q348" i="2"/>
  <c r="M348" i="2"/>
  <c r="L348" i="2"/>
  <c r="N348" i="2" s="1"/>
  <c r="P348" i="2" s="1"/>
  <c r="J348" i="2"/>
  <c r="H348" i="2"/>
  <c r="G348" i="2"/>
  <c r="F348" i="2"/>
  <c r="E348" i="2"/>
  <c r="D348" i="2"/>
  <c r="C348" i="2"/>
  <c r="B348" i="2"/>
  <c r="A348" i="2"/>
  <c r="Q347" i="2"/>
  <c r="N347" i="2"/>
  <c r="P347" i="2" s="1"/>
  <c r="M347" i="2"/>
  <c r="L347" i="2"/>
  <c r="K347" i="2"/>
  <c r="J347" i="2"/>
  <c r="I347" i="2"/>
  <c r="H347" i="2"/>
  <c r="F347" i="2"/>
  <c r="E347" i="2"/>
  <c r="D347" i="2"/>
  <c r="C347" i="2"/>
  <c r="B347" i="2"/>
  <c r="A347" i="2"/>
  <c r="Q346" i="2"/>
  <c r="N346" i="2"/>
  <c r="P346" i="2" s="1"/>
  <c r="M346" i="2"/>
  <c r="L346" i="2"/>
  <c r="J346" i="2"/>
  <c r="I346" i="2"/>
  <c r="K346" i="2" s="1"/>
  <c r="H346" i="2"/>
  <c r="F346" i="2"/>
  <c r="E346" i="2"/>
  <c r="D346" i="2"/>
  <c r="C346" i="2"/>
  <c r="B346" i="2"/>
  <c r="A346" i="2"/>
  <c r="Q345" i="2"/>
  <c r="M345" i="2"/>
  <c r="N345" i="2" s="1"/>
  <c r="P345" i="2" s="1"/>
  <c r="L345" i="2"/>
  <c r="J345" i="2"/>
  <c r="K345" i="2" s="1"/>
  <c r="I345" i="2"/>
  <c r="H345" i="2"/>
  <c r="F345" i="2"/>
  <c r="E345" i="2"/>
  <c r="D345" i="2"/>
  <c r="C345" i="2"/>
  <c r="B345" i="2"/>
  <c r="A345" i="2"/>
  <c r="Q344" i="2"/>
  <c r="M344" i="2"/>
  <c r="J344" i="2"/>
  <c r="H344" i="2"/>
  <c r="F344" i="2"/>
  <c r="E344" i="2"/>
  <c r="D344" i="2"/>
  <c r="C344" i="2"/>
  <c r="B344" i="2"/>
  <c r="A344" i="2"/>
  <c r="Q343" i="2"/>
  <c r="M343" i="2"/>
  <c r="L343" i="2"/>
  <c r="N343" i="2" s="1"/>
  <c r="J343" i="2"/>
  <c r="F343" i="2"/>
  <c r="E343" i="2"/>
  <c r="D343" i="2"/>
  <c r="B343" i="2"/>
  <c r="A343" i="2"/>
  <c r="Q342" i="2"/>
  <c r="M342" i="2"/>
  <c r="L342" i="2"/>
  <c r="J342" i="2"/>
  <c r="I342" i="2"/>
  <c r="K342" i="2" s="1"/>
  <c r="H342" i="2"/>
  <c r="F342" i="2"/>
  <c r="E342" i="2"/>
  <c r="D342" i="2"/>
  <c r="B342" i="2"/>
  <c r="A342" i="2"/>
  <c r="Q341" i="2"/>
  <c r="N341" i="2"/>
  <c r="P341" i="2" s="1"/>
  <c r="M341" i="2"/>
  <c r="L341" i="2"/>
  <c r="J341" i="2"/>
  <c r="I341" i="2"/>
  <c r="K341" i="2" s="1"/>
  <c r="H341" i="2"/>
  <c r="F341" i="2"/>
  <c r="E341" i="2"/>
  <c r="D341" i="2"/>
  <c r="C341" i="2"/>
  <c r="B341" i="2"/>
  <c r="A341" i="2"/>
  <c r="Q340" i="2"/>
  <c r="N340" i="2"/>
  <c r="M340" i="2"/>
  <c r="L340" i="2"/>
  <c r="K340" i="2"/>
  <c r="J340" i="2"/>
  <c r="I340" i="2"/>
  <c r="H340" i="2"/>
  <c r="F340" i="2"/>
  <c r="E340" i="2"/>
  <c r="D340" i="2"/>
  <c r="C340" i="2"/>
  <c r="B340" i="2"/>
  <c r="A340" i="2"/>
  <c r="Q339" i="2"/>
  <c r="M339" i="2"/>
  <c r="L339" i="2"/>
  <c r="N339" i="2" s="1"/>
  <c r="P339" i="2" s="1"/>
  <c r="J339" i="2"/>
  <c r="I339" i="2"/>
  <c r="K339" i="2" s="1"/>
  <c r="H339" i="2"/>
  <c r="F339" i="2"/>
  <c r="E339" i="2"/>
  <c r="D339" i="2"/>
  <c r="C339" i="2"/>
  <c r="B339" i="2"/>
  <c r="A339" i="2"/>
  <c r="Q338" i="2"/>
  <c r="M338" i="2"/>
  <c r="L338" i="2"/>
  <c r="K338" i="2"/>
  <c r="J338" i="2"/>
  <c r="I338" i="2"/>
  <c r="H338" i="2"/>
  <c r="F338" i="2"/>
  <c r="E338" i="2"/>
  <c r="D338" i="2"/>
  <c r="C338" i="2"/>
  <c r="B338" i="2"/>
  <c r="A338" i="2"/>
  <c r="Q337" i="2"/>
  <c r="M337" i="2"/>
  <c r="N337" i="2" s="1"/>
  <c r="P337" i="2" s="1"/>
  <c r="L337" i="2"/>
  <c r="J337" i="2"/>
  <c r="I337" i="2"/>
  <c r="K337" i="2" s="1"/>
  <c r="O337" i="2" s="1"/>
  <c r="H337" i="2"/>
  <c r="G337" i="2"/>
  <c r="F337" i="2"/>
  <c r="E337" i="2"/>
  <c r="D337" i="2"/>
  <c r="C337" i="2"/>
  <c r="B337" i="2"/>
  <c r="A337" i="2"/>
  <c r="Q336" i="2"/>
  <c r="M336" i="2"/>
  <c r="L336" i="2"/>
  <c r="N336" i="2" s="1"/>
  <c r="P336" i="2" s="1"/>
  <c r="J336" i="2"/>
  <c r="I336" i="2"/>
  <c r="K336" i="2" s="1"/>
  <c r="O336" i="2" s="1"/>
  <c r="H336" i="2"/>
  <c r="F336" i="2"/>
  <c r="E336" i="2"/>
  <c r="D336" i="2"/>
  <c r="C336" i="2"/>
  <c r="B336" i="2"/>
  <c r="A336" i="2"/>
  <c r="Q335" i="2"/>
  <c r="M335" i="2"/>
  <c r="J335" i="2"/>
  <c r="H335" i="2"/>
  <c r="F335" i="2"/>
  <c r="E335" i="2"/>
  <c r="D335" i="2"/>
  <c r="C335" i="2"/>
  <c r="B335" i="2"/>
  <c r="A335" i="2"/>
  <c r="Q334" i="2"/>
  <c r="M334" i="2"/>
  <c r="J334" i="2"/>
  <c r="H334" i="2"/>
  <c r="F334" i="2"/>
  <c r="E334" i="2"/>
  <c r="D334" i="2"/>
  <c r="C334" i="2"/>
  <c r="B334" i="2"/>
  <c r="A334" i="2"/>
  <c r="Q333" i="2"/>
  <c r="M333" i="2"/>
  <c r="L333" i="2"/>
  <c r="K333" i="2"/>
  <c r="J333" i="2"/>
  <c r="I333" i="2"/>
  <c r="H333" i="2"/>
  <c r="F333" i="2"/>
  <c r="E333" i="2"/>
  <c r="D333" i="2"/>
  <c r="C333" i="2"/>
  <c r="B333" i="2"/>
  <c r="A333" i="2"/>
  <c r="Q332" i="2"/>
  <c r="M332" i="2"/>
  <c r="L332" i="2"/>
  <c r="N332" i="2" s="1"/>
  <c r="P332" i="2" s="1"/>
  <c r="J332" i="2"/>
  <c r="K332" i="2" s="1"/>
  <c r="I332" i="2"/>
  <c r="H332" i="2"/>
  <c r="F332" i="2"/>
  <c r="E332" i="2"/>
  <c r="D332" i="2"/>
  <c r="C332" i="2"/>
  <c r="B332" i="2"/>
  <c r="A332" i="2"/>
  <c r="Q331" i="2"/>
  <c r="N331" i="2"/>
  <c r="P331" i="2" s="1"/>
  <c r="M331" i="2"/>
  <c r="L331" i="2"/>
  <c r="J331" i="2"/>
  <c r="I331" i="2"/>
  <c r="H331" i="2"/>
  <c r="G331" i="2"/>
  <c r="F331" i="2"/>
  <c r="E331" i="2"/>
  <c r="D331" i="2"/>
  <c r="C331" i="2"/>
  <c r="B331" i="2"/>
  <c r="A331" i="2"/>
  <c r="Q330" i="2"/>
  <c r="M330" i="2"/>
  <c r="L330" i="2"/>
  <c r="N330" i="2" s="1"/>
  <c r="P330" i="2" s="1"/>
  <c r="J330" i="2"/>
  <c r="I330" i="2"/>
  <c r="K330" i="2" s="1"/>
  <c r="H330" i="2"/>
  <c r="F330" i="2"/>
  <c r="E330" i="2"/>
  <c r="D330" i="2"/>
  <c r="C330" i="2"/>
  <c r="B330" i="2"/>
  <c r="A330" i="2"/>
  <c r="Q329" i="2"/>
  <c r="P329" i="2"/>
  <c r="M329" i="2"/>
  <c r="L329" i="2"/>
  <c r="N329" i="2" s="1"/>
  <c r="J329" i="2"/>
  <c r="I329" i="2"/>
  <c r="K329" i="2" s="1"/>
  <c r="H329" i="2"/>
  <c r="F329" i="2"/>
  <c r="E329" i="2"/>
  <c r="D329" i="2"/>
  <c r="C329" i="2"/>
  <c r="B329" i="2"/>
  <c r="A329" i="2"/>
  <c r="Q328" i="2"/>
  <c r="N328" i="2"/>
  <c r="M328" i="2"/>
  <c r="L328" i="2"/>
  <c r="K328" i="2"/>
  <c r="J328" i="2"/>
  <c r="I328" i="2"/>
  <c r="H328" i="2"/>
  <c r="F328" i="2"/>
  <c r="E328" i="2"/>
  <c r="D328" i="2"/>
  <c r="C328" i="2"/>
  <c r="B328" i="2"/>
  <c r="A328" i="2"/>
  <c r="Q327" i="2"/>
  <c r="N327" i="2"/>
  <c r="P327" i="2" s="1"/>
  <c r="M327" i="2"/>
  <c r="L327" i="2"/>
  <c r="K327" i="2"/>
  <c r="J327" i="2"/>
  <c r="I327" i="2"/>
  <c r="H327" i="2"/>
  <c r="F327" i="2"/>
  <c r="E327" i="2"/>
  <c r="D327" i="2"/>
  <c r="C327" i="2"/>
  <c r="B327" i="2"/>
  <c r="A327" i="2"/>
  <c r="Q326" i="2"/>
  <c r="M326" i="2"/>
  <c r="N326" i="2" s="1"/>
  <c r="P326" i="2" s="1"/>
  <c r="L326" i="2"/>
  <c r="J326" i="2"/>
  <c r="I326" i="2"/>
  <c r="K326" i="2" s="1"/>
  <c r="H326" i="2"/>
  <c r="F326" i="2"/>
  <c r="E326" i="2"/>
  <c r="D326" i="2"/>
  <c r="C326" i="2"/>
  <c r="B326" i="2"/>
  <c r="A326" i="2"/>
  <c r="Q325" i="2"/>
  <c r="M325" i="2"/>
  <c r="N325" i="2" s="1"/>
  <c r="P325" i="2" s="1"/>
  <c r="L325" i="2"/>
  <c r="J325" i="2"/>
  <c r="I325" i="2"/>
  <c r="K325" i="2" s="1"/>
  <c r="H325" i="2"/>
  <c r="F325" i="2"/>
  <c r="E325" i="2"/>
  <c r="D325" i="2"/>
  <c r="C325" i="2"/>
  <c r="B325" i="2"/>
  <c r="A325" i="2"/>
  <c r="Q324" i="2"/>
  <c r="M324" i="2"/>
  <c r="L324" i="2"/>
  <c r="N324" i="2" s="1"/>
  <c r="P324" i="2" s="1"/>
  <c r="J324" i="2"/>
  <c r="I324" i="2"/>
  <c r="K324" i="2" s="1"/>
  <c r="O324" i="2" s="1"/>
  <c r="H324" i="2"/>
  <c r="F324" i="2"/>
  <c r="E324" i="2"/>
  <c r="D324" i="2"/>
  <c r="C324" i="2"/>
  <c r="B324" i="2"/>
  <c r="A324" i="2"/>
  <c r="Q323" i="2"/>
  <c r="P323" i="2"/>
  <c r="M323" i="2"/>
  <c r="L323" i="2"/>
  <c r="N323" i="2" s="1"/>
  <c r="J323" i="2"/>
  <c r="I323" i="2"/>
  <c r="H323" i="2"/>
  <c r="F323" i="2"/>
  <c r="E323" i="2"/>
  <c r="D323" i="2"/>
  <c r="C323" i="2"/>
  <c r="B323" i="2"/>
  <c r="A323" i="2"/>
  <c r="Q322" i="2"/>
  <c r="M322" i="2"/>
  <c r="L322" i="2"/>
  <c r="N322" i="2" s="1"/>
  <c r="P322" i="2" s="1"/>
  <c r="K322" i="2"/>
  <c r="J322" i="2"/>
  <c r="I322" i="2"/>
  <c r="H322" i="2"/>
  <c r="F322" i="2"/>
  <c r="E322" i="2"/>
  <c r="D322" i="2"/>
  <c r="C322" i="2"/>
  <c r="B322" i="2"/>
  <c r="A322" i="2"/>
  <c r="Q321" i="2"/>
  <c r="M321" i="2"/>
  <c r="J321" i="2"/>
  <c r="H321" i="2"/>
  <c r="F321" i="2"/>
  <c r="E321" i="2"/>
  <c r="D321" i="2"/>
  <c r="C321" i="2"/>
  <c r="B321" i="2"/>
  <c r="A321" i="2"/>
  <c r="Q320" i="2"/>
  <c r="M320" i="2"/>
  <c r="N320" i="2" s="1"/>
  <c r="P320" i="2" s="1"/>
  <c r="L320" i="2"/>
  <c r="J320" i="2"/>
  <c r="I320" i="2"/>
  <c r="K320" i="2" s="1"/>
  <c r="H320" i="2"/>
  <c r="F320" i="2"/>
  <c r="E320" i="2"/>
  <c r="D320" i="2"/>
  <c r="C320" i="2"/>
  <c r="B320" i="2"/>
  <c r="A320" i="2"/>
  <c r="Q319" i="2"/>
  <c r="M319" i="2"/>
  <c r="N319" i="2" s="1"/>
  <c r="P319" i="2" s="1"/>
  <c r="L319" i="2"/>
  <c r="J319" i="2"/>
  <c r="I319" i="2"/>
  <c r="K319" i="2" s="1"/>
  <c r="O319" i="2" s="1"/>
  <c r="H319" i="2"/>
  <c r="F319" i="2"/>
  <c r="E319" i="2"/>
  <c r="D319" i="2"/>
  <c r="C319" i="2"/>
  <c r="B319" i="2"/>
  <c r="A319" i="2"/>
  <c r="Q318" i="2"/>
  <c r="N318" i="2"/>
  <c r="P318" i="2" s="1"/>
  <c r="M318" i="2"/>
  <c r="L318" i="2"/>
  <c r="J318" i="2"/>
  <c r="K318" i="2" s="1"/>
  <c r="I318" i="2"/>
  <c r="H318" i="2"/>
  <c r="F318" i="2"/>
  <c r="E318" i="2"/>
  <c r="D318" i="2"/>
  <c r="C318" i="2"/>
  <c r="B318" i="2"/>
  <c r="A318" i="2"/>
  <c r="Q317" i="2"/>
  <c r="M317" i="2"/>
  <c r="L317" i="2"/>
  <c r="N317" i="2" s="1"/>
  <c r="P317" i="2" s="1"/>
  <c r="J317" i="2"/>
  <c r="I317" i="2"/>
  <c r="K317" i="2" s="1"/>
  <c r="H317" i="2"/>
  <c r="F317" i="2"/>
  <c r="E317" i="2"/>
  <c r="D317" i="2"/>
  <c r="C317" i="2"/>
  <c r="B317" i="2"/>
  <c r="A317" i="2"/>
  <c r="Q316" i="2"/>
  <c r="M316" i="2"/>
  <c r="L316" i="2"/>
  <c r="N316" i="2" s="1"/>
  <c r="P316" i="2" s="1"/>
  <c r="J316" i="2"/>
  <c r="I316" i="2"/>
  <c r="K316" i="2" s="1"/>
  <c r="H316" i="2"/>
  <c r="F316" i="2"/>
  <c r="E316" i="2"/>
  <c r="D316" i="2"/>
  <c r="C316" i="2"/>
  <c r="B316" i="2"/>
  <c r="A316" i="2"/>
  <c r="Q315" i="2"/>
  <c r="N315" i="2"/>
  <c r="M315" i="2"/>
  <c r="L315" i="2"/>
  <c r="K315" i="2"/>
  <c r="J315" i="2"/>
  <c r="I315" i="2"/>
  <c r="H315" i="2"/>
  <c r="F315" i="2"/>
  <c r="E315" i="2"/>
  <c r="D315" i="2"/>
  <c r="C315" i="2"/>
  <c r="B315" i="2"/>
  <c r="A315" i="2"/>
  <c r="Q314" i="2"/>
  <c r="N314" i="2"/>
  <c r="P314" i="2" s="1"/>
  <c r="M314" i="2"/>
  <c r="L314" i="2"/>
  <c r="J314" i="2"/>
  <c r="I314" i="2"/>
  <c r="K314" i="2" s="1"/>
  <c r="H314" i="2"/>
  <c r="F314" i="2"/>
  <c r="E314" i="2"/>
  <c r="D314" i="2"/>
  <c r="C314" i="2"/>
  <c r="B314" i="2"/>
  <c r="A314" i="2"/>
  <c r="Q313" i="2"/>
  <c r="M313" i="2"/>
  <c r="N313" i="2" s="1"/>
  <c r="P313" i="2" s="1"/>
  <c r="L313" i="2"/>
  <c r="J313" i="2"/>
  <c r="K313" i="2" s="1"/>
  <c r="I313" i="2"/>
  <c r="H313" i="2"/>
  <c r="G313" i="2"/>
  <c r="F313" i="2"/>
  <c r="E313" i="2"/>
  <c r="D313" i="2"/>
  <c r="C313" i="2"/>
  <c r="B313" i="2"/>
  <c r="A313" i="2"/>
  <c r="Q312" i="2"/>
  <c r="M312" i="2"/>
  <c r="L312" i="2"/>
  <c r="J312" i="2"/>
  <c r="H312" i="2"/>
  <c r="F312" i="2"/>
  <c r="E312" i="2"/>
  <c r="D312" i="2"/>
  <c r="C312" i="2"/>
  <c r="B312" i="2"/>
  <c r="A312" i="2"/>
  <c r="Q311" i="2"/>
  <c r="M311" i="2"/>
  <c r="L311" i="2"/>
  <c r="N311" i="2" s="1"/>
  <c r="P311" i="2" s="1"/>
  <c r="J311" i="2"/>
  <c r="I311" i="2"/>
  <c r="K311" i="2" s="1"/>
  <c r="H311" i="2"/>
  <c r="F311" i="2"/>
  <c r="E311" i="2"/>
  <c r="D311" i="2"/>
  <c r="C311" i="2"/>
  <c r="B311" i="2"/>
  <c r="A311" i="2"/>
  <c r="Q310" i="2"/>
  <c r="M310" i="2"/>
  <c r="L310" i="2"/>
  <c r="N310" i="2" s="1"/>
  <c r="P310" i="2" s="1"/>
  <c r="J310" i="2"/>
  <c r="I310" i="2"/>
  <c r="K310" i="2" s="1"/>
  <c r="H310" i="2"/>
  <c r="F310" i="2"/>
  <c r="E310" i="2"/>
  <c r="D310" i="2"/>
  <c r="C310" i="2"/>
  <c r="B310" i="2"/>
  <c r="A310" i="2"/>
  <c r="Q309" i="2"/>
  <c r="N309" i="2"/>
  <c r="M309" i="2"/>
  <c r="L309" i="2"/>
  <c r="K309" i="2"/>
  <c r="J309" i="2"/>
  <c r="I309" i="2"/>
  <c r="H309" i="2"/>
  <c r="F309" i="2"/>
  <c r="E309" i="2"/>
  <c r="D309" i="2"/>
  <c r="C309" i="2"/>
  <c r="B309" i="2"/>
  <c r="A309" i="2"/>
  <c r="Q308" i="2"/>
  <c r="N308" i="2"/>
  <c r="M308" i="2"/>
  <c r="L308" i="2"/>
  <c r="K308" i="2"/>
  <c r="J308" i="2"/>
  <c r="I308" i="2"/>
  <c r="H308" i="2"/>
  <c r="F308" i="2"/>
  <c r="E308" i="2"/>
  <c r="D308" i="2"/>
  <c r="C308" i="2"/>
  <c r="B308" i="2"/>
  <c r="A308" i="2"/>
  <c r="Q307" i="2"/>
  <c r="M307" i="2"/>
  <c r="L307" i="2"/>
  <c r="N307" i="2" s="1"/>
  <c r="P307" i="2" s="1"/>
  <c r="J307" i="2"/>
  <c r="I307" i="2"/>
  <c r="K307" i="2" s="1"/>
  <c r="H307" i="2"/>
  <c r="F307" i="2"/>
  <c r="E307" i="2"/>
  <c r="D307" i="2"/>
  <c r="C307" i="2"/>
  <c r="B307" i="2"/>
  <c r="A307" i="2"/>
  <c r="Q306" i="2"/>
  <c r="M306" i="2"/>
  <c r="J306" i="2"/>
  <c r="H306" i="2"/>
  <c r="F306" i="2"/>
  <c r="E306" i="2"/>
  <c r="D306" i="2"/>
  <c r="C306" i="2"/>
  <c r="B306" i="2"/>
  <c r="A306" i="2"/>
  <c r="Q305" i="2"/>
  <c r="M305" i="2"/>
  <c r="L305" i="2"/>
  <c r="N305" i="2" s="1"/>
  <c r="P305" i="2" s="1"/>
  <c r="J305" i="2"/>
  <c r="H305" i="2"/>
  <c r="F305" i="2"/>
  <c r="E305" i="2"/>
  <c r="D305" i="2"/>
  <c r="C305" i="2"/>
  <c r="B305" i="2"/>
  <c r="A305" i="2"/>
  <c r="Q304" i="2"/>
  <c r="M304" i="2"/>
  <c r="L304" i="2"/>
  <c r="J304" i="2"/>
  <c r="I304" i="2"/>
  <c r="K304" i="2" s="1"/>
  <c r="H304" i="2"/>
  <c r="F304" i="2"/>
  <c r="E304" i="2"/>
  <c r="D304" i="2"/>
  <c r="C304" i="2"/>
  <c r="B304" i="2"/>
  <c r="A304" i="2"/>
  <c r="Q303" i="2"/>
  <c r="M303" i="2"/>
  <c r="N303" i="2" s="1"/>
  <c r="P303" i="2" s="1"/>
  <c r="J303" i="2"/>
  <c r="H303" i="2"/>
  <c r="F303" i="2"/>
  <c r="E303" i="2"/>
  <c r="D303" i="2"/>
  <c r="C303" i="2"/>
  <c r="B303" i="2"/>
  <c r="A303" i="2"/>
  <c r="Q302" i="2"/>
  <c r="N302" i="2"/>
  <c r="P302" i="2" s="1"/>
  <c r="M302" i="2"/>
  <c r="L302" i="2"/>
  <c r="K302" i="2"/>
  <c r="J302" i="2"/>
  <c r="I302" i="2"/>
  <c r="H302" i="2"/>
  <c r="F302" i="2"/>
  <c r="E302" i="2"/>
  <c r="D302" i="2"/>
  <c r="C302" i="2"/>
  <c r="B302" i="2"/>
  <c r="A302" i="2"/>
  <c r="Q301" i="2"/>
  <c r="M301" i="2"/>
  <c r="L301" i="2"/>
  <c r="N301" i="2" s="1"/>
  <c r="P301" i="2" s="1"/>
  <c r="K301" i="2"/>
  <c r="J301" i="2"/>
  <c r="I301" i="2"/>
  <c r="H301" i="2"/>
  <c r="F301" i="2"/>
  <c r="E301" i="2"/>
  <c r="D301" i="2"/>
  <c r="C301" i="2"/>
  <c r="B301" i="2"/>
  <c r="A301" i="2"/>
  <c r="Q300" i="2"/>
  <c r="M300" i="2"/>
  <c r="L300" i="2"/>
  <c r="N300" i="2" s="1"/>
  <c r="P300" i="2" s="1"/>
  <c r="J300" i="2"/>
  <c r="K300" i="2" s="1"/>
  <c r="I300" i="2"/>
  <c r="H300" i="2"/>
  <c r="F300" i="2"/>
  <c r="E300" i="2"/>
  <c r="D300" i="2"/>
  <c r="C300" i="2"/>
  <c r="B300" i="2"/>
  <c r="A300" i="2"/>
  <c r="Q299" i="2"/>
  <c r="M299" i="2"/>
  <c r="N299" i="2" s="1"/>
  <c r="P299" i="2" s="1"/>
  <c r="L299" i="2"/>
  <c r="J299" i="2"/>
  <c r="I299" i="2"/>
  <c r="K299" i="2" s="1"/>
  <c r="O299" i="2" s="1"/>
  <c r="H299" i="2"/>
  <c r="F299" i="2"/>
  <c r="E299" i="2"/>
  <c r="D299" i="2"/>
  <c r="C299" i="2"/>
  <c r="B299" i="2"/>
  <c r="A299" i="2"/>
  <c r="Q298" i="2"/>
  <c r="M298" i="2"/>
  <c r="L298" i="2"/>
  <c r="N298" i="2" s="1"/>
  <c r="P298" i="2" s="1"/>
  <c r="J298" i="2"/>
  <c r="I298" i="2"/>
  <c r="K298" i="2" s="1"/>
  <c r="H298" i="2"/>
  <c r="F298" i="2"/>
  <c r="E298" i="2"/>
  <c r="D298" i="2"/>
  <c r="C298" i="2"/>
  <c r="B298" i="2"/>
  <c r="A298" i="2"/>
  <c r="Q297" i="2"/>
  <c r="M297" i="2"/>
  <c r="J297" i="2"/>
  <c r="I297" i="2"/>
  <c r="K297" i="2" s="1"/>
  <c r="F297" i="2"/>
  <c r="E297" i="2"/>
  <c r="D297" i="2"/>
  <c r="C297" i="2"/>
  <c r="B297" i="2"/>
  <c r="A297" i="2"/>
  <c r="Q296" i="2"/>
  <c r="N296" i="2"/>
  <c r="P296" i="2" s="1"/>
  <c r="M296" i="2"/>
  <c r="L296" i="2"/>
  <c r="K296" i="2"/>
  <c r="O296" i="2" s="1"/>
  <c r="J296" i="2"/>
  <c r="I296" i="2"/>
  <c r="H296" i="2"/>
  <c r="G296" i="2"/>
  <c r="F296" i="2"/>
  <c r="E296" i="2"/>
  <c r="D296" i="2"/>
  <c r="C296" i="2"/>
  <c r="B296" i="2"/>
  <c r="A296" i="2"/>
  <c r="Q295" i="2"/>
  <c r="M295" i="2"/>
  <c r="J295" i="2"/>
  <c r="H295" i="2"/>
  <c r="F295" i="2"/>
  <c r="E295" i="2"/>
  <c r="D295" i="2"/>
  <c r="C295" i="2"/>
  <c r="B295" i="2"/>
  <c r="A295" i="2"/>
  <c r="Q294" i="2"/>
  <c r="M294" i="2"/>
  <c r="N294" i="2" s="1"/>
  <c r="P294" i="2" s="1"/>
  <c r="L294" i="2"/>
  <c r="J294" i="2"/>
  <c r="I294" i="2"/>
  <c r="H294" i="2"/>
  <c r="F294" i="2"/>
  <c r="E294" i="2"/>
  <c r="D294" i="2"/>
  <c r="C294" i="2"/>
  <c r="B294" i="2"/>
  <c r="A294" i="2"/>
  <c r="Q293" i="2"/>
  <c r="N293" i="2"/>
  <c r="P293" i="2" s="1"/>
  <c r="M293" i="2"/>
  <c r="L293" i="2"/>
  <c r="J293" i="2"/>
  <c r="I293" i="2"/>
  <c r="K293" i="2" s="1"/>
  <c r="H293" i="2"/>
  <c r="F293" i="2"/>
  <c r="E293" i="2"/>
  <c r="D293" i="2"/>
  <c r="C293" i="2"/>
  <c r="B293" i="2"/>
  <c r="A293" i="2"/>
  <c r="Q292" i="2"/>
  <c r="M292" i="2"/>
  <c r="L292" i="2"/>
  <c r="N292" i="2" s="1"/>
  <c r="J292" i="2"/>
  <c r="K292" i="2" s="1"/>
  <c r="I292" i="2"/>
  <c r="H292" i="2"/>
  <c r="F292" i="2"/>
  <c r="E292" i="2"/>
  <c r="D292" i="2"/>
  <c r="C292" i="2"/>
  <c r="B292" i="2"/>
  <c r="A292" i="2"/>
  <c r="Q291" i="2"/>
  <c r="M291" i="2"/>
  <c r="J291" i="2"/>
  <c r="I291" i="2"/>
  <c r="K291" i="2" s="1"/>
  <c r="O291" i="2" s="1"/>
  <c r="H291" i="2"/>
  <c r="F291" i="2"/>
  <c r="E291" i="2"/>
  <c r="D291" i="2"/>
  <c r="C291" i="2"/>
  <c r="B291" i="2"/>
  <c r="A291" i="2"/>
  <c r="Q290" i="2"/>
  <c r="M290" i="2"/>
  <c r="N290" i="2" s="1"/>
  <c r="P290" i="2" s="1"/>
  <c r="L290" i="2"/>
  <c r="J290" i="2"/>
  <c r="K290" i="2" s="1"/>
  <c r="H290" i="2"/>
  <c r="F290" i="2"/>
  <c r="E290" i="2"/>
  <c r="D290" i="2"/>
  <c r="C290" i="2"/>
  <c r="B290" i="2"/>
  <c r="A290" i="2"/>
  <c r="Q289" i="2"/>
  <c r="M289" i="2"/>
  <c r="L289" i="2"/>
  <c r="N289" i="2" s="1"/>
  <c r="P289" i="2" s="1"/>
  <c r="K289" i="2"/>
  <c r="J289" i="2"/>
  <c r="H289" i="2"/>
  <c r="F289" i="2"/>
  <c r="E289" i="2"/>
  <c r="D289" i="2"/>
  <c r="C289" i="2"/>
  <c r="B289" i="2"/>
  <c r="A289" i="2"/>
  <c r="Q288" i="2"/>
  <c r="N288" i="2"/>
  <c r="P288" i="2" s="1"/>
  <c r="M288" i="2"/>
  <c r="L288" i="2"/>
  <c r="J288" i="2"/>
  <c r="I288" i="2"/>
  <c r="K288" i="2" s="1"/>
  <c r="O288" i="2" s="1"/>
  <c r="H288" i="2"/>
  <c r="F288" i="2"/>
  <c r="E288" i="2"/>
  <c r="D288" i="2"/>
  <c r="C288" i="2"/>
  <c r="B288" i="2"/>
  <c r="A288" i="2"/>
  <c r="Q287" i="2"/>
  <c r="M287" i="2"/>
  <c r="N287" i="2" s="1"/>
  <c r="P287" i="2" s="1"/>
  <c r="L287" i="2"/>
  <c r="J287" i="2"/>
  <c r="I287" i="2"/>
  <c r="K287" i="2" s="1"/>
  <c r="H287" i="2"/>
  <c r="F287" i="2"/>
  <c r="E287" i="2"/>
  <c r="D287" i="2"/>
  <c r="C287" i="2"/>
  <c r="B287" i="2"/>
  <c r="A287" i="2"/>
  <c r="Q286" i="2"/>
  <c r="M286" i="2"/>
  <c r="L286" i="2"/>
  <c r="N286" i="2" s="1"/>
  <c r="P286" i="2" s="1"/>
  <c r="K286" i="2"/>
  <c r="J286" i="2"/>
  <c r="I286" i="2"/>
  <c r="H286" i="2"/>
  <c r="F286" i="2"/>
  <c r="E286" i="2"/>
  <c r="D286" i="2"/>
  <c r="C286" i="2"/>
  <c r="B286" i="2"/>
  <c r="A286" i="2"/>
  <c r="Q285" i="2"/>
  <c r="M285" i="2"/>
  <c r="L285" i="2"/>
  <c r="N285" i="2" s="1"/>
  <c r="P285" i="2" s="1"/>
  <c r="J285" i="2"/>
  <c r="I285" i="2"/>
  <c r="K285" i="2" s="1"/>
  <c r="H285" i="2"/>
  <c r="F285" i="2"/>
  <c r="E285" i="2"/>
  <c r="D285" i="2"/>
  <c r="C285" i="2"/>
  <c r="B285" i="2"/>
  <c r="A285" i="2"/>
  <c r="Q284" i="2"/>
  <c r="M284" i="2"/>
  <c r="N284" i="2" s="1"/>
  <c r="P284" i="2" s="1"/>
  <c r="L284" i="2"/>
  <c r="J284" i="2"/>
  <c r="I284" i="2"/>
  <c r="K284" i="2" s="1"/>
  <c r="H284" i="2"/>
  <c r="F284" i="2"/>
  <c r="E284" i="2"/>
  <c r="D284" i="2"/>
  <c r="C284" i="2"/>
  <c r="B284" i="2"/>
  <c r="A284" i="2"/>
  <c r="Q283" i="2"/>
  <c r="N283" i="2"/>
  <c r="M283" i="2"/>
  <c r="L283" i="2"/>
  <c r="K283" i="2"/>
  <c r="O283" i="2" s="1"/>
  <c r="J283" i="2"/>
  <c r="I283" i="2"/>
  <c r="H283" i="2"/>
  <c r="F283" i="2"/>
  <c r="E283" i="2"/>
  <c r="D283" i="2"/>
  <c r="C283" i="2"/>
  <c r="B283" i="2"/>
  <c r="A283" i="2"/>
  <c r="Q282" i="2"/>
  <c r="N282" i="2"/>
  <c r="P282" i="2" s="1"/>
  <c r="M282" i="2"/>
  <c r="L282" i="2"/>
  <c r="K282" i="2"/>
  <c r="J282" i="2"/>
  <c r="I282" i="2"/>
  <c r="H282" i="2"/>
  <c r="F282" i="2"/>
  <c r="E282" i="2"/>
  <c r="D282" i="2"/>
  <c r="C282" i="2"/>
  <c r="B282" i="2"/>
  <c r="A282" i="2"/>
  <c r="Q281" i="2"/>
  <c r="M281" i="2"/>
  <c r="N281" i="2" s="1"/>
  <c r="P281" i="2" s="1"/>
  <c r="L281" i="2"/>
  <c r="J281" i="2"/>
  <c r="K281" i="2" s="1"/>
  <c r="I281" i="2"/>
  <c r="H281" i="2"/>
  <c r="G281" i="2"/>
  <c r="F281" i="2"/>
  <c r="E281" i="2"/>
  <c r="D281" i="2"/>
  <c r="C281" i="2"/>
  <c r="B281" i="2"/>
  <c r="A281" i="2"/>
  <c r="Q280" i="2"/>
  <c r="M280" i="2"/>
  <c r="L280" i="2"/>
  <c r="J280" i="2"/>
  <c r="K280" i="2" s="1"/>
  <c r="I280" i="2"/>
  <c r="H280" i="2"/>
  <c r="F280" i="2"/>
  <c r="E280" i="2"/>
  <c r="D280" i="2"/>
  <c r="C280" i="2"/>
  <c r="B280" i="2"/>
  <c r="A280" i="2"/>
  <c r="Q279" i="2"/>
  <c r="M279" i="2"/>
  <c r="L279" i="2"/>
  <c r="N279" i="2" s="1"/>
  <c r="P279" i="2" s="1"/>
  <c r="J279" i="2"/>
  <c r="I279" i="2"/>
  <c r="K279" i="2" s="1"/>
  <c r="H279" i="2"/>
  <c r="F279" i="2"/>
  <c r="E279" i="2"/>
  <c r="D279" i="2"/>
  <c r="C279" i="2"/>
  <c r="B279" i="2"/>
  <c r="A279" i="2"/>
  <c r="Q278" i="2"/>
  <c r="M278" i="2"/>
  <c r="L278" i="2"/>
  <c r="N278" i="2" s="1"/>
  <c r="P278" i="2" s="1"/>
  <c r="J278" i="2"/>
  <c r="I278" i="2"/>
  <c r="K278" i="2" s="1"/>
  <c r="H278" i="2"/>
  <c r="F278" i="2"/>
  <c r="E278" i="2"/>
  <c r="D278" i="2"/>
  <c r="C278" i="2"/>
  <c r="B278" i="2"/>
  <c r="A278" i="2"/>
  <c r="Q277" i="2"/>
  <c r="N277" i="2"/>
  <c r="M277" i="2"/>
  <c r="L277" i="2"/>
  <c r="J277" i="2"/>
  <c r="H277" i="2"/>
  <c r="F277" i="2"/>
  <c r="E277" i="2"/>
  <c r="D277" i="2"/>
  <c r="C277" i="2"/>
  <c r="B277" i="2"/>
  <c r="A277" i="2"/>
  <c r="Q276" i="2"/>
  <c r="N276" i="2"/>
  <c r="P276" i="2" s="1"/>
  <c r="M276" i="2"/>
  <c r="L276" i="2"/>
  <c r="J276" i="2"/>
  <c r="I276" i="2"/>
  <c r="K276" i="2" s="1"/>
  <c r="H276" i="2"/>
  <c r="F276" i="2"/>
  <c r="E276" i="2"/>
  <c r="D276" i="2"/>
  <c r="C276" i="2"/>
  <c r="B276" i="2"/>
  <c r="A276" i="2"/>
  <c r="Q275" i="2"/>
  <c r="M275" i="2"/>
  <c r="L275" i="2"/>
  <c r="J275" i="2"/>
  <c r="I275" i="2"/>
  <c r="K275" i="2" s="1"/>
  <c r="H275" i="2"/>
  <c r="F275" i="2"/>
  <c r="E275" i="2"/>
  <c r="D275" i="2"/>
  <c r="C275" i="2"/>
  <c r="B275" i="2"/>
  <c r="A275" i="2"/>
  <c r="Q274" i="2"/>
  <c r="M274" i="2"/>
  <c r="L274" i="2"/>
  <c r="J274" i="2"/>
  <c r="K274" i="2" s="1"/>
  <c r="O274" i="2" s="1"/>
  <c r="I274" i="2"/>
  <c r="H274" i="2"/>
  <c r="G274" i="2"/>
  <c r="F274" i="2"/>
  <c r="E274" i="2"/>
  <c r="D274" i="2"/>
  <c r="C274" i="2"/>
  <c r="B274" i="2"/>
  <c r="A274" i="2"/>
  <c r="Q273" i="2"/>
  <c r="M273" i="2"/>
  <c r="J273" i="2"/>
  <c r="H273" i="2"/>
  <c r="F273" i="2"/>
  <c r="E273" i="2"/>
  <c r="D273" i="2"/>
  <c r="C273" i="2"/>
  <c r="B273" i="2"/>
  <c r="A273" i="2"/>
  <c r="Q272" i="2"/>
  <c r="M272" i="2"/>
  <c r="L272" i="2"/>
  <c r="N272" i="2" s="1"/>
  <c r="P272" i="2" s="1"/>
  <c r="J272" i="2"/>
  <c r="I272" i="2"/>
  <c r="K272" i="2" s="1"/>
  <c r="O272" i="2" s="1"/>
  <c r="H272" i="2"/>
  <c r="F272" i="2"/>
  <c r="E272" i="2"/>
  <c r="D272" i="2"/>
  <c r="C272" i="2"/>
  <c r="B272" i="2"/>
  <c r="A272" i="2"/>
  <c r="Q271" i="2"/>
  <c r="M271" i="2"/>
  <c r="N271" i="2" s="1"/>
  <c r="P271" i="2" s="1"/>
  <c r="L271" i="2"/>
  <c r="J271" i="2"/>
  <c r="I271" i="2"/>
  <c r="K271" i="2" s="1"/>
  <c r="O271" i="2" s="1"/>
  <c r="H271" i="2"/>
  <c r="F271" i="2"/>
  <c r="E271" i="2"/>
  <c r="D271" i="2"/>
  <c r="C271" i="2"/>
  <c r="B271" i="2"/>
  <c r="A271" i="2"/>
  <c r="Q270" i="2"/>
  <c r="N270" i="2"/>
  <c r="M270" i="2"/>
  <c r="L270" i="2"/>
  <c r="K270" i="2"/>
  <c r="J270" i="2"/>
  <c r="I270" i="2"/>
  <c r="H270" i="2"/>
  <c r="F270" i="2"/>
  <c r="E270" i="2"/>
  <c r="D270" i="2"/>
  <c r="C270" i="2"/>
  <c r="B270" i="2"/>
  <c r="A270" i="2"/>
  <c r="Q269" i="2"/>
  <c r="M269" i="2"/>
  <c r="L269" i="2"/>
  <c r="K269" i="2"/>
  <c r="J269" i="2"/>
  <c r="I269" i="2"/>
  <c r="H269" i="2"/>
  <c r="F269" i="2"/>
  <c r="E269" i="2"/>
  <c r="D269" i="2"/>
  <c r="C269" i="2"/>
  <c r="B269" i="2"/>
  <c r="A269" i="2"/>
  <c r="Q268" i="2"/>
  <c r="M268" i="2"/>
  <c r="L268" i="2"/>
  <c r="N268" i="2" s="1"/>
  <c r="P268" i="2" s="1"/>
  <c r="J268" i="2"/>
  <c r="K268" i="2" s="1"/>
  <c r="I268" i="2"/>
  <c r="H268" i="2"/>
  <c r="F268" i="2"/>
  <c r="E268" i="2"/>
  <c r="D268" i="2"/>
  <c r="C268" i="2"/>
  <c r="B268" i="2"/>
  <c r="A268" i="2"/>
  <c r="Q267" i="2"/>
  <c r="N267" i="2"/>
  <c r="P267" i="2" s="1"/>
  <c r="M267" i="2"/>
  <c r="L267" i="2"/>
  <c r="J267" i="2"/>
  <c r="I267" i="2"/>
  <c r="H267" i="2"/>
  <c r="F267" i="2"/>
  <c r="E267" i="2"/>
  <c r="D267" i="2"/>
  <c r="C267" i="2"/>
  <c r="B267" i="2"/>
  <c r="A267" i="2"/>
  <c r="Q266" i="2"/>
  <c r="M266" i="2"/>
  <c r="L266" i="2"/>
  <c r="N266" i="2" s="1"/>
  <c r="P266" i="2" s="1"/>
  <c r="J266" i="2"/>
  <c r="I266" i="2"/>
  <c r="K266" i="2" s="1"/>
  <c r="H266" i="2"/>
  <c r="F266" i="2"/>
  <c r="E266" i="2"/>
  <c r="D266" i="2"/>
  <c r="C266" i="2"/>
  <c r="B266" i="2"/>
  <c r="A266" i="2"/>
  <c r="Q265" i="2"/>
  <c r="P265" i="2"/>
  <c r="M265" i="2"/>
  <c r="L265" i="2"/>
  <c r="N265" i="2" s="1"/>
  <c r="J265" i="2"/>
  <c r="I265" i="2"/>
  <c r="H265" i="2"/>
  <c r="F265" i="2"/>
  <c r="E265" i="2"/>
  <c r="D265" i="2"/>
  <c r="C265" i="2"/>
  <c r="B265" i="2"/>
  <c r="A265" i="2"/>
  <c r="Q264" i="2"/>
  <c r="N264" i="2"/>
  <c r="P264" i="2" s="1"/>
  <c r="M264" i="2"/>
  <c r="L264" i="2"/>
  <c r="J264" i="2"/>
  <c r="H264" i="2"/>
  <c r="G264" i="2"/>
  <c r="F264" i="2"/>
  <c r="E264" i="2"/>
  <c r="D264" i="2"/>
  <c r="C264" i="2"/>
  <c r="B264" i="2"/>
  <c r="A264" i="2"/>
  <c r="Q263" i="2"/>
  <c r="M263" i="2"/>
  <c r="L263" i="2"/>
  <c r="N263" i="2" s="1"/>
  <c r="P263" i="2" s="1"/>
  <c r="K263" i="2"/>
  <c r="J263" i="2"/>
  <c r="I263" i="2"/>
  <c r="H263" i="2"/>
  <c r="F263" i="2"/>
  <c r="E263" i="2"/>
  <c r="D263" i="2"/>
  <c r="C263" i="2"/>
  <c r="B263" i="2"/>
  <c r="A263" i="2"/>
  <c r="Q262" i="2"/>
  <c r="M262" i="2"/>
  <c r="J262" i="2"/>
  <c r="H262" i="2"/>
  <c r="F262" i="2"/>
  <c r="E262" i="2"/>
  <c r="D262" i="2"/>
  <c r="C262" i="2"/>
  <c r="B262" i="2"/>
  <c r="A262" i="2"/>
  <c r="Q261" i="2"/>
  <c r="M261" i="2"/>
  <c r="J261" i="2"/>
  <c r="H261" i="2"/>
  <c r="G261" i="2"/>
  <c r="F261" i="2"/>
  <c r="E261" i="2"/>
  <c r="D261" i="2"/>
  <c r="C261" i="2"/>
  <c r="B261" i="2"/>
  <c r="A261" i="2"/>
  <c r="Q260" i="2"/>
  <c r="M260" i="2"/>
  <c r="L260" i="2"/>
  <c r="N260" i="2" s="1"/>
  <c r="J260" i="2"/>
  <c r="K260" i="2" s="1"/>
  <c r="I260" i="2"/>
  <c r="H260" i="2"/>
  <c r="F260" i="2"/>
  <c r="E260" i="2"/>
  <c r="D260" i="2"/>
  <c r="C260" i="2"/>
  <c r="B260" i="2"/>
  <c r="A260" i="2"/>
  <c r="Q259" i="2"/>
  <c r="M259" i="2"/>
  <c r="L259" i="2"/>
  <c r="N259" i="2" s="1"/>
  <c r="P259" i="2" s="1"/>
  <c r="J259" i="2"/>
  <c r="I259" i="2"/>
  <c r="K259" i="2" s="1"/>
  <c r="O259" i="2" s="1"/>
  <c r="H259" i="2"/>
  <c r="F259" i="2"/>
  <c r="E259" i="2"/>
  <c r="D259" i="2"/>
  <c r="C259" i="2"/>
  <c r="B259" i="2"/>
  <c r="A259" i="2"/>
  <c r="Q258" i="2"/>
  <c r="M258" i="2"/>
  <c r="N258" i="2" s="1"/>
  <c r="P258" i="2" s="1"/>
  <c r="L258" i="2"/>
  <c r="J258" i="2"/>
  <c r="H258" i="2"/>
  <c r="F258" i="2"/>
  <c r="E258" i="2"/>
  <c r="D258" i="2"/>
  <c r="C258" i="2"/>
  <c r="B258" i="2"/>
  <c r="A258" i="2"/>
  <c r="Q257" i="2"/>
  <c r="N257" i="2"/>
  <c r="M257" i="2"/>
  <c r="L257" i="2"/>
  <c r="K257" i="2"/>
  <c r="J257" i="2"/>
  <c r="I257" i="2"/>
  <c r="H257" i="2"/>
  <c r="F257" i="2"/>
  <c r="E257" i="2"/>
  <c r="D257" i="2"/>
  <c r="C257" i="2"/>
  <c r="B257" i="2"/>
  <c r="A257" i="2"/>
  <c r="Q256" i="2"/>
  <c r="M256" i="2"/>
  <c r="L256" i="2"/>
  <c r="N256" i="2" s="1"/>
  <c r="P256" i="2" s="1"/>
  <c r="J256" i="2"/>
  <c r="I256" i="2"/>
  <c r="H256" i="2"/>
  <c r="F256" i="2"/>
  <c r="E256" i="2"/>
  <c r="D256" i="2"/>
  <c r="C256" i="2"/>
  <c r="B256" i="2"/>
  <c r="A256" i="2"/>
  <c r="Q255" i="2"/>
  <c r="P255" i="2"/>
  <c r="N255" i="2"/>
  <c r="M255" i="2"/>
  <c r="L255" i="2"/>
  <c r="J255" i="2"/>
  <c r="I255" i="2"/>
  <c r="H255" i="2"/>
  <c r="F255" i="2"/>
  <c r="E255" i="2"/>
  <c r="D255" i="2"/>
  <c r="C255" i="2"/>
  <c r="B255" i="2"/>
  <c r="A255" i="2"/>
  <c r="Q254" i="2"/>
  <c r="M254" i="2"/>
  <c r="L254" i="2"/>
  <c r="N254" i="2" s="1"/>
  <c r="P254" i="2" s="1"/>
  <c r="J254" i="2"/>
  <c r="K254" i="2" s="1"/>
  <c r="I254" i="2"/>
  <c r="H254" i="2"/>
  <c r="F254" i="2"/>
  <c r="E254" i="2"/>
  <c r="D254" i="2"/>
  <c r="C254" i="2"/>
  <c r="B254" i="2"/>
  <c r="A254" i="2"/>
  <c r="Q253" i="2"/>
  <c r="P253" i="2"/>
  <c r="M253" i="2"/>
  <c r="L253" i="2"/>
  <c r="N253" i="2" s="1"/>
  <c r="J253" i="2"/>
  <c r="H253" i="2"/>
  <c r="F253" i="2"/>
  <c r="E253" i="2"/>
  <c r="D253" i="2"/>
  <c r="C253" i="2"/>
  <c r="B253" i="2"/>
  <c r="A253" i="2"/>
  <c r="Q252" i="2"/>
  <c r="M252" i="2"/>
  <c r="L252" i="2"/>
  <c r="N252" i="2" s="1"/>
  <c r="P252" i="2" s="1"/>
  <c r="J252" i="2"/>
  <c r="I252" i="2"/>
  <c r="K252" i="2" s="1"/>
  <c r="H252" i="2"/>
  <c r="F252" i="2"/>
  <c r="E252" i="2"/>
  <c r="D252" i="2"/>
  <c r="C252" i="2"/>
  <c r="B252" i="2"/>
  <c r="A252" i="2"/>
  <c r="Q251" i="2"/>
  <c r="N251" i="2"/>
  <c r="P251" i="2" s="1"/>
  <c r="M251" i="2"/>
  <c r="L251" i="2"/>
  <c r="J251" i="2"/>
  <c r="H251" i="2"/>
  <c r="F251" i="2"/>
  <c r="E251" i="2"/>
  <c r="D251" i="2"/>
  <c r="C251" i="2"/>
  <c r="B251" i="2"/>
  <c r="A251" i="2"/>
  <c r="Q250" i="2"/>
  <c r="M250" i="2"/>
  <c r="N250" i="2" s="1"/>
  <c r="P250" i="2" s="1"/>
  <c r="L250" i="2"/>
  <c r="J250" i="2"/>
  <c r="I250" i="2"/>
  <c r="K250" i="2" s="1"/>
  <c r="O250" i="2" s="1"/>
  <c r="H250" i="2"/>
  <c r="F250" i="2"/>
  <c r="E250" i="2"/>
  <c r="D250" i="2"/>
  <c r="C250" i="2"/>
  <c r="B250" i="2"/>
  <c r="A250" i="2"/>
  <c r="Q249" i="2"/>
  <c r="M249" i="2"/>
  <c r="J249" i="2"/>
  <c r="H249" i="2"/>
  <c r="G249" i="2"/>
  <c r="F249" i="2"/>
  <c r="E249" i="2"/>
  <c r="D249" i="2"/>
  <c r="C249" i="2"/>
  <c r="B249" i="2"/>
  <c r="A249" i="2"/>
  <c r="Q248" i="2"/>
  <c r="M248" i="2"/>
  <c r="L248" i="2"/>
  <c r="N248" i="2" s="1"/>
  <c r="P248" i="2" s="1"/>
  <c r="J248" i="2"/>
  <c r="K248" i="2" s="1"/>
  <c r="I248" i="2"/>
  <c r="H248" i="2"/>
  <c r="F248" i="2"/>
  <c r="E248" i="2"/>
  <c r="D248" i="2"/>
  <c r="C248" i="2"/>
  <c r="B248" i="2"/>
  <c r="A248" i="2"/>
  <c r="Q247" i="2"/>
  <c r="M247" i="2"/>
  <c r="L247" i="2"/>
  <c r="N247" i="2" s="1"/>
  <c r="P247" i="2" s="1"/>
  <c r="J247" i="2"/>
  <c r="I247" i="2"/>
  <c r="K247" i="2" s="1"/>
  <c r="H247" i="2"/>
  <c r="F247" i="2"/>
  <c r="E247" i="2"/>
  <c r="D247" i="2"/>
  <c r="C247" i="2"/>
  <c r="B247" i="2"/>
  <c r="A247" i="2"/>
  <c r="Q246" i="2"/>
  <c r="M246" i="2"/>
  <c r="L246" i="2"/>
  <c r="N246" i="2" s="1"/>
  <c r="P246" i="2" s="1"/>
  <c r="J246" i="2"/>
  <c r="H246" i="2"/>
  <c r="F246" i="2"/>
  <c r="E246" i="2"/>
  <c r="D246" i="2"/>
  <c r="C246" i="2"/>
  <c r="B246" i="2"/>
  <c r="A246" i="2"/>
  <c r="Q245" i="2"/>
  <c r="N245" i="2"/>
  <c r="M245" i="2"/>
  <c r="L245" i="2"/>
  <c r="J245" i="2"/>
  <c r="I245" i="2"/>
  <c r="K245" i="2" s="1"/>
  <c r="H245" i="2"/>
  <c r="F245" i="2"/>
  <c r="E245" i="2"/>
  <c r="D245" i="2"/>
  <c r="C245" i="2"/>
  <c r="B245" i="2"/>
  <c r="A245" i="2"/>
  <c r="Q244" i="2"/>
  <c r="N244" i="2"/>
  <c r="M244" i="2"/>
  <c r="L244" i="2"/>
  <c r="K244" i="2"/>
  <c r="J244" i="2"/>
  <c r="I244" i="2"/>
  <c r="H244" i="2"/>
  <c r="F244" i="2"/>
  <c r="E244" i="2"/>
  <c r="D244" i="2"/>
  <c r="C244" i="2"/>
  <c r="B244" i="2"/>
  <c r="A244" i="2"/>
  <c r="Q243" i="2"/>
  <c r="M243" i="2"/>
  <c r="J243" i="2"/>
  <c r="H243" i="2"/>
  <c r="F243" i="2"/>
  <c r="E243" i="2"/>
  <c r="D243" i="2"/>
  <c r="C243" i="2"/>
  <c r="B243" i="2"/>
  <c r="A243" i="2"/>
  <c r="Q242" i="2"/>
  <c r="M242" i="2"/>
  <c r="L242" i="2"/>
  <c r="K242" i="2"/>
  <c r="J242" i="2"/>
  <c r="I242" i="2"/>
  <c r="H242" i="2"/>
  <c r="F242" i="2"/>
  <c r="E242" i="2"/>
  <c r="D242" i="2"/>
  <c r="C242" i="2"/>
  <c r="B242" i="2"/>
  <c r="A242" i="2"/>
  <c r="Q241" i="2"/>
  <c r="M241" i="2"/>
  <c r="L241" i="2"/>
  <c r="N241" i="2" s="1"/>
  <c r="P241" i="2" s="1"/>
  <c r="J241" i="2"/>
  <c r="H241" i="2"/>
  <c r="F241" i="2"/>
  <c r="E241" i="2"/>
  <c r="D241" i="2"/>
  <c r="C241" i="2"/>
  <c r="B241" i="2"/>
  <c r="A241" i="2"/>
  <c r="Q240" i="2"/>
  <c r="M240" i="2"/>
  <c r="L240" i="2"/>
  <c r="J240" i="2"/>
  <c r="I240" i="2"/>
  <c r="K240" i="2" s="1"/>
  <c r="H240" i="2"/>
  <c r="F240" i="2"/>
  <c r="E240" i="2"/>
  <c r="D240" i="2"/>
  <c r="C240" i="2"/>
  <c r="B240" i="2"/>
  <c r="A240" i="2"/>
  <c r="Q239" i="2"/>
  <c r="N239" i="2"/>
  <c r="P239" i="2" s="1"/>
  <c r="M239" i="2"/>
  <c r="L239" i="2"/>
  <c r="J239" i="2"/>
  <c r="I239" i="2"/>
  <c r="K239" i="2" s="1"/>
  <c r="H239" i="2"/>
  <c r="F239" i="2"/>
  <c r="E239" i="2"/>
  <c r="D239" i="2"/>
  <c r="C239" i="2"/>
  <c r="B239" i="2"/>
  <c r="A239" i="2"/>
  <c r="Q238" i="2"/>
  <c r="N238" i="2"/>
  <c r="P238" i="2" s="1"/>
  <c r="M238" i="2"/>
  <c r="L238" i="2"/>
  <c r="K238" i="2"/>
  <c r="J238" i="2"/>
  <c r="I238" i="2"/>
  <c r="H238" i="2"/>
  <c r="F238" i="2"/>
  <c r="E238" i="2"/>
  <c r="D238" i="2"/>
  <c r="C238" i="2"/>
  <c r="B238" i="2"/>
  <c r="A238" i="2"/>
  <c r="Q237" i="2"/>
  <c r="M237" i="2"/>
  <c r="N237" i="2" s="1"/>
  <c r="P237" i="2" s="1"/>
  <c r="L237" i="2"/>
  <c r="J237" i="2"/>
  <c r="K237" i="2" s="1"/>
  <c r="I237" i="2"/>
  <c r="H237" i="2"/>
  <c r="F237" i="2"/>
  <c r="E237" i="2"/>
  <c r="D237" i="2"/>
  <c r="C237" i="2"/>
  <c r="B237" i="2"/>
  <c r="A237" i="2"/>
  <c r="Q236" i="2"/>
  <c r="M236" i="2"/>
  <c r="L236" i="2"/>
  <c r="N236" i="2" s="1"/>
  <c r="P236" i="2" s="1"/>
  <c r="J236" i="2"/>
  <c r="K236" i="2" s="1"/>
  <c r="I236" i="2"/>
  <c r="H236" i="2"/>
  <c r="F236" i="2"/>
  <c r="E236" i="2"/>
  <c r="D236" i="2"/>
  <c r="C236" i="2"/>
  <c r="B236" i="2"/>
  <c r="A236" i="2"/>
  <c r="Q235" i="2"/>
  <c r="M235" i="2"/>
  <c r="L235" i="2"/>
  <c r="N235" i="2" s="1"/>
  <c r="P235" i="2" s="1"/>
  <c r="J235" i="2"/>
  <c r="I235" i="2"/>
  <c r="H235" i="2"/>
  <c r="F235" i="2"/>
  <c r="E235" i="2"/>
  <c r="D235" i="2"/>
  <c r="C235" i="2"/>
  <c r="B235" i="2"/>
  <c r="A235" i="2"/>
  <c r="Q234" i="2"/>
  <c r="M234" i="2"/>
  <c r="L234" i="2"/>
  <c r="N234" i="2" s="1"/>
  <c r="P234" i="2" s="1"/>
  <c r="J234" i="2"/>
  <c r="I234" i="2"/>
  <c r="K234" i="2" s="1"/>
  <c r="H234" i="2"/>
  <c r="F234" i="2"/>
  <c r="E234" i="2"/>
  <c r="D234" i="2"/>
  <c r="C234" i="2"/>
  <c r="B234" i="2"/>
  <c r="A234" i="2"/>
  <c r="Q233" i="2"/>
  <c r="M233" i="2"/>
  <c r="L233" i="2"/>
  <c r="N233" i="2" s="1"/>
  <c r="P233" i="2" s="1"/>
  <c r="J233" i="2"/>
  <c r="I233" i="2"/>
  <c r="K233" i="2" s="1"/>
  <c r="H233" i="2"/>
  <c r="F233" i="2"/>
  <c r="E233" i="2"/>
  <c r="D233" i="2"/>
  <c r="C233" i="2"/>
  <c r="B233" i="2"/>
  <c r="A233" i="2"/>
  <c r="Q232" i="2"/>
  <c r="N232" i="2"/>
  <c r="P232" i="2" s="1"/>
  <c r="M232" i="2"/>
  <c r="L232" i="2"/>
  <c r="K232" i="2"/>
  <c r="J232" i="2"/>
  <c r="I232" i="2"/>
  <c r="H232" i="2"/>
  <c r="F232" i="2"/>
  <c r="E232" i="2"/>
  <c r="D232" i="2"/>
  <c r="C232" i="2"/>
  <c r="B232" i="2"/>
  <c r="A232" i="2"/>
  <c r="Q231" i="2"/>
  <c r="M231" i="2"/>
  <c r="L231" i="2"/>
  <c r="N231" i="2" s="1"/>
  <c r="P231" i="2" s="1"/>
  <c r="K231" i="2"/>
  <c r="J231" i="2"/>
  <c r="I231" i="2"/>
  <c r="H231" i="2"/>
  <c r="F231" i="2"/>
  <c r="E231" i="2"/>
  <c r="D231" i="2"/>
  <c r="C231" i="2"/>
  <c r="B231" i="2"/>
  <c r="A231" i="2"/>
  <c r="Q230" i="2"/>
  <c r="P230" i="2"/>
  <c r="M230" i="2"/>
  <c r="N230" i="2" s="1"/>
  <c r="L230" i="2"/>
  <c r="J230" i="2"/>
  <c r="I230" i="2"/>
  <c r="H230" i="2"/>
  <c r="F230" i="2"/>
  <c r="E230" i="2"/>
  <c r="D230" i="2"/>
  <c r="C230" i="2"/>
  <c r="B230" i="2"/>
  <c r="A230" i="2"/>
  <c r="Q229" i="2"/>
  <c r="M229" i="2"/>
  <c r="N229" i="2" s="1"/>
  <c r="P229" i="2" s="1"/>
  <c r="L229" i="2"/>
  <c r="J229" i="2"/>
  <c r="H229" i="2"/>
  <c r="F229" i="2"/>
  <c r="E229" i="2"/>
  <c r="D229" i="2"/>
  <c r="C229" i="2"/>
  <c r="B229" i="2"/>
  <c r="A229" i="2"/>
  <c r="Q228" i="2"/>
  <c r="M228" i="2"/>
  <c r="L228" i="2"/>
  <c r="N228" i="2" s="1"/>
  <c r="J228" i="2"/>
  <c r="I228" i="2"/>
  <c r="K228" i="2" s="1"/>
  <c r="H228" i="2"/>
  <c r="F228" i="2"/>
  <c r="E228" i="2"/>
  <c r="D228" i="2"/>
  <c r="C228" i="2"/>
  <c r="B228" i="2"/>
  <c r="A228" i="2"/>
  <c r="Q227" i="2"/>
  <c r="P227" i="2"/>
  <c r="M227" i="2"/>
  <c r="L227" i="2"/>
  <c r="N227" i="2" s="1"/>
  <c r="J227" i="2"/>
  <c r="I227" i="2"/>
  <c r="K227" i="2" s="1"/>
  <c r="H227" i="2"/>
  <c r="F227" i="2"/>
  <c r="E227" i="2"/>
  <c r="D227" i="2"/>
  <c r="C227" i="2"/>
  <c r="B227" i="2"/>
  <c r="A227" i="2"/>
  <c r="Q226" i="2"/>
  <c r="M226" i="2"/>
  <c r="L226" i="2"/>
  <c r="N226" i="2" s="1"/>
  <c r="P226" i="2" s="1"/>
  <c r="J226" i="2"/>
  <c r="I226" i="2"/>
  <c r="K226" i="2" s="1"/>
  <c r="O226" i="2" s="1"/>
  <c r="H226" i="2"/>
  <c r="G226" i="2"/>
  <c r="F226" i="2"/>
  <c r="E226" i="2"/>
  <c r="D226" i="2"/>
  <c r="C226" i="2"/>
  <c r="B226" i="2"/>
  <c r="A226" i="2"/>
  <c r="Q225" i="2"/>
  <c r="M225" i="2"/>
  <c r="L225" i="2"/>
  <c r="N225" i="2" s="1"/>
  <c r="P225" i="2" s="1"/>
  <c r="K225" i="2"/>
  <c r="O225" i="2" s="1"/>
  <c r="J225" i="2"/>
  <c r="I225" i="2"/>
  <c r="H225" i="2"/>
  <c r="F225" i="2"/>
  <c r="E225" i="2"/>
  <c r="D225" i="2"/>
  <c r="C225" i="2"/>
  <c r="B225" i="2"/>
  <c r="A225" i="2"/>
  <c r="Q224" i="2"/>
  <c r="P224" i="2"/>
  <c r="M224" i="2"/>
  <c r="L224" i="2"/>
  <c r="N224" i="2" s="1"/>
  <c r="J224" i="2"/>
  <c r="I224" i="2"/>
  <c r="K224" i="2" s="1"/>
  <c r="O224" i="2" s="1"/>
  <c r="H224" i="2"/>
  <c r="F224" i="2"/>
  <c r="E224" i="2"/>
  <c r="D224" i="2"/>
  <c r="C224" i="2"/>
  <c r="B224" i="2"/>
  <c r="A224" i="2"/>
  <c r="Q223" i="2"/>
  <c r="M223" i="2"/>
  <c r="N223" i="2" s="1"/>
  <c r="P223" i="2" s="1"/>
  <c r="L223" i="2"/>
  <c r="J223" i="2"/>
  <c r="I223" i="2"/>
  <c r="H223" i="2"/>
  <c r="F223" i="2"/>
  <c r="E223" i="2"/>
  <c r="D223" i="2"/>
  <c r="C223" i="2"/>
  <c r="B223" i="2"/>
  <c r="A223" i="2"/>
  <c r="Q222" i="2"/>
  <c r="P222" i="2"/>
  <c r="M222" i="2"/>
  <c r="L222" i="2"/>
  <c r="N222" i="2" s="1"/>
  <c r="J222" i="2"/>
  <c r="I222" i="2"/>
  <c r="K222" i="2" s="1"/>
  <c r="H222" i="2"/>
  <c r="F222" i="2"/>
  <c r="E222" i="2"/>
  <c r="D222" i="2"/>
  <c r="C222" i="2"/>
  <c r="B222" i="2"/>
  <c r="A222" i="2"/>
  <c r="Q221" i="2"/>
  <c r="M221" i="2"/>
  <c r="L221" i="2"/>
  <c r="N221" i="2" s="1"/>
  <c r="P221" i="2" s="1"/>
  <c r="J221" i="2"/>
  <c r="H221" i="2"/>
  <c r="F221" i="2"/>
  <c r="E221" i="2"/>
  <c r="D221" i="2"/>
  <c r="C221" i="2"/>
  <c r="B221" i="2"/>
  <c r="A221" i="2"/>
  <c r="Q220" i="2"/>
  <c r="N220" i="2"/>
  <c r="P220" i="2" s="1"/>
  <c r="M220" i="2"/>
  <c r="L220" i="2"/>
  <c r="J220" i="2"/>
  <c r="H220" i="2"/>
  <c r="F220" i="2"/>
  <c r="E220" i="2"/>
  <c r="D220" i="2"/>
  <c r="C220" i="2"/>
  <c r="B220" i="2"/>
  <c r="A220" i="2"/>
  <c r="Q219" i="2"/>
  <c r="N219" i="2"/>
  <c r="P219" i="2" s="1"/>
  <c r="M219" i="2"/>
  <c r="L219" i="2"/>
  <c r="K219" i="2"/>
  <c r="J219" i="2"/>
  <c r="I219" i="2"/>
  <c r="H219" i="2"/>
  <c r="F219" i="2"/>
  <c r="E219" i="2"/>
  <c r="D219" i="2"/>
  <c r="C219" i="2"/>
  <c r="B219" i="2"/>
  <c r="A219" i="2"/>
  <c r="Q218" i="2"/>
  <c r="N218" i="2"/>
  <c r="P218" i="2" s="1"/>
  <c r="M218" i="2"/>
  <c r="L218" i="2"/>
  <c r="J218" i="2"/>
  <c r="I218" i="2"/>
  <c r="K218" i="2" s="1"/>
  <c r="H218" i="2"/>
  <c r="F218" i="2"/>
  <c r="E218" i="2"/>
  <c r="D218" i="2"/>
  <c r="C218" i="2"/>
  <c r="B218" i="2"/>
  <c r="A218" i="2"/>
  <c r="Q217" i="2"/>
  <c r="M217" i="2"/>
  <c r="N217" i="2" s="1"/>
  <c r="P217" i="2" s="1"/>
  <c r="L217" i="2"/>
  <c r="J217" i="2"/>
  <c r="H217" i="2"/>
  <c r="F217" i="2"/>
  <c r="E217" i="2"/>
  <c r="D217" i="2"/>
  <c r="C217" i="2"/>
  <c r="B217" i="2"/>
  <c r="A217" i="2"/>
  <c r="Q216" i="2"/>
  <c r="M216" i="2"/>
  <c r="L216" i="2"/>
  <c r="N216" i="2" s="1"/>
  <c r="P216" i="2" s="1"/>
  <c r="J216" i="2"/>
  <c r="K216" i="2" s="1"/>
  <c r="O216" i="2" s="1"/>
  <c r="I216" i="2"/>
  <c r="H216" i="2"/>
  <c r="G216" i="2"/>
  <c r="F216" i="2"/>
  <c r="E216" i="2"/>
  <c r="D216" i="2"/>
  <c r="C216" i="2"/>
  <c r="B216" i="2"/>
  <c r="A216" i="2"/>
  <c r="Q215" i="2"/>
  <c r="M215" i="2"/>
  <c r="L215" i="2"/>
  <c r="N215" i="2" s="1"/>
  <c r="J215" i="2"/>
  <c r="I215" i="2"/>
  <c r="K215" i="2" s="1"/>
  <c r="H215" i="2"/>
  <c r="F215" i="2"/>
  <c r="E215" i="2"/>
  <c r="D215" i="2"/>
  <c r="C215" i="2"/>
  <c r="B215" i="2"/>
  <c r="A215" i="2"/>
  <c r="Q214" i="2"/>
  <c r="M214" i="2"/>
  <c r="L214" i="2"/>
  <c r="J214" i="2"/>
  <c r="I214" i="2"/>
  <c r="K214" i="2" s="1"/>
  <c r="H214" i="2"/>
  <c r="F214" i="2"/>
  <c r="E214" i="2"/>
  <c r="D214" i="2"/>
  <c r="C214" i="2"/>
  <c r="B214" i="2"/>
  <c r="A214" i="2"/>
  <c r="Q213" i="2"/>
  <c r="M213" i="2"/>
  <c r="J213" i="2"/>
  <c r="H213" i="2"/>
  <c r="G213" i="2"/>
  <c r="F213" i="2"/>
  <c r="E213" i="2"/>
  <c r="D213" i="2"/>
  <c r="C213" i="2"/>
  <c r="B213" i="2"/>
  <c r="A213" i="2"/>
  <c r="Q212" i="2"/>
  <c r="O212" i="2"/>
  <c r="N212" i="2"/>
  <c r="P212" i="2" s="1"/>
  <c r="M212" i="2"/>
  <c r="L212" i="2"/>
  <c r="J212" i="2"/>
  <c r="I212" i="2"/>
  <c r="K212" i="2" s="1"/>
  <c r="H212" i="2"/>
  <c r="F212" i="2"/>
  <c r="E212" i="2"/>
  <c r="D212" i="2"/>
  <c r="C212" i="2"/>
  <c r="B212" i="2"/>
  <c r="A212" i="2"/>
  <c r="Q211" i="2"/>
  <c r="M211" i="2"/>
  <c r="L211" i="2"/>
  <c r="J211" i="2"/>
  <c r="I211" i="2"/>
  <c r="K211" i="2" s="1"/>
  <c r="O211" i="2" s="1"/>
  <c r="H211" i="2"/>
  <c r="G211" i="2"/>
  <c r="F211" i="2"/>
  <c r="E211" i="2"/>
  <c r="D211" i="2"/>
  <c r="C211" i="2"/>
  <c r="B211" i="2"/>
  <c r="A211" i="2"/>
  <c r="Q210" i="2"/>
  <c r="M210" i="2"/>
  <c r="L210" i="2"/>
  <c r="N210" i="2" s="1"/>
  <c r="P210" i="2" s="1"/>
  <c r="J210" i="2"/>
  <c r="K210" i="2" s="1"/>
  <c r="I210" i="2"/>
  <c r="H210" i="2"/>
  <c r="F210" i="2"/>
  <c r="E210" i="2"/>
  <c r="D210" i="2"/>
  <c r="C210" i="2"/>
  <c r="B210" i="2"/>
  <c r="A210" i="2"/>
  <c r="Q209" i="2"/>
  <c r="M209" i="2"/>
  <c r="L209" i="2"/>
  <c r="N209" i="2" s="1"/>
  <c r="P209" i="2" s="1"/>
  <c r="J209" i="2"/>
  <c r="I209" i="2"/>
  <c r="K209" i="2" s="1"/>
  <c r="H209" i="2"/>
  <c r="G209" i="2"/>
  <c r="F209" i="2"/>
  <c r="E209" i="2"/>
  <c r="D209" i="2"/>
  <c r="C209" i="2"/>
  <c r="B209" i="2"/>
  <c r="A209" i="2"/>
  <c r="Q208" i="2"/>
  <c r="M208" i="2"/>
  <c r="L208" i="2"/>
  <c r="J208" i="2"/>
  <c r="H208" i="2"/>
  <c r="F208" i="2"/>
  <c r="E208" i="2"/>
  <c r="D208" i="2"/>
  <c r="C208" i="2"/>
  <c r="B208" i="2"/>
  <c r="A208" i="2"/>
  <c r="Q207" i="2"/>
  <c r="N207" i="2"/>
  <c r="P207" i="2" s="1"/>
  <c r="M207" i="2"/>
  <c r="L207" i="2"/>
  <c r="J207" i="2"/>
  <c r="K207" i="2" s="1"/>
  <c r="O207" i="2" s="1"/>
  <c r="I207" i="2"/>
  <c r="H207" i="2"/>
  <c r="F207" i="2"/>
  <c r="E207" i="2"/>
  <c r="D207" i="2"/>
  <c r="C207" i="2"/>
  <c r="B207" i="2"/>
  <c r="A207" i="2"/>
  <c r="Q206" i="2"/>
  <c r="O206" i="2"/>
  <c r="N206" i="2"/>
  <c r="P206" i="2" s="1"/>
  <c r="M206" i="2"/>
  <c r="L206" i="2"/>
  <c r="K206" i="2"/>
  <c r="J206" i="2"/>
  <c r="I206" i="2"/>
  <c r="H206" i="2"/>
  <c r="F206" i="2"/>
  <c r="E206" i="2"/>
  <c r="D206" i="2"/>
  <c r="C206" i="2"/>
  <c r="B206" i="2"/>
  <c r="A206" i="2"/>
  <c r="Q205" i="2"/>
  <c r="N205" i="2"/>
  <c r="P205" i="2" s="1"/>
  <c r="M205" i="2"/>
  <c r="L205" i="2"/>
  <c r="J205" i="2"/>
  <c r="K205" i="2" s="1"/>
  <c r="I205" i="2"/>
  <c r="H205" i="2"/>
  <c r="F205" i="2"/>
  <c r="E205" i="2"/>
  <c r="D205" i="2"/>
  <c r="C205" i="2"/>
  <c r="B205" i="2"/>
  <c r="A205" i="2"/>
  <c r="Q204" i="2"/>
  <c r="M204" i="2"/>
  <c r="L204" i="2"/>
  <c r="N204" i="2" s="1"/>
  <c r="P204" i="2" s="1"/>
  <c r="J204" i="2"/>
  <c r="K204" i="2" s="1"/>
  <c r="I204" i="2"/>
  <c r="H204" i="2"/>
  <c r="G204" i="2"/>
  <c r="F204" i="2"/>
  <c r="E204" i="2"/>
  <c r="D204" i="2"/>
  <c r="C204" i="2"/>
  <c r="B204" i="2"/>
  <c r="A204" i="2"/>
  <c r="Q203" i="2"/>
  <c r="M203" i="2"/>
  <c r="L203" i="2"/>
  <c r="N203" i="2" s="1"/>
  <c r="P203" i="2" s="1"/>
  <c r="J203" i="2"/>
  <c r="I203" i="2"/>
  <c r="H203" i="2"/>
  <c r="F203" i="2"/>
  <c r="E203" i="2"/>
  <c r="D203" i="2"/>
  <c r="C203" i="2"/>
  <c r="B203" i="2"/>
  <c r="A203" i="2"/>
  <c r="Q202" i="2"/>
  <c r="M202" i="2"/>
  <c r="L202" i="2"/>
  <c r="N202" i="2" s="1"/>
  <c r="P202" i="2" s="1"/>
  <c r="J202" i="2"/>
  <c r="I202" i="2"/>
  <c r="K202" i="2" s="1"/>
  <c r="O202" i="2" s="1"/>
  <c r="H202" i="2"/>
  <c r="F202" i="2"/>
  <c r="E202" i="2"/>
  <c r="D202" i="2"/>
  <c r="C202" i="2"/>
  <c r="B202" i="2"/>
  <c r="A202" i="2"/>
  <c r="Q201" i="2"/>
  <c r="N201" i="2"/>
  <c r="P201" i="2" s="1"/>
  <c r="M201" i="2"/>
  <c r="L201" i="2"/>
  <c r="J201" i="2"/>
  <c r="I201" i="2"/>
  <c r="H201" i="2"/>
  <c r="F201" i="2"/>
  <c r="E201" i="2"/>
  <c r="D201" i="2"/>
  <c r="C201" i="2"/>
  <c r="B201" i="2"/>
  <c r="A201" i="2"/>
  <c r="Q200" i="2"/>
  <c r="N200" i="2"/>
  <c r="P200" i="2" s="1"/>
  <c r="M200" i="2"/>
  <c r="L200" i="2"/>
  <c r="K200" i="2"/>
  <c r="J200" i="2"/>
  <c r="I200" i="2"/>
  <c r="H200" i="2"/>
  <c r="F200" i="2"/>
  <c r="E200" i="2"/>
  <c r="D200" i="2"/>
  <c r="C200" i="2"/>
  <c r="B200" i="2"/>
  <c r="A200" i="2"/>
  <c r="Q199" i="2"/>
  <c r="M199" i="2"/>
  <c r="L199" i="2"/>
  <c r="N199" i="2" s="1"/>
  <c r="P199" i="2" s="1"/>
  <c r="K199" i="2"/>
  <c r="J199" i="2"/>
  <c r="I199" i="2"/>
  <c r="H199" i="2"/>
  <c r="F199" i="2"/>
  <c r="E199" i="2"/>
  <c r="D199" i="2"/>
  <c r="C199" i="2"/>
  <c r="B199" i="2"/>
  <c r="A199" i="2"/>
  <c r="Q198" i="2"/>
  <c r="M198" i="2"/>
  <c r="N198" i="2" s="1"/>
  <c r="L198" i="2"/>
  <c r="J198" i="2"/>
  <c r="I198" i="2"/>
  <c r="H198" i="2"/>
  <c r="G198" i="2"/>
  <c r="F198" i="2"/>
  <c r="E198" i="2"/>
  <c r="D198" i="2"/>
  <c r="C198" i="2"/>
  <c r="B198" i="2"/>
  <c r="A198" i="2"/>
  <c r="Q197" i="2"/>
  <c r="N197" i="2"/>
  <c r="P197" i="2" s="1"/>
  <c r="M197" i="2"/>
  <c r="L197" i="2"/>
  <c r="J197" i="2"/>
  <c r="I197" i="2"/>
  <c r="H197" i="2"/>
  <c r="F197" i="2"/>
  <c r="E197" i="2"/>
  <c r="D197" i="2"/>
  <c r="C197" i="2"/>
  <c r="B197" i="2"/>
  <c r="A197" i="2"/>
  <c r="Q196" i="2"/>
  <c r="M196" i="2"/>
  <c r="L196" i="2"/>
  <c r="N196" i="2" s="1"/>
  <c r="J196" i="2"/>
  <c r="I196" i="2"/>
  <c r="K196" i="2" s="1"/>
  <c r="O196" i="2" s="1"/>
  <c r="H196" i="2"/>
  <c r="G196" i="2"/>
  <c r="F196" i="2"/>
  <c r="E196" i="2"/>
  <c r="D196" i="2"/>
  <c r="C196" i="2"/>
  <c r="B196" i="2"/>
  <c r="A196" i="2"/>
  <c r="Q195" i="2"/>
  <c r="O195" i="2"/>
  <c r="M195" i="2"/>
  <c r="L195" i="2"/>
  <c r="N195" i="2" s="1"/>
  <c r="P195" i="2" s="1"/>
  <c r="J195" i="2"/>
  <c r="I195" i="2"/>
  <c r="K195" i="2" s="1"/>
  <c r="H195" i="2"/>
  <c r="F195" i="2"/>
  <c r="E195" i="2"/>
  <c r="D195" i="2"/>
  <c r="C195" i="2"/>
  <c r="B195" i="2"/>
  <c r="A195" i="2"/>
  <c r="Q194" i="2"/>
  <c r="N194" i="2"/>
  <c r="P194" i="2" s="1"/>
  <c r="M194" i="2"/>
  <c r="L194" i="2"/>
  <c r="J194" i="2"/>
  <c r="I194" i="2"/>
  <c r="K194" i="2" s="1"/>
  <c r="H194" i="2"/>
  <c r="F194" i="2"/>
  <c r="E194" i="2"/>
  <c r="D194" i="2"/>
  <c r="C194" i="2"/>
  <c r="B194" i="2"/>
  <c r="A194" i="2"/>
  <c r="Q193" i="2"/>
  <c r="M193" i="2"/>
  <c r="L193" i="2"/>
  <c r="N193" i="2" s="1"/>
  <c r="P193" i="2" s="1"/>
  <c r="K193" i="2"/>
  <c r="J193" i="2"/>
  <c r="I193" i="2"/>
  <c r="H193" i="2"/>
  <c r="F193" i="2"/>
  <c r="E193" i="2"/>
  <c r="D193" i="2"/>
  <c r="C193" i="2"/>
  <c r="B193" i="2"/>
  <c r="A193" i="2"/>
  <c r="Q192" i="2"/>
  <c r="M192" i="2"/>
  <c r="L192" i="2"/>
  <c r="N192" i="2" s="1"/>
  <c r="P192" i="2" s="1"/>
  <c r="J192" i="2"/>
  <c r="I192" i="2"/>
  <c r="K192" i="2" s="1"/>
  <c r="H192" i="2"/>
  <c r="F192" i="2"/>
  <c r="E192" i="2"/>
  <c r="D192" i="2"/>
  <c r="C192" i="2"/>
  <c r="B192" i="2"/>
  <c r="A192" i="2"/>
  <c r="Q191" i="2"/>
  <c r="N191" i="2"/>
  <c r="P191" i="2" s="1"/>
  <c r="M191" i="2"/>
  <c r="L191" i="2"/>
  <c r="J191" i="2"/>
  <c r="H191" i="2"/>
  <c r="G191" i="2"/>
  <c r="F191" i="2"/>
  <c r="E191" i="2"/>
  <c r="D191" i="2"/>
  <c r="C191" i="2"/>
  <c r="B191" i="2"/>
  <c r="A191" i="2"/>
  <c r="Q190" i="2"/>
  <c r="M190" i="2"/>
  <c r="L190" i="2"/>
  <c r="N190" i="2" s="1"/>
  <c r="P190" i="2" s="1"/>
  <c r="K190" i="2"/>
  <c r="O190" i="2" s="1"/>
  <c r="J190" i="2"/>
  <c r="I190" i="2"/>
  <c r="H190" i="2"/>
  <c r="G190" i="2"/>
  <c r="F190" i="2"/>
  <c r="E190" i="2"/>
  <c r="D190" i="2"/>
  <c r="C190" i="2"/>
  <c r="B190" i="2"/>
  <c r="A190" i="2"/>
  <c r="Q189" i="2"/>
  <c r="M189" i="2"/>
  <c r="L189" i="2"/>
  <c r="N189" i="2" s="1"/>
  <c r="P189" i="2" s="1"/>
  <c r="J189" i="2"/>
  <c r="H189" i="2"/>
  <c r="F189" i="2"/>
  <c r="E189" i="2"/>
  <c r="D189" i="2"/>
  <c r="C189" i="2"/>
  <c r="B189" i="2"/>
  <c r="A189" i="2"/>
  <c r="Q188" i="2"/>
  <c r="M188" i="2"/>
  <c r="N188" i="2" s="1"/>
  <c r="P188" i="2" s="1"/>
  <c r="L188" i="2"/>
  <c r="J188" i="2"/>
  <c r="H188" i="2"/>
  <c r="F188" i="2"/>
  <c r="E188" i="2"/>
  <c r="D188" i="2"/>
  <c r="C188" i="2"/>
  <c r="B188" i="2"/>
  <c r="A188" i="2"/>
  <c r="Q187" i="2"/>
  <c r="N187" i="2"/>
  <c r="P187" i="2" s="1"/>
  <c r="M187" i="2"/>
  <c r="L187" i="2"/>
  <c r="K187" i="2"/>
  <c r="J187" i="2"/>
  <c r="I187" i="2"/>
  <c r="H187" i="2"/>
  <c r="F187" i="2"/>
  <c r="E187" i="2"/>
  <c r="D187" i="2"/>
  <c r="C187" i="2"/>
  <c r="B187" i="2"/>
  <c r="A187" i="2"/>
  <c r="Q186" i="2"/>
  <c r="M186" i="2"/>
  <c r="N186" i="2" s="1"/>
  <c r="P186" i="2" s="1"/>
  <c r="L186" i="2"/>
  <c r="J186" i="2"/>
  <c r="I186" i="2"/>
  <c r="K186" i="2" s="1"/>
  <c r="H186" i="2"/>
  <c r="F186" i="2"/>
  <c r="E186" i="2"/>
  <c r="D186" i="2"/>
  <c r="C186" i="2"/>
  <c r="B186" i="2"/>
  <c r="A186" i="2"/>
  <c r="Q185" i="2"/>
  <c r="P185" i="2"/>
  <c r="M185" i="2"/>
  <c r="N185" i="2" s="1"/>
  <c r="L185" i="2"/>
  <c r="J185" i="2"/>
  <c r="K185" i="2" s="1"/>
  <c r="I185" i="2"/>
  <c r="H185" i="2"/>
  <c r="F185" i="2"/>
  <c r="E185" i="2"/>
  <c r="D185" i="2"/>
  <c r="C185" i="2"/>
  <c r="B185" i="2"/>
  <c r="A185" i="2"/>
  <c r="Q184" i="2"/>
  <c r="M184" i="2"/>
  <c r="L184" i="2"/>
  <c r="J184" i="2"/>
  <c r="H184" i="2"/>
  <c r="F184" i="2"/>
  <c r="E184" i="2"/>
  <c r="D184" i="2"/>
  <c r="C184" i="2"/>
  <c r="B184" i="2"/>
  <c r="A184" i="2"/>
  <c r="Q183" i="2"/>
  <c r="M183" i="2"/>
  <c r="L183" i="2"/>
  <c r="N183" i="2" s="1"/>
  <c r="P183" i="2" s="1"/>
  <c r="J183" i="2"/>
  <c r="I183" i="2"/>
  <c r="K183" i="2" s="1"/>
  <c r="H183" i="2"/>
  <c r="F183" i="2"/>
  <c r="E183" i="2"/>
  <c r="D183" i="2"/>
  <c r="C183" i="2"/>
  <c r="B183" i="2"/>
  <c r="A183" i="2"/>
  <c r="Q182" i="2"/>
  <c r="M182" i="2"/>
  <c r="L182" i="2"/>
  <c r="N182" i="2" s="1"/>
  <c r="P182" i="2" s="1"/>
  <c r="J182" i="2"/>
  <c r="I182" i="2"/>
  <c r="K182" i="2" s="1"/>
  <c r="H182" i="2"/>
  <c r="F182" i="2"/>
  <c r="E182" i="2"/>
  <c r="D182" i="2"/>
  <c r="C182" i="2"/>
  <c r="B182" i="2"/>
  <c r="A182" i="2"/>
  <c r="Q181" i="2"/>
  <c r="N181" i="2"/>
  <c r="M181" i="2"/>
  <c r="L181" i="2"/>
  <c r="J181" i="2"/>
  <c r="I181" i="2"/>
  <c r="K181" i="2" s="1"/>
  <c r="H181" i="2"/>
  <c r="F181" i="2"/>
  <c r="E181" i="2"/>
  <c r="D181" i="2"/>
  <c r="C181" i="2"/>
  <c r="B181" i="2"/>
  <c r="A181" i="2"/>
  <c r="Q180" i="2"/>
  <c r="N180" i="2"/>
  <c r="P180" i="2" s="1"/>
  <c r="M180" i="2"/>
  <c r="L180" i="2"/>
  <c r="J180" i="2"/>
  <c r="H180" i="2"/>
  <c r="F180" i="2"/>
  <c r="E180" i="2"/>
  <c r="D180" i="2"/>
  <c r="C180" i="2"/>
  <c r="B180" i="2"/>
  <c r="A180" i="2"/>
  <c r="Q179" i="2"/>
  <c r="P179" i="2"/>
  <c r="M179" i="2"/>
  <c r="L179" i="2"/>
  <c r="N179" i="2" s="1"/>
  <c r="J179" i="2"/>
  <c r="K179" i="2" s="1"/>
  <c r="I179" i="2"/>
  <c r="H179" i="2"/>
  <c r="F179" i="2"/>
  <c r="E179" i="2"/>
  <c r="D179" i="2"/>
  <c r="C179" i="2"/>
  <c r="B179" i="2"/>
  <c r="A179" i="2"/>
  <c r="Q178" i="2"/>
  <c r="M178" i="2"/>
  <c r="L178" i="2"/>
  <c r="K178" i="2"/>
  <c r="J178" i="2"/>
  <c r="I178" i="2"/>
  <c r="H178" i="2"/>
  <c r="F178" i="2"/>
  <c r="E178" i="2"/>
  <c r="D178" i="2"/>
  <c r="C178" i="2"/>
  <c r="B178" i="2"/>
  <c r="A178" i="2"/>
  <c r="Q177" i="2"/>
  <c r="N177" i="2"/>
  <c r="P177" i="2" s="1"/>
  <c r="M177" i="2"/>
  <c r="L177" i="2"/>
  <c r="J177" i="2"/>
  <c r="I177" i="2"/>
  <c r="K177" i="2" s="1"/>
  <c r="H177" i="2"/>
  <c r="F177" i="2"/>
  <c r="E177" i="2"/>
  <c r="D177" i="2"/>
  <c r="C177" i="2"/>
  <c r="B177" i="2"/>
  <c r="A177" i="2"/>
  <c r="Q176" i="2"/>
  <c r="M176" i="2"/>
  <c r="L176" i="2"/>
  <c r="J176" i="2"/>
  <c r="I176" i="2"/>
  <c r="K176" i="2" s="1"/>
  <c r="O176" i="2" s="1"/>
  <c r="H176" i="2"/>
  <c r="F176" i="2"/>
  <c r="E176" i="2"/>
  <c r="D176" i="2"/>
  <c r="C176" i="2"/>
  <c r="B176" i="2"/>
  <c r="A176" i="2"/>
  <c r="Q175" i="2"/>
  <c r="M175" i="2"/>
  <c r="L175" i="2"/>
  <c r="N175" i="2" s="1"/>
  <c r="P175" i="2" s="1"/>
  <c r="K175" i="2"/>
  <c r="J175" i="2"/>
  <c r="I175" i="2"/>
  <c r="H175" i="2"/>
  <c r="F175" i="2"/>
  <c r="E175" i="2"/>
  <c r="D175" i="2"/>
  <c r="C175" i="2"/>
  <c r="B175" i="2"/>
  <c r="A175" i="2"/>
  <c r="Q174" i="2"/>
  <c r="N174" i="2"/>
  <c r="M174" i="2"/>
  <c r="L174" i="2"/>
  <c r="K174" i="2"/>
  <c r="J174" i="2"/>
  <c r="I174" i="2"/>
  <c r="H174" i="2"/>
  <c r="F174" i="2"/>
  <c r="E174" i="2"/>
  <c r="D174" i="2"/>
  <c r="C174" i="2"/>
  <c r="B174" i="2"/>
  <c r="A174" i="2"/>
  <c r="Q173" i="2"/>
  <c r="M173" i="2"/>
  <c r="N173" i="2" s="1"/>
  <c r="P173" i="2" s="1"/>
  <c r="L173" i="2"/>
  <c r="J173" i="2"/>
  <c r="H173" i="2"/>
  <c r="F173" i="2"/>
  <c r="E173" i="2"/>
  <c r="D173" i="2"/>
  <c r="C173" i="2"/>
  <c r="B173" i="2"/>
  <c r="A173" i="2"/>
  <c r="Q172" i="2"/>
  <c r="M172" i="2"/>
  <c r="L172" i="2"/>
  <c r="J172" i="2"/>
  <c r="H172" i="2"/>
  <c r="G172" i="2"/>
  <c r="F172" i="2"/>
  <c r="E172" i="2"/>
  <c r="D172" i="2"/>
  <c r="C172" i="2"/>
  <c r="B172" i="2"/>
  <c r="A172" i="2"/>
  <c r="Q171" i="2"/>
  <c r="M171" i="2"/>
  <c r="L171" i="2"/>
  <c r="N171" i="2" s="1"/>
  <c r="P171" i="2" s="1"/>
  <c r="J171" i="2"/>
  <c r="I171" i="2"/>
  <c r="K171" i="2" s="1"/>
  <c r="H171" i="2"/>
  <c r="F171" i="2"/>
  <c r="E171" i="2"/>
  <c r="D171" i="2"/>
  <c r="C171" i="2"/>
  <c r="B171" i="2"/>
  <c r="A171" i="2"/>
  <c r="Q170" i="2"/>
  <c r="M170" i="2"/>
  <c r="L170" i="2"/>
  <c r="N170" i="2" s="1"/>
  <c r="P170" i="2" s="1"/>
  <c r="J170" i="2"/>
  <c r="I170" i="2"/>
  <c r="K170" i="2" s="1"/>
  <c r="H170" i="2"/>
  <c r="F170" i="2"/>
  <c r="E170" i="2"/>
  <c r="D170" i="2"/>
  <c r="C170" i="2"/>
  <c r="B170" i="2"/>
  <c r="A170" i="2"/>
  <c r="Q169" i="2"/>
  <c r="P169" i="2"/>
  <c r="N169" i="2"/>
  <c r="M169" i="2"/>
  <c r="L169" i="2"/>
  <c r="J169" i="2"/>
  <c r="I169" i="2"/>
  <c r="K169" i="2" s="1"/>
  <c r="H169" i="2"/>
  <c r="F169" i="2"/>
  <c r="E169" i="2"/>
  <c r="D169" i="2"/>
  <c r="C169" i="2"/>
  <c r="B169" i="2"/>
  <c r="A169" i="2"/>
  <c r="Q168" i="2"/>
  <c r="N168" i="2"/>
  <c r="M168" i="2"/>
  <c r="L168" i="2"/>
  <c r="K168" i="2"/>
  <c r="J168" i="2"/>
  <c r="I168" i="2"/>
  <c r="H168" i="2"/>
  <c r="F168" i="2"/>
  <c r="E168" i="2"/>
  <c r="D168" i="2"/>
  <c r="C168" i="2"/>
  <c r="B168" i="2"/>
  <c r="A168" i="2"/>
  <c r="Q167" i="2"/>
  <c r="N167" i="2"/>
  <c r="P167" i="2" s="1"/>
  <c r="M167" i="2"/>
  <c r="L167" i="2"/>
  <c r="K167" i="2"/>
  <c r="J167" i="2"/>
  <c r="I167" i="2"/>
  <c r="H167" i="2"/>
  <c r="F167" i="2"/>
  <c r="E167" i="2"/>
  <c r="D167" i="2"/>
  <c r="C167" i="2"/>
  <c r="B167" i="2"/>
  <c r="A167" i="2"/>
  <c r="Q166" i="2"/>
  <c r="P166" i="2"/>
  <c r="M166" i="2"/>
  <c r="N166" i="2" s="1"/>
  <c r="L166" i="2"/>
  <c r="J166" i="2"/>
  <c r="I166" i="2"/>
  <c r="K166" i="2" s="1"/>
  <c r="H166" i="2"/>
  <c r="F166" i="2"/>
  <c r="E166" i="2"/>
  <c r="D166" i="2"/>
  <c r="C166" i="2"/>
  <c r="B166" i="2"/>
  <c r="A166" i="2"/>
  <c r="Q165" i="2"/>
  <c r="M165" i="2"/>
  <c r="N165" i="2" s="1"/>
  <c r="P165" i="2" s="1"/>
  <c r="L165" i="2"/>
  <c r="J165" i="2"/>
  <c r="K165" i="2" s="1"/>
  <c r="I165" i="2"/>
  <c r="H165" i="2"/>
  <c r="F165" i="2"/>
  <c r="E165" i="2"/>
  <c r="D165" i="2"/>
  <c r="C165" i="2"/>
  <c r="B165" i="2"/>
  <c r="A165" i="2"/>
  <c r="Q164" i="2"/>
  <c r="M164" i="2"/>
  <c r="J164" i="2"/>
  <c r="H164" i="2"/>
  <c r="F164" i="2"/>
  <c r="E164" i="2"/>
  <c r="D164" i="2"/>
  <c r="C164" i="2"/>
  <c r="B164" i="2"/>
  <c r="A164" i="2"/>
  <c r="Q163" i="2"/>
  <c r="M163" i="2"/>
  <c r="L163" i="2"/>
  <c r="N163" i="2" s="1"/>
  <c r="P163" i="2" s="1"/>
  <c r="J163" i="2"/>
  <c r="I163" i="2"/>
  <c r="H163" i="2"/>
  <c r="F163" i="2"/>
  <c r="E163" i="2"/>
  <c r="D163" i="2"/>
  <c r="C163" i="2"/>
  <c r="B163" i="2"/>
  <c r="A163" i="2"/>
  <c r="Q162" i="2"/>
  <c r="N162" i="2"/>
  <c r="M162" i="2"/>
  <c r="L162" i="2"/>
  <c r="J162" i="2"/>
  <c r="I162" i="2"/>
  <c r="K162" i="2" s="1"/>
  <c r="H162" i="2"/>
  <c r="F162" i="2"/>
  <c r="E162" i="2"/>
  <c r="D162" i="2"/>
  <c r="C162" i="2"/>
  <c r="B162" i="2"/>
  <c r="A162" i="2"/>
  <c r="Q161" i="2"/>
  <c r="M161" i="2"/>
  <c r="L161" i="2"/>
  <c r="N161" i="2" s="1"/>
  <c r="P161" i="2" s="1"/>
  <c r="K161" i="2"/>
  <c r="J161" i="2"/>
  <c r="I161" i="2"/>
  <c r="H161" i="2"/>
  <c r="F161" i="2"/>
  <c r="E161" i="2"/>
  <c r="D161" i="2"/>
  <c r="C161" i="2"/>
  <c r="B161" i="2"/>
  <c r="A161" i="2"/>
  <c r="Q160" i="2"/>
  <c r="N160" i="2"/>
  <c r="P160" i="2" s="1"/>
  <c r="M160" i="2"/>
  <c r="L160" i="2"/>
  <c r="J160" i="2"/>
  <c r="K160" i="2" s="1"/>
  <c r="I160" i="2"/>
  <c r="H160" i="2"/>
  <c r="F160" i="2"/>
  <c r="E160" i="2"/>
  <c r="D160" i="2"/>
  <c r="C160" i="2"/>
  <c r="B160" i="2"/>
  <c r="A160" i="2"/>
  <c r="Q159" i="2"/>
  <c r="P159" i="2"/>
  <c r="N159" i="2"/>
  <c r="M159" i="2"/>
  <c r="L159" i="2"/>
  <c r="J159" i="2"/>
  <c r="I159" i="2"/>
  <c r="H159" i="2"/>
  <c r="F159" i="2"/>
  <c r="E159" i="2"/>
  <c r="D159" i="2"/>
  <c r="C159" i="2"/>
  <c r="B159" i="2"/>
  <c r="A159" i="2"/>
  <c r="Q158" i="2"/>
  <c r="N158" i="2"/>
  <c r="P158" i="2" s="1"/>
  <c r="M158" i="2"/>
  <c r="L158" i="2"/>
  <c r="J158" i="2"/>
  <c r="K158" i="2" s="1"/>
  <c r="O158" i="2" s="1"/>
  <c r="I158" i="2"/>
  <c r="H158" i="2"/>
  <c r="G158" i="2"/>
  <c r="F158" i="2"/>
  <c r="E158" i="2"/>
  <c r="D158" i="2"/>
  <c r="C158" i="2"/>
  <c r="B158" i="2"/>
  <c r="A158" i="2"/>
  <c r="Q157" i="2"/>
  <c r="M157" i="2"/>
  <c r="L157" i="2"/>
  <c r="N157" i="2" s="1"/>
  <c r="P157" i="2" s="1"/>
  <c r="J157" i="2"/>
  <c r="H157" i="2"/>
  <c r="F157" i="2"/>
  <c r="E157" i="2"/>
  <c r="D157" i="2"/>
  <c r="C157" i="2"/>
  <c r="B157" i="2"/>
  <c r="A157" i="2"/>
  <c r="Q156" i="2"/>
  <c r="M156" i="2"/>
  <c r="L156" i="2"/>
  <c r="N156" i="2" s="1"/>
  <c r="P156" i="2" s="1"/>
  <c r="J156" i="2"/>
  <c r="I156" i="2"/>
  <c r="K156" i="2" s="1"/>
  <c r="H156" i="2"/>
  <c r="F156" i="2"/>
  <c r="E156" i="2"/>
  <c r="D156" i="2"/>
  <c r="C156" i="2"/>
  <c r="B156" i="2"/>
  <c r="A156" i="2"/>
  <c r="Q155" i="2"/>
  <c r="M155" i="2"/>
  <c r="N155" i="2" s="1"/>
  <c r="P155" i="2" s="1"/>
  <c r="L155" i="2"/>
  <c r="K155" i="2"/>
  <c r="J155" i="2"/>
  <c r="I155" i="2"/>
  <c r="H155" i="2"/>
  <c r="F155" i="2"/>
  <c r="E155" i="2"/>
  <c r="D155" i="2"/>
  <c r="C155" i="2"/>
  <c r="B155" i="2"/>
  <c r="A155" i="2"/>
  <c r="Q154" i="2"/>
  <c r="N154" i="2"/>
  <c r="M154" i="2"/>
  <c r="L154" i="2"/>
  <c r="K154" i="2"/>
  <c r="J154" i="2"/>
  <c r="I154" i="2"/>
  <c r="H154" i="2"/>
  <c r="P154" i="2" s="1"/>
  <c r="F154" i="2"/>
  <c r="E154" i="2"/>
  <c r="D154" i="2"/>
  <c r="C154" i="2"/>
  <c r="B154" i="2"/>
  <c r="A154" i="2"/>
  <c r="Q153" i="2"/>
  <c r="M153" i="2"/>
  <c r="N153" i="2" s="1"/>
  <c r="P153" i="2" s="1"/>
  <c r="L153" i="2"/>
  <c r="J153" i="2"/>
  <c r="K153" i="2" s="1"/>
  <c r="I153" i="2"/>
  <c r="H153" i="2"/>
  <c r="F153" i="2"/>
  <c r="E153" i="2"/>
  <c r="D153" i="2"/>
  <c r="C153" i="2"/>
  <c r="B153" i="2"/>
  <c r="A153" i="2"/>
  <c r="Q152" i="2"/>
  <c r="M152" i="2"/>
  <c r="L152" i="2"/>
  <c r="J152" i="2"/>
  <c r="K152" i="2" s="1"/>
  <c r="I152" i="2"/>
  <c r="H152" i="2"/>
  <c r="F152" i="2"/>
  <c r="E152" i="2"/>
  <c r="D152" i="2"/>
  <c r="C152" i="2"/>
  <c r="B152" i="2"/>
  <c r="A152" i="2"/>
  <c r="Q151" i="2"/>
  <c r="M151" i="2"/>
  <c r="L151" i="2"/>
  <c r="N151" i="2" s="1"/>
  <c r="J151" i="2"/>
  <c r="I151" i="2"/>
  <c r="K151" i="2" s="1"/>
  <c r="H151" i="2"/>
  <c r="F151" i="2"/>
  <c r="E151" i="2"/>
  <c r="D151" i="2"/>
  <c r="C151" i="2"/>
  <c r="B151" i="2"/>
  <c r="A151" i="2"/>
  <c r="Q150" i="2"/>
  <c r="O150" i="2"/>
  <c r="M150" i="2"/>
  <c r="N150" i="2" s="1"/>
  <c r="P150" i="2" s="1"/>
  <c r="L150" i="2"/>
  <c r="J150" i="2"/>
  <c r="I150" i="2"/>
  <c r="K150" i="2" s="1"/>
  <c r="H150" i="2"/>
  <c r="F150" i="2"/>
  <c r="E150" i="2"/>
  <c r="D150" i="2"/>
  <c r="C150" i="2"/>
  <c r="B150" i="2"/>
  <c r="A150" i="2"/>
  <c r="Q149" i="2"/>
  <c r="N149" i="2"/>
  <c r="M149" i="2"/>
  <c r="L149" i="2"/>
  <c r="J149" i="2"/>
  <c r="H149" i="2"/>
  <c r="F149" i="2"/>
  <c r="E149" i="2"/>
  <c r="D149" i="2"/>
  <c r="C149" i="2"/>
  <c r="B149" i="2"/>
  <c r="A149" i="2"/>
  <c r="Q148" i="2"/>
  <c r="P148" i="2"/>
  <c r="N148" i="2"/>
  <c r="M148" i="2"/>
  <c r="L148" i="2"/>
  <c r="K148" i="2"/>
  <c r="J148" i="2"/>
  <c r="I148" i="2"/>
  <c r="H148" i="2"/>
  <c r="F148" i="2"/>
  <c r="E148" i="2"/>
  <c r="D148" i="2"/>
  <c r="C148" i="2"/>
  <c r="B148" i="2"/>
  <c r="A148" i="2"/>
  <c r="Q147" i="2"/>
  <c r="P147" i="2"/>
  <c r="M147" i="2"/>
  <c r="L147" i="2"/>
  <c r="N147" i="2" s="1"/>
  <c r="J147" i="2"/>
  <c r="K147" i="2" s="1"/>
  <c r="I147" i="2"/>
  <c r="H147" i="2"/>
  <c r="F147" i="2"/>
  <c r="E147" i="2"/>
  <c r="D147" i="2"/>
  <c r="C147" i="2"/>
  <c r="B147" i="2"/>
  <c r="A147" i="2"/>
  <c r="Q146" i="2"/>
  <c r="M146" i="2"/>
  <c r="L146" i="2"/>
  <c r="J146" i="2"/>
  <c r="K146" i="2" s="1"/>
  <c r="I146" i="2"/>
  <c r="H146" i="2"/>
  <c r="F146" i="2"/>
  <c r="E146" i="2"/>
  <c r="D146" i="2"/>
  <c r="C146" i="2"/>
  <c r="B146" i="2"/>
  <c r="A146" i="2"/>
  <c r="Q145" i="2"/>
  <c r="N145" i="2"/>
  <c r="P145" i="2" s="1"/>
  <c r="M145" i="2"/>
  <c r="L145" i="2"/>
  <c r="J145" i="2"/>
  <c r="I145" i="2"/>
  <c r="K145" i="2" s="1"/>
  <c r="H145" i="2"/>
  <c r="F145" i="2"/>
  <c r="E145" i="2"/>
  <c r="D145" i="2"/>
  <c r="C145" i="2"/>
  <c r="B145" i="2"/>
  <c r="A145" i="2"/>
  <c r="Q144" i="2"/>
  <c r="M144" i="2"/>
  <c r="L144" i="2"/>
  <c r="J144" i="2"/>
  <c r="I144" i="2"/>
  <c r="K144" i="2" s="1"/>
  <c r="O144" i="2" s="1"/>
  <c r="H144" i="2"/>
  <c r="F144" i="2"/>
  <c r="E144" i="2"/>
  <c r="D144" i="2"/>
  <c r="C144" i="2"/>
  <c r="B144" i="2"/>
  <c r="A144" i="2"/>
  <c r="Q143" i="2"/>
  <c r="M143" i="2"/>
  <c r="L143" i="2"/>
  <c r="N143" i="2" s="1"/>
  <c r="P143" i="2" s="1"/>
  <c r="K143" i="2"/>
  <c r="J143" i="2"/>
  <c r="I143" i="2"/>
  <c r="H143" i="2"/>
  <c r="F143" i="2"/>
  <c r="E143" i="2"/>
  <c r="D143" i="2"/>
  <c r="C143" i="2"/>
  <c r="B143" i="2"/>
  <c r="A143" i="2"/>
  <c r="Q142" i="2"/>
  <c r="N142" i="2"/>
  <c r="M142" i="2"/>
  <c r="L142" i="2"/>
  <c r="K142" i="2"/>
  <c r="J142" i="2"/>
  <c r="I142" i="2"/>
  <c r="H142" i="2"/>
  <c r="F142" i="2"/>
  <c r="E142" i="2"/>
  <c r="D142" i="2"/>
  <c r="C142" i="2"/>
  <c r="B142" i="2"/>
  <c r="A142" i="2"/>
  <c r="Q141" i="2"/>
  <c r="M141" i="2"/>
  <c r="N141" i="2" s="1"/>
  <c r="P141" i="2" s="1"/>
  <c r="L141" i="2"/>
  <c r="K141" i="2"/>
  <c r="J141" i="2"/>
  <c r="I141" i="2"/>
  <c r="H141" i="2"/>
  <c r="F141" i="2"/>
  <c r="E141" i="2"/>
  <c r="D141" i="2"/>
  <c r="C141" i="2"/>
  <c r="B141" i="2"/>
  <c r="A141" i="2"/>
  <c r="Q140" i="2"/>
  <c r="M140" i="2"/>
  <c r="L140" i="2"/>
  <c r="J140" i="2"/>
  <c r="K140" i="2" s="1"/>
  <c r="I140" i="2"/>
  <c r="H140" i="2"/>
  <c r="F140" i="2"/>
  <c r="E140" i="2"/>
  <c r="D140" i="2"/>
  <c r="C140" i="2"/>
  <c r="B140" i="2"/>
  <c r="A140" i="2"/>
  <c r="Q139" i="2"/>
  <c r="M139" i="2"/>
  <c r="L139" i="2"/>
  <c r="N139" i="2" s="1"/>
  <c r="P139" i="2" s="1"/>
  <c r="J139" i="2"/>
  <c r="H139" i="2"/>
  <c r="F139" i="2"/>
  <c r="E139" i="2"/>
  <c r="D139" i="2"/>
  <c r="C139" i="2"/>
  <c r="B139" i="2"/>
  <c r="A139" i="2"/>
  <c r="Q138" i="2"/>
  <c r="M138" i="2"/>
  <c r="L138" i="2"/>
  <c r="N138" i="2" s="1"/>
  <c r="P138" i="2" s="1"/>
  <c r="J138" i="2"/>
  <c r="I138" i="2"/>
  <c r="K138" i="2" s="1"/>
  <c r="O138" i="2" s="1"/>
  <c r="H138" i="2"/>
  <c r="F138" i="2"/>
  <c r="E138" i="2"/>
  <c r="D138" i="2"/>
  <c r="C138" i="2"/>
  <c r="B138" i="2"/>
  <c r="A138" i="2"/>
  <c r="Q137" i="2"/>
  <c r="N137" i="2"/>
  <c r="P137" i="2" s="1"/>
  <c r="M137" i="2"/>
  <c r="L137" i="2"/>
  <c r="J137" i="2"/>
  <c r="K137" i="2" s="1"/>
  <c r="I137" i="2"/>
  <c r="H137" i="2"/>
  <c r="F137" i="2"/>
  <c r="E137" i="2"/>
  <c r="D137" i="2"/>
  <c r="C137" i="2"/>
  <c r="B137" i="2"/>
  <c r="A137" i="2"/>
  <c r="Q136" i="2"/>
  <c r="N136" i="2"/>
  <c r="M136" i="2"/>
  <c r="L136" i="2"/>
  <c r="K136" i="2"/>
  <c r="J136" i="2"/>
  <c r="I136" i="2"/>
  <c r="H136" i="2"/>
  <c r="F136" i="2"/>
  <c r="E136" i="2"/>
  <c r="D136" i="2"/>
  <c r="C136" i="2"/>
  <c r="B136" i="2"/>
  <c r="A136" i="2"/>
  <c r="Q135" i="2"/>
  <c r="M135" i="2"/>
  <c r="L135" i="2"/>
  <c r="N135" i="2" s="1"/>
  <c r="P135" i="2" s="1"/>
  <c r="K135" i="2"/>
  <c r="J135" i="2"/>
  <c r="I135" i="2"/>
  <c r="H135" i="2"/>
  <c r="F135" i="2"/>
  <c r="E135" i="2"/>
  <c r="D135" i="2"/>
  <c r="C135" i="2"/>
  <c r="B135" i="2"/>
  <c r="A135" i="2"/>
  <c r="Q134" i="2"/>
  <c r="M134" i="2"/>
  <c r="N134" i="2" s="1"/>
  <c r="L134" i="2"/>
  <c r="J134" i="2"/>
  <c r="I134" i="2"/>
  <c r="H134" i="2"/>
  <c r="G134" i="2"/>
  <c r="F134" i="2"/>
  <c r="E134" i="2"/>
  <c r="D134" i="2"/>
  <c r="C134" i="2"/>
  <c r="B134" i="2"/>
  <c r="A134" i="2"/>
  <c r="Q133" i="2"/>
  <c r="N133" i="2"/>
  <c r="P133" i="2" s="1"/>
  <c r="M133" i="2"/>
  <c r="L133" i="2"/>
  <c r="J133" i="2"/>
  <c r="I133" i="2"/>
  <c r="H133" i="2"/>
  <c r="F133" i="2"/>
  <c r="E133" i="2"/>
  <c r="D133" i="2"/>
  <c r="C133" i="2"/>
  <c r="B133" i="2"/>
  <c r="A133" i="2"/>
  <c r="Q132" i="2"/>
  <c r="M132" i="2"/>
  <c r="L132" i="2"/>
  <c r="N132" i="2" s="1"/>
  <c r="J132" i="2"/>
  <c r="I132" i="2"/>
  <c r="K132" i="2" s="1"/>
  <c r="H132" i="2"/>
  <c r="F132" i="2"/>
  <c r="E132" i="2"/>
  <c r="D132" i="2"/>
  <c r="C132" i="2"/>
  <c r="B132" i="2"/>
  <c r="A132" i="2"/>
  <c r="Q131" i="2"/>
  <c r="P131" i="2"/>
  <c r="M131" i="2"/>
  <c r="L131" i="2"/>
  <c r="N131" i="2" s="1"/>
  <c r="J131" i="2"/>
  <c r="I131" i="2"/>
  <c r="H131" i="2"/>
  <c r="F131" i="2"/>
  <c r="E131" i="2"/>
  <c r="D131" i="2"/>
  <c r="C131" i="2"/>
  <c r="B131" i="2"/>
  <c r="A131" i="2"/>
  <c r="Q130" i="2"/>
  <c r="M130" i="2"/>
  <c r="L130" i="2"/>
  <c r="N130" i="2" s="1"/>
  <c r="P130" i="2" s="1"/>
  <c r="J130" i="2"/>
  <c r="I130" i="2"/>
  <c r="K130" i="2" s="1"/>
  <c r="H130" i="2"/>
  <c r="G130" i="2"/>
  <c r="F130" i="2"/>
  <c r="E130" i="2"/>
  <c r="D130" i="2"/>
  <c r="C130" i="2"/>
  <c r="B130" i="2"/>
  <c r="A130" i="2"/>
  <c r="Q129" i="2"/>
  <c r="M129" i="2"/>
  <c r="L129" i="2"/>
  <c r="N129" i="2" s="1"/>
  <c r="P129" i="2" s="1"/>
  <c r="J129" i="2"/>
  <c r="H129" i="2"/>
  <c r="F129" i="2"/>
  <c r="E129" i="2"/>
  <c r="D129" i="2"/>
  <c r="C129" i="2"/>
  <c r="B129" i="2"/>
  <c r="A129" i="2"/>
  <c r="Q128" i="2"/>
  <c r="N128" i="2"/>
  <c r="P128" i="2" s="1"/>
  <c r="M128" i="2"/>
  <c r="L128" i="2"/>
  <c r="J128" i="2"/>
  <c r="K128" i="2" s="1"/>
  <c r="I128" i="2"/>
  <c r="H128" i="2"/>
  <c r="F128" i="2"/>
  <c r="E128" i="2"/>
  <c r="D128" i="2"/>
  <c r="C128" i="2"/>
  <c r="B128" i="2"/>
  <c r="A128" i="2"/>
  <c r="Q127" i="2"/>
  <c r="N127" i="2"/>
  <c r="P127" i="2" s="1"/>
  <c r="M127" i="2"/>
  <c r="L127" i="2"/>
  <c r="J127" i="2"/>
  <c r="I127" i="2"/>
  <c r="K127" i="2" s="1"/>
  <c r="H127" i="2"/>
  <c r="F127" i="2"/>
  <c r="E127" i="2"/>
  <c r="D127" i="2"/>
  <c r="C127" i="2"/>
  <c r="B127" i="2"/>
  <c r="A127" i="2"/>
  <c r="Q126" i="2"/>
  <c r="N126" i="2"/>
  <c r="P126" i="2" s="1"/>
  <c r="M126" i="2"/>
  <c r="L126" i="2"/>
  <c r="J126" i="2"/>
  <c r="K126" i="2" s="1"/>
  <c r="O126" i="2" s="1"/>
  <c r="I126" i="2"/>
  <c r="H126" i="2"/>
  <c r="F126" i="2"/>
  <c r="E126" i="2"/>
  <c r="D126" i="2"/>
  <c r="C126" i="2"/>
  <c r="B126" i="2"/>
  <c r="A126" i="2"/>
  <c r="Q125" i="2"/>
  <c r="M125" i="2"/>
  <c r="J125" i="2"/>
  <c r="H125" i="2"/>
  <c r="F125" i="2"/>
  <c r="E125" i="2"/>
  <c r="D125" i="2"/>
  <c r="C125" i="2"/>
  <c r="B125" i="2"/>
  <c r="A125" i="2"/>
  <c r="Q124" i="2"/>
  <c r="O124" i="2"/>
  <c r="N124" i="2"/>
  <c r="P124" i="2" s="1"/>
  <c r="M124" i="2"/>
  <c r="L124" i="2"/>
  <c r="K124" i="2"/>
  <c r="J124" i="2"/>
  <c r="I124" i="2"/>
  <c r="H124" i="2"/>
  <c r="F124" i="2"/>
  <c r="E124" i="2"/>
  <c r="D124" i="2"/>
  <c r="C124" i="2"/>
  <c r="B124" i="2"/>
  <c r="A124" i="2"/>
  <c r="Q123" i="2"/>
  <c r="M123" i="2"/>
  <c r="N123" i="2" s="1"/>
  <c r="P123" i="2" s="1"/>
  <c r="L123" i="2"/>
  <c r="K123" i="2"/>
  <c r="J123" i="2"/>
  <c r="I123" i="2"/>
  <c r="H123" i="2"/>
  <c r="F123" i="2"/>
  <c r="E123" i="2"/>
  <c r="D123" i="2"/>
  <c r="C123" i="2"/>
  <c r="B123" i="2"/>
  <c r="A123" i="2"/>
  <c r="Q122" i="2"/>
  <c r="N122" i="2"/>
  <c r="P122" i="2" s="1"/>
  <c r="M122" i="2"/>
  <c r="L122" i="2"/>
  <c r="J122" i="2"/>
  <c r="I122" i="2"/>
  <c r="K122" i="2" s="1"/>
  <c r="H122" i="2"/>
  <c r="F122" i="2"/>
  <c r="E122" i="2"/>
  <c r="D122" i="2"/>
  <c r="C122" i="2"/>
  <c r="B122" i="2"/>
  <c r="A122" i="2"/>
  <c r="Q121" i="2"/>
  <c r="O121" i="2"/>
  <c r="M121" i="2"/>
  <c r="N121" i="2" s="1"/>
  <c r="P121" i="2" s="1"/>
  <c r="L121" i="2"/>
  <c r="J121" i="2"/>
  <c r="K121" i="2" s="1"/>
  <c r="I121" i="2"/>
  <c r="H121" i="2"/>
  <c r="G121" i="2"/>
  <c r="F121" i="2"/>
  <c r="E121" i="2"/>
  <c r="D121" i="2"/>
  <c r="C121" i="2"/>
  <c r="B121" i="2"/>
  <c r="A121" i="2"/>
  <c r="Q120" i="2"/>
  <c r="M120" i="2"/>
  <c r="L120" i="2"/>
  <c r="N120" i="2" s="1"/>
  <c r="P120" i="2" s="1"/>
  <c r="K120" i="2"/>
  <c r="J120" i="2"/>
  <c r="I120" i="2"/>
  <c r="H120" i="2"/>
  <c r="F120" i="2"/>
  <c r="E120" i="2"/>
  <c r="D120" i="2"/>
  <c r="C120" i="2"/>
  <c r="B120" i="2"/>
  <c r="A120" i="2"/>
  <c r="Q119" i="2"/>
  <c r="M119" i="2"/>
  <c r="L119" i="2"/>
  <c r="N119" i="2" s="1"/>
  <c r="P119" i="2" s="1"/>
  <c r="J119" i="2"/>
  <c r="I119" i="2"/>
  <c r="K119" i="2" s="1"/>
  <c r="H119" i="2"/>
  <c r="F119" i="2"/>
  <c r="E119" i="2"/>
  <c r="D119" i="2"/>
  <c r="C119" i="2"/>
  <c r="B119" i="2"/>
  <c r="A119" i="2"/>
  <c r="Q118" i="2"/>
  <c r="M118" i="2"/>
  <c r="L118" i="2"/>
  <c r="N118" i="2" s="1"/>
  <c r="P118" i="2" s="1"/>
  <c r="J118" i="2"/>
  <c r="I118" i="2"/>
  <c r="K118" i="2" s="1"/>
  <c r="H118" i="2"/>
  <c r="F118" i="2"/>
  <c r="E118" i="2"/>
  <c r="D118" i="2"/>
  <c r="C118" i="2"/>
  <c r="B118" i="2"/>
  <c r="A118" i="2"/>
  <c r="Q117" i="2"/>
  <c r="N117" i="2"/>
  <c r="P117" i="2" s="1"/>
  <c r="M117" i="2"/>
  <c r="L117" i="2"/>
  <c r="K117" i="2"/>
  <c r="O117" i="2" s="1"/>
  <c r="J117" i="2"/>
  <c r="I117" i="2"/>
  <c r="H117" i="2"/>
  <c r="G117" i="2"/>
  <c r="F117" i="2"/>
  <c r="E117" i="2"/>
  <c r="D117" i="2"/>
  <c r="C117" i="2"/>
  <c r="B117" i="2"/>
  <c r="A117" i="2"/>
  <c r="Q116" i="2"/>
  <c r="N116" i="2"/>
  <c r="M116" i="2"/>
  <c r="L116" i="2"/>
  <c r="J116" i="2"/>
  <c r="I116" i="2"/>
  <c r="K116" i="2" s="1"/>
  <c r="H116" i="2"/>
  <c r="F116" i="2"/>
  <c r="E116" i="2"/>
  <c r="D116" i="2"/>
  <c r="C116" i="2"/>
  <c r="B116" i="2"/>
  <c r="A116" i="2"/>
  <c r="Q115" i="2"/>
  <c r="M115" i="2"/>
  <c r="L115" i="2"/>
  <c r="N115" i="2" s="1"/>
  <c r="P115" i="2" s="1"/>
  <c r="K115" i="2"/>
  <c r="J115" i="2"/>
  <c r="I115" i="2"/>
  <c r="H115" i="2"/>
  <c r="F115" i="2"/>
  <c r="E115" i="2"/>
  <c r="D115" i="2"/>
  <c r="C115" i="2"/>
  <c r="B115" i="2"/>
  <c r="A115" i="2"/>
  <c r="Q114" i="2"/>
  <c r="M114" i="2"/>
  <c r="L114" i="2"/>
  <c r="N114" i="2" s="1"/>
  <c r="P114" i="2" s="1"/>
  <c r="K114" i="2"/>
  <c r="J114" i="2"/>
  <c r="I114" i="2"/>
  <c r="H114" i="2"/>
  <c r="F114" i="2"/>
  <c r="E114" i="2"/>
  <c r="D114" i="2"/>
  <c r="C114" i="2"/>
  <c r="B114" i="2"/>
  <c r="A114" i="2"/>
  <c r="Q113" i="2"/>
  <c r="M113" i="2"/>
  <c r="L113" i="2"/>
  <c r="N113" i="2" s="1"/>
  <c r="P113" i="2" s="1"/>
  <c r="J113" i="2"/>
  <c r="I113" i="2"/>
  <c r="K113" i="2" s="1"/>
  <c r="O113" i="2" s="1"/>
  <c r="H113" i="2"/>
  <c r="G113" i="2"/>
  <c r="F113" i="2"/>
  <c r="E113" i="2"/>
  <c r="D113" i="2"/>
  <c r="C113" i="2"/>
  <c r="B113" i="2"/>
  <c r="A113" i="2"/>
  <c r="Q112" i="2"/>
  <c r="M112" i="2"/>
  <c r="L112" i="2"/>
  <c r="J112" i="2"/>
  <c r="I112" i="2"/>
  <c r="K112" i="2" s="1"/>
  <c r="H112" i="2"/>
  <c r="F112" i="2"/>
  <c r="E112" i="2"/>
  <c r="D112" i="2"/>
  <c r="C112" i="2"/>
  <c r="B112" i="2"/>
  <c r="A112" i="2"/>
  <c r="Q111" i="2"/>
  <c r="M111" i="2"/>
  <c r="L111" i="2"/>
  <c r="N111" i="2" s="1"/>
  <c r="P111" i="2" s="1"/>
  <c r="K111" i="2"/>
  <c r="J111" i="2"/>
  <c r="I111" i="2"/>
  <c r="H111" i="2"/>
  <c r="F111" i="2"/>
  <c r="E111" i="2"/>
  <c r="D111" i="2"/>
  <c r="C111" i="2"/>
  <c r="B111" i="2"/>
  <c r="A111" i="2"/>
  <c r="Q110" i="2"/>
  <c r="N110" i="2"/>
  <c r="P110" i="2" s="1"/>
  <c r="M110" i="2"/>
  <c r="L110" i="2"/>
  <c r="K110" i="2"/>
  <c r="J110" i="2"/>
  <c r="I110" i="2"/>
  <c r="H110" i="2"/>
  <c r="F110" i="2"/>
  <c r="E110" i="2"/>
  <c r="D110" i="2"/>
  <c r="C110" i="2"/>
  <c r="B110" i="2"/>
  <c r="A110" i="2"/>
  <c r="Q109" i="2"/>
  <c r="M109" i="2"/>
  <c r="L109" i="2"/>
  <c r="N109" i="2" s="1"/>
  <c r="J109" i="2"/>
  <c r="K109" i="2" s="1"/>
  <c r="I109" i="2"/>
  <c r="H109" i="2"/>
  <c r="F109" i="2"/>
  <c r="E109" i="2"/>
  <c r="D109" i="2"/>
  <c r="C109" i="2"/>
  <c r="B109" i="2"/>
  <c r="A109" i="2"/>
  <c r="Q108" i="2"/>
  <c r="M108" i="2"/>
  <c r="L108" i="2"/>
  <c r="J108" i="2"/>
  <c r="K108" i="2" s="1"/>
  <c r="O108" i="2" s="1"/>
  <c r="I108" i="2"/>
  <c r="H108" i="2"/>
  <c r="F108" i="2"/>
  <c r="E108" i="2"/>
  <c r="D108" i="2"/>
  <c r="C108" i="2"/>
  <c r="B108" i="2"/>
  <c r="A108" i="2"/>
  <c r="Q107" i="2"/>
  <c r="M107" i="2"/>
  <c r="N107" i="2" s="1"/>
  <c r="P107" i="2" s="1"/>
  <c r="L107" i="2"/>
  <c r="J107" i="2"/>
  <c r="I107" i="2"/>
  <c r="H107" i="2"/>
  <c r="F107" i="2"/>
  <c r="E107" i="2"/>
  <c r="D107" i="2"/>
  <c r="C107" i="2"/>
  <c r="B107" i="2"/>
  <c r="A107" i="2"/>
  <c r="Q106" i="2"/>
  <c r="M106" i="2"/>
  <c r="L106" i="2"/>
  <c r="N106" i="2" s="1"/>
  <c r="P106" i="2" s="1"/>
  <c r="J106" i="2"/>
  <c r="I106" i="2"/>
  <c r="K106" i="2" s="1"/>
  <c r="H106" i="2"/>
  <c r="F106" i="2"/>
  <c r="E106" i="2"/>
  <c r="D106" i="2"/>
  <c r="C106" i="2"/>
  <c r="B106" i="2"/>
  <c r="A106" i="2"/>
  <c r="Q105" i="2"/>
  <c r="P105" i="2"/>
  <c r="O105" i="2"/>
  <c r="M105" i="2"/>
  <c r="L105" i="2"/>
  <c r="N105" i="2" s="1"/>
  <c r="J105" i="2"/>
  <c r="I105" i="2"/>
  <c r="K105" i="2" s="1"/>
  <c r="H105" i="2"/>
  <c r="F105" i="2"/>
  <c r="E105" i="2"/>
  <c r="D105" i="2"/>
  <c r="C105" i="2"/>
  <c r="B105" i="2"/>
  <c r="A105" i="2"/>
  <c r="Q104" i="2"/>
  <c r="P104" i="2"/>
  <c r="N104" i="2"/>
  <c r="M104" i="2"/>
  <c r="L104" i="2"/>
  <c r="K104" i="2"/>
  <c r="O104" i="2" s="1"/>
  <c r="J104" i="2"/>
  <c r="I104" i="2"/>
  <c r="H104" i="2"/>
  <c r="F104" i="2"/>
  <c r="E104" i="2"/>
  <c r="D104" i="2"/>
  <c r="C104" i="2"/>
  <c r="B104" i="2"/>
  <c r="A104" i="2"/>
  <c r="Q103" i="2"/>
  <c r="P103" i="2"/>
  <c r="N103" i="2"/>
  <c r="M103" i="2"/>
  <c r="L103" i="2"/>
  <c r="K103" i="2"/>
  <c r="J103" i="2"/>
  <c r="I103" i="2"/>
  <c r="H103" i="2"/>
  <c r="F103" i="2"/>
  <c r="E103" i="2"/>
  <c r="D103" i="2"/>
  <c r="C103" i="2"/>
  <c r="B103" i="2"/>
  <c r="A103" i="2"/>
  <c r="Q102" i="2"/>
  <c r="M102" i="2"/>
  <c r="N102" i="2" s="1"/>
  <c r="L102" i="2"/>
  <c r="J102" i="2"/>
  <c r="I102" i="2"/>
  <c r="K102" i="2" s="1"/>
  <c r="H102" i="2"/>
  <c r="P102" i="2" s="1"/>
  <c r="F102" i="2"/>
  <c r="E102" i="2"/>
  <c r="D102" i="2"/>
  <c r="C102" i="2"/>
  <c r="B102" i="2"/>
  <c r="A102" i="2"/>
  <c r="Q101" i="2"/>
  <c r="M101" i="2"/>
  <c r="N101" i="2" s="1"/>
  <c r="P101" i="2" s="1"/>
  <c r="L101" i="2"/>
  <c r="J101" i="2"/>
  <c r="I101" i="2"/>
  <c r="K101" i="2" s="1"/>
  <c r="H101" i="2"/>
  <c r="F101" i="2"/>
  <c r="E101" i="2"/>
  <c r="D101" i="2"/>
  <c r="C101" i="2"/>
  <c r="B101" i="2"/>
  <c r="A101" i="2"/>
  <c r="Q100" i="2"/>
  <c r="M100" i="2"/>
  <c r="L100" i="2"/>
  <c r="N100" i="2" s="1"/>
  <c r="P100" i="2" s="1"/>
  <c r="J100" i="2"/>
  <c r="K100" i="2" s="1"/>
  <c r="O100" i="2" s="1"/>
  <c r="I100" i="2"/>
  <c r="H100" i="2"/>
  <c r="F100" i="2"/>
  <c r="E100" i="2"/>
  <c r="D100" i="2"/>
  <c r="C100" i="2"/>
  <c r="B100" i="2"/>
  <c r="A100" i="2"/>
  <c r="Q99" i="2"/>
  <c r="M99" i="2"/>
  <c r="L99" i="2"/>
  <c r="N99" i="2" s="1"/>
  <c r="P99" i="2" s="1"/>
  <c r="J99" i="2"/>
  <c r="H99" i="2"/>
  <c r="F99" i="2"/>
  <c r="E99" i="2"/>
  <c r="D99" i="2"/>
  <c r="C99" i="2"/>
  <c r="B99" i="2"/>
  <c r="A99" i="2"/>
  <c r="Q98" i="2"/>
  <c r="N98" i="2"/>
  <c r="P98" i="2" s="1"/>
  <c r="M98" i="2"/>
  <c r="L98" i="2"/>
  <c r="J98" i="2"/>
  <c r="H98" i="2"/>
  <c r="F98" i="2"/>
  <c r="E98" i="2"/>
  <c r="D98" i="2"/>
  <c r="C98" i="2"/>
  <c r="B98" i="2"/>
  <c r="A98" i="2"/>
  <c r="Q97" i="2"/>
  <c r="N97" i="2"/>
  <c r="M97" i="2"/>
  <c r="L97" i="2"/>
  <c r="J97" i="2"/>
  <c r="F97" i="2"/>
  <c r="E97" i="2"/>
  <c r="D97" i="2"/>
  <c r="C97" i="2"/>
  <c r="B97" i="2"/>
  <c r="A97" i="2"/>
  <c r="Q96" i="2"/>
  <c r="N96" i="2"/>
  <c r="P96" i="2" s="1"/>
  <c r="M96" i="2"/>
  <c r="L96" i="2"/>
  <c r="J96" i="2"/>
  <c r="I96" i="2"/>
  <c r="K96" i="2" s="1"/>
  <c r="O96" i="2" s="1"/>
  <c r="H96" i="2"/>
  <c r="F96" i="2"/>
  <c r="E96" i="2"/>
  <c r="D96" i="2"/>
  <c r="C96" i="2"/>
  <c r="B96" i="2"/>
  <c r="A96" i="2"/>
  <c r="Q95" i="2"/>
  <c r="P95" i="2"/>
  <c r="N95" i="2"/>
  <c r="M95" i="2"/>
  <c r="L95" i="2"/>
  <c r="J95" i="2"/>
  <c r="I95" i="2"/>
  <c r="H95" i="2"/>
  <c r="F95" i="2"/>
  <c r="E95" i="2"/>
  <c r="D95" i="2"/>
  <c r="C95" i="2"/>
  <c r="B95" i="2"/>
  <c r="A95" i="2"/>
  <c r="Q94" i="2"/>
  <c r="M94" i="2"/>
  <c r="L94" i="2"/>
  <c r="N94" i="2" s="1"/>
  <c r="P94" i="2" s="1"/>
  <c r="J94" i="2"/>
  <c r="I94" i="2"/>
  <c r="H94" i="2"/>
  <c r="F94" i="2"/>
  <c r="E94" i="2"/>
  <c r="D94" i="2"/>
  <c r="C94" i="2"/>
  <c r="B94" i="2"/>
  <c r="A94" i="2"/>
  <c r="Q93" i="2"/>
  <c r="P93" i="2"/>
  <c r="M93" i="2"/>
  <c r="L93" i="2"/>
  <c r="N93" i="2" s="1"/>
  <c r="J93" i="2"/>
  <c r="I93" i="2"/>
  <c r="K93" i="2" s="1"/>
  <c r="H93" i="2"/>
  <c r="F93" i="2"/>
  <c r="E93" i="2"/>
  <c r="D93" i="2"/>
  <c r="C93" i="2"/>
  <c r="B93" i="2"/>
  <c r="A93" i="2"/>
  <c r="Q92" i="2"/>
  <c r="O92" i="2"/>
  <c r="N92" i="2"/>
  <c r="P92" i="2" s="1"/>
  <c r="M92" i="2"/>
  <c r="L92" i="2"/>
  <c r="J92" i="2"/>
  <c r="I92" i="2"/>
  <c r="K92" i="2" s="1"/>
  <c r="H92" i="2"/>
  <c r="F92" i="2"/>
  <c r="E92" i="2"/>
  <c r="D92" i="2"/>
  <c r="C92" i="2"/>
  <c r="B92" i="2"/>
  <c r="A92" i="2"/>
  <c r="Q91" i="2"/>
  <c r="N91" i="2"/>
  <c r="M91" i="2"/>
  <c r="L91" i="2"/>
  <c r="K91" i="2"/>
  <c r="J91" i="2"/>
  <c r="I91" i="2"/>
  <c r="H91" i="2"/>
  <c r="F91" i="2"/>
  <c r="E91" i="2"/>
  <c r="D91" i="2"/>
  <c r="C91" i="2"/>
  <c r="B91" i="2"/>
  <c r="A91" i="2"/>
  <c r="Q90" i="2"/>
  <c r="O90" i="2"/>
  <c r="N90" i="2"/>
  <c r="P90" i="2" s="1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M89" i="2"/>
  <c r="N89" i="2" s="1"/>
  <c r="P89" i="2" s="1"/>
  <c r="L89" i="2"/>
  <c r="J89" i="2"/>
  <c r="K89" i="2" s="1"/>
  <c r="I89" i="2"/>
  <c r="H89" i="2"/>
  <c r="G89" i="2"/>
  <c r="O89" i="2" s="1"/>
  <c r="F89" i="2"/>
  <c r="E89" i="2"/>
  <c r="D89" i="2"/>
  <c r="C89" i="2"/>
  <c r="B89" i="2"/>
  <c r="A89" i="2"/>
  <c r="Q88" i="2"/>
  <c r="M88" i="2"/>
  <c r="L88" i="2"/>
  <c r="J88" i="2"/>
  <c r="K88" i="2" s="1"/>
  <c r="I88" i="2"/>
  <c r="H88" i="2"/>
  <c r="F88" i="2"/>
  <c r="E88" i="2"/>
  <c r="D88" i="2"/>
  <c r="C88" i="2"/>
  <c r="B88" i="2"/>
  <c r="A88" i="2"/>
  <c r="Q87" i="2"/>
  <c r="M87" i="2"/>
  <c r="L87" i="2"/>
  <c r="N87" i="2" s="1"/>
  <c r="P87" i="2" s="1"/>
  <c r="J87" i="2"/>
  <c r="I87" i="2"/>
  <c r="K87" i="2" s="1"/>
  <c r="H87" i="2"/>
  <c r="F87" i="2"/>
  <c r="E87" i="2"/>
  <c r="D87" i="2"/>
  <c r="C87" i="2"/>
  <c r="B87" i="2"/>
  <c r="A87" i="2"/>
  <c r="Q86" i="2"/>
  <c r="M86" i="2"/>
  <c r="L86" i="2"/>
  <c r="N86" i="2" s="1"/>
  <c r="P86" i="2" s="1"/>
  <c r="K86" i="2"/>
  <c r="J86" i="2"/>
  <c r="I86" i="2"/>
  <c r="H86" i="2"/>
  <c r="F86" i="2"/>
  <c r="E86" i="2"/>
  <c r="D86" i="2"/>
  <c r="C86" i="2"/>
  <c r="B86" i="2"/>
  <c r="A86" i="2"/>
  <c r="Q85" i="2"/>
  <c r="N85" i="2"/>
  <c r="P85" i="2" s="1"/>
  <c r="M85" i="2"/>
  <c r="L85" i="2"/>
  <c r="J85" i="2"/>
  <c r="I85" i="2"/>
  <c r="K85" i="2" s="1"/>
  <c r="H85" i="2"/>
  <c r="F85" i="2"/>
  <c r="E85" i="2"/>
  <c r="D85" i="2"/>
  <c r="C85" i="2"/>
  <c r="B85" i="2"/>
  <c r="A85" i="2"/>
  <c r="Q84" i="2"/>
  <c r="N84" i="2"/>
  <c r="P84" i="2" s="1"/>
  <c r="M84" i="2"/>
  <c r="L84" i="2"/>
  <c r="J84" i="2"/>
  <c r="I84" i="2"/>
  <c r="K84" i="2" s="1"/>
  <c r="O84" i="2" s="1"/>
  <c r="H84" i="2"/>
  <c r="F84" i="2"/>
  <c r="E84" i="2"/>
  <c r="D84" i="2"/>
  <c r="C84" i="2"/>
  <c r="B84" i="2"/>
  <c r="A84" i="2"/>
  <c r="Q83" i="2"/>
  <c r="P83" i="2"/>
  <c r="M83" i="2"/>
  <c r="L83" i="2"/>
  <c r="N83" i="2" s="1"/>
  <c r="J83" i="2"/>
  <c r="H83" i="2"/>
  <c r="F83" i="2"/>
  <c r="E83" i="2"/>
  <c r="D83" i="2"/>
  <c r="C83" i="2"/>
  <c r="B83" i="2"/>
  <c r="A83" i="2"/>
  <c r="Q82" i="2"/>
  <c r="M82" i="2"/>
  <c r="L82" i="2"/>
  <c r="N82" i="2" s="1"/>
  <c r="P82" i="2" s="1"/>
  <c r="J82" i="2"/>
  <c r="K82" i="2" s="1"/>
  <c r="I82" i="2"/>
  <c r="H82" i="2"/>
  <c r="F82" i="2"/>
  <c r="E82" i="2"/>
  <c r="D82" i="2"/>
  <c r="C82" i="2"/>
  <c r="B82" i="2"/>
  <c r="A82" i="2"/>
  <c r="Q81" i="2"/>
  <c r="N81" i="2"/>
  <c r="P81" i="2" s="1"/>
  <c r="M81" i="2"/>
  <c r="L81" i="2"/>
  <c r="J81" i="2"/>
  <c r="I81" i="2"/>
  <c r="K81" i="2" s="1"/>
  <c r="O81" i="2" s="1"/>
  <c r="H81" i="2"/>
  <c r="F81" i="2"/>
  <c r="E81" i="2"/>
  <c r="D81" i="2"/>
  <c r="C81" i="2"/>
  <c r="B81" i="2"/>
  <c r="A81" i="2"/>
  <c r="Q80" i="2"/>
  <c r="M80" i="2"/>
  <c r="L80" i="2"/>
  <c r="J80" i="2"/>
  <c r="I80" i="2"/>
  <c r="K80" i="2" s="1"/>
  <c r="O80" i="2" s="1"/>
  <c r="H80" i="2"/>
  <c r="F80" i="2"/>
  <c r="E80" i="2"/>
  <c r="D80" i="2"/>
  <c r="C80" i="2"/>
  <c r="B80" i="2"/>
  <c r="A80" i="2"/>
  <c r="Q79" i="2"/>
  <c r="N79" i="2"/>
  <c r="P79" i="2" s="1"/>
  <c r="M79" i="2"/>
  <c r="L79" i="2"/>
  <c r="J79" i="2"/>
  <c r="K79" i="2" s="1"/>
  <c r="I79" i="2"/>
  <c r="H79" i="2"/>
  <c r="F79" i="2"/>
  <c r="E79" i="2"/>
  <c r="D79" i="2"/>
  <c r="C79" i="2"/>
  <c r="B79" i="2"/>
  <c r="A79" i="2"/>
  <c r="Q78" i="2"/>
  <c r="O78" i="2"/>
  <c r="N78" i="2"/>
  <c r="M78" i="2"/>
  <c r="L78" i="2"/>
  <c r="K78" i="2"/>
  <c r="J78" i="2"/>
  <c r="I78" i="2"/>
  <c r="H78" i="2"/>
  <c r="F78" i="2"/>
  <c r="E78" i="2"/>
  <c r="D78" i="2"/>
  <c r="C78" i="2"/>
  <c r="B78" i="2"/>
  <c r="A78" i="2"/>
  <c r="Q77" i="2"/>
  <c r="M77" i="2"/>
  <c r="L77" i="2"/>
  <c r="K77" i="2"/>
  <c r="J77" i="2"/>
  <c r="I77" i="2"/>
  <c r="H77" i="2"/>
  <c r="F77" i="2"/>
  <c r="E77" i="2"/>
  <c r="D77" i="2"/>
  <c r="C77" i="2"/>
  <c r="B77" i="2"/>
  <c r="A77" i="2"/>
  <c r="Q76" i="2"/>
  <c r="P76" i="2"/>
  <c r="M76" i="2"/>
  <c r="L76" i="2"/>
  <c r="N76" i="2" s="1"/>
  <c r="J76" i="2"/>
  <c r="K76" i="2" s="1"/>
  <c r="I76" i="2"/>
  <c r="H76" i="2"/>
  <c r="F76" i="2"/>
  <c r="E76" i="2"/>
  <c r="D76" i="2"/>
  <c r="C76" i="2"/>
  <c r="B76" i="2"/>
  <c r="A76" i="2"/>
  <c r="Q75" i="2"/>
  <c r="M75" i="2"/>
  <c r="L75" i="2"/>
  <c r="N75" i="2" s="1"/>
  <c r="P75" i="2" s="1"/>
  <c r="J75" i="2"/>
  <c r="I75" i="2"/>
  <c r="H75" i="2"/>
  <c r="F75" i="2"/>
  <c r="E75" i="2"/>
  <c r="D75" i="2"/>
  <c r="C75" i="2"/>
  <c r="B75" i="2"/>
  <c r="A75" i="2"/>
  <c r="Q74" i="2"/>
  <c r="N74" i="2"/>
  <c r="P74" i="2" s="1"/>
  <c r="M74" i="2"/>
  <c r="L74" i="2"/>
  <c r="J74" i="2"/>
  <c r="I74" i="2"/>
  <c r="K74" i="2" s="1"/>
  <c r="H74" i="2"/>
  <c r="F74" i="2"/>
  <c r="E74" i="2"/>
  <c r="D74" i="2"/>
  <c r="C74" i="2"/>
  <c r="B74" i="2"/>
  <c r="A74" i="2"/>
  <c r="Q73" i="2"/>
  <c r="N73" i="2"/>
  <c r="P73" i="2" s="1"/>
  <c r="M73" i="2"/>
  <c r="L73" i="2"/>
  <c r="J73" i="2"/>
  <c r="I73" i="2"/>
  <c r="K73" i="2" s="1"/>
  <c r="O73" i="2" s="1"/>
  <c r="H73" i="2"/>
  <c r="F73" i="2"/>
  <c r="E73" i="2"/>
  <c r="D73" i="2"/>
  <c r="C73" i="2"/>
  <c r="B73" i="2"/>
  <c r="A73" i="2"/>
  <c r="Q72" i="2"/>
  <c r="M72" i="2"/>
  <c r="L72" i="2"/>
  <c r="N72" i="2" s="1"/>
  <c r="P72" i="2" s="1"/>
  <c r="J72" i="2"/>
  <c r="H72" i="2"/>
  <c r="G72" i="2"/>
  <c r="F72" i="2"/>
  <c r="E72" i="2"/>
  <c r="D72" i="2"/>
  <c r="C72" i="2"/>
  <c r="B72" i="2"/>
  <c r="A72" i="2"/>
  <c r="Q71" i="2"/>
  <c r="N71" i="2"/>
  <c r="P71" i="2" s="1"/>
  <c r="M71" i="2"/>
  <c r="L71" i="2"/>
  <c r="J71" i="2"/>
  <c r="H71" i="2"/>
  <c r="F71" i="2"/>
  <c r="E71" i="2"/>
  <c r="D71" i="2"/>
  <c r="C71" i="2"/>
  <c r="B71" i="2"/>
  <c r="A71" i="2"/>
  <c r="Q70" i="2"/>
  <c r="N70" i="2"/>
  <c r="M70" i="2"/>
  <c r="L70" i="2"/>
  <c r="J70" i="2"/>
  <c r="I70" i="2"/>
  <c r="H70" i="2"/>
  <c r="P70" i="2" s="1"/>
  <c r="F70" i="2"/>
  <c r="E70" i="2"/>
  <c r="D70" i="2"/>
  <c r="C70" i="2"/>
  <c r="B70" i="2"/>
  <c r="A70" i="2"/>
  <c r="Q69" i="2"/>
  <c r="M69" i="2"/>
  <c r="L69" i="2"/>
  <c r="N69" i="2" s="1"/>
  <c r="P69" i="2" s="1"/>
  <c r="J69" i="2"/>
  <c r="I69" i="2"/>
  <c r="K69" i="2" s="1"/>
  <c r="H69" i="2"/>
  <c r="F69" i="2"/>
  <c r="E69" i="2"/>
  <c r="D69" i="2"/>
  <c r="C69" i="2"/>
  <c r="B69" i="2"/>
  <c r="A69" i="2"/>
  <c r="Q68" i="2"/>
  <c r="M68" i="2"/>
  <c r="L68" i="2"/>
  <c r="N68" i="2" s="1"/>
  <c r="P68" i="2" s="1"/>
  <c r="J68" i="2"/>
  <c r="K68" i="2" s="1"/>
  <c r="I68" i="2"/>
  <c r="H68" i="2"/>
  <c r="F68" i="2"/>
  <c r="E68" i="2"/>
  <c r="D68" i="2"/>
  <c r="C68" i="2"/>
  <c r="B68" i="2"/>
  <c r="A68" i="2"/>
  <c r="Q67" i="2"/>
  <c r="O67" i="2"/>
  <c r="M67" i="2"/>
  <c r="L67" i="2"/>
  <c r="N67" i="2" s="1"/>
  <c r="P67" i="2" s="1"/>
  <c r="J67" i="2"/>
  <c r="I67" i="2"/>
  <c r="K67" i="2" s="1"/>
  <c r="H67" i="2"/>
  <c r="F67" i="2"/>
  <c r="E67" i="2"/>
  <c r="D67" i="2"/>
  <c r="C67" i="2"/>
  <c r="B67" i="2"/>
  <c r="A67" i="2"/>
  <c r="Q66" i="2"/>
  <c r="M66" i="2"/>
  <c r="L66" i="2"/>
  <c r="N66" i="2" s="1"/>
  <c r="P66" i="2" s="1"/>
  <c r="K66" i="2"/>
  <c r="J66" i="2"/>
  <c r="I66" i="2"/>
  <c r="H66" i="2"/>
  <c r="F66" i="2"/>
  <c r="E66" i="2"/>
  <c r="D66" i="2"/>
  <c r="C66" i="2"/>
  <c r="B66" i="2"/>
  <c r="A66" i="2"/>
  <c r="Q65" i="2"/>
  <c r="M65" i="2"/>
  <c r="L65" i="2"/>
  <c r="N65" i="2" s="1"/>
  <c r="P65" i="2" s="1"/>
  <c r="K65" i="2"/>
  <c r="J65" i="2"/>
  <c r="H65" i="2"/>
  <c r="F65" i="2"/>
  <c r="E65" i="2"/>
  <c r="D65" i="2"/>
  <c r="C65" i="2"/>
  <c r="B65" i="2"/>
  <c r="A65" i="2"/>
  <c r="Q64" i="2"/>
  <c r="M64" i="2"/>
  <c r="L64" i="2"/>
  <c r="N64" i="2" s="1"/>
  <c r="P64" i="2" s="1"/>
  <c r="K64" i="2"/>
  <c r="J64" i="2"/>
  <c r="I64" i="2"/>
  <c r="H64" i="2"/>
  <c r="F64" i="2"/>
  <c r="E64" i="2"/>
  <c r="D64" i="2"/>
  <c r="C64" i="2"/>
  <c r="B64" i="2"/>
  <c r="A64" i="2"/>
  <c r="Q63" i="2"/>
  <c r="M63" i="2"/>
  <c r="N63" i="2" s="1"/>
  <c r="L63" i="2"/>
  <c r="J63" i="2"/>
  <c r="F63" i="2"/>
  <c r="E63" i="2"/>
  <c r="D63" i="2"/>
  <c r="C63" i="2"/>
  <c r="B63" i="2"/>
  <c r="A63" i="2"/>
  <c r="Q62" i="2"/>
  <c r="N62" i="2"/>
  <c r="P62" i="2" s="1"/>
  <c r="M62" i="2"/>
  <c r="L62" i="2"/>
  <c r="J62" i="2"/>
  <c r="H62" i="2"/>
  <c r="F62" i="2"/>
  <c r="E62" i="2"/>
  <c r="D62" i="2"/>
  <c r="C62" i="2"/>
  <c r="B62" i="2"/>
  <c r="A62" i="2"/>
  <c r="Q61" i="2"/>
  <c r="M61" i="2"/>
  <c r="L61" i="2"/>
  <c r="N61" i="2" s="1"/>
  <c r="P61" i="2" s="1"/>
  <c r="K61" i="2"/>
  <c r="J61" i="2"/>
  <c r="I61" i="2"/>
  <c r="H61" i="2"/>
  <c r="F61" i="2"/>
  <c r="E61" i="2"/>
  <c r="D61" i="2"/>
  <c r="C61" i="2"/>
  <c r="B61" i="2"/>
  <c r="A61" i="2"/>
  <c r="Q60" i="2"/>
  <c r="M60" i="2"/>
  <c r="L60" i="2"/>
  <c r="N60" i="2" s="1"/>
  <c r="P60" i="2" s="1"/>
  <c r="J60" i="2"/>
  <c r="I60" i="2"/>
  <c r="K60" i="2" s="1"/>
  <c r="H60" i="2"/>
  <c r="G60" i="2"/>
  <c r="F60" i="2"/>
  <c r="E60" i="2"/>
  <c r="D60" i="2"/>
  <c r="C60" i="2"/>
  <c r="B60" i="2"/>
  <c r="A60" i="2"/>
  <c r="Q59" i="2"/>
  <c r="M59" i="2"/>
  <c r="N59" i="2" s="1"/>
  <c r="P59" i="2" s="1"/>
  <c r="L59" i="2"/>
  <c r="K59" i="2"/>
  <c r="O59" i="2" s="1"/>
  <c r="J59" i="2"/>
  <c r="I59" i="2"/>
  <c r="H59" i="2"/>
  <c r="F59" i="2"/>
  <c r="E59" i="2"/>
  <c r="D59" i="2"/>
  <c r="C59" i="2"/>
  <c r="B59" i="2"/>
  <c r="A59" i="2"/>
  <c r="Q58" i="2"/>
  <c r="P58" i="2"/>
  <c r="M58" i="2"/>
  <c r="N58" i="2" s="1"/>
  <c r="L58" i="2"/>
  <c r="J58" i="2"/>
  <c r="I58" i="2"/>
  <c r="K58" i="2" s="1"/>
  <c r="O58" i="2" s="1"/>
  <c r="H58" i="2"/>
  <c r="G58" i="2"/>
  <c r="F58" i="2"/>
  <c r="E58" i="2"/>
  <c r="D58" i="2"/>
  <c r="C58" i="2"/>
  <c r="B58" i="2"/>
  <c r="A58" i="2"/>
  <c r="Q57" i="2"/>
  <c r="M57" i="2"/>
  <c r="N57" i="2" s="1"/>
  <c r="P57" i="2" s="1"/>
  <c r="L57" i="2"/>
  <c r="J57" i="2"/>
  <c r="H57" i="2"/>
  <c r="G57" i="2"/>
  <c r="F57" i="2"/>
  <c r="E57" i="2"/>
  <c r="D57" i="2"/>
  <c r="C57" i="2"/>
  <c r="B57" i="2"/>
  <c r="A57" i="2"/>
  <c r="Q56" i="2"/>
  <c r="M56" i="2"/>
  <c r="L56" i="2"/>
  <c r="N56" i="2" s="1"/>
  <c r="P56" i="2" s="1"/>
  <c r="K56" i="2"/>
  <c r="J56" i="2"/>
  <c r="I56" i="2"/>
  <c r="H56" i="2"/>
  <c r="F56" i="2"/>
  <c r="E56" i="2"/>
  <c r="D56" i="2"/>
  <c r="C56" i="2"/>
  <c r="B56" i="2"/>
  <c r="A56" i="2"/>
  <c r="Q55" i="2"/>
  <c r="M55" i="2"/>
  <c r="L55" i="2"/>
  <c r="N55" i="2" s="1"/>
  <c r="J55" i="2"/>
  <c r="I55" i="2"/>
  <c r="K55" i="2" s="1"/>
  <c r="H55" i="2"/>
  <c r="F55" i="2"/>
  <c r="E55" i="2"/>
  <c r="D55" i="2"/>
  <c r="C55" i="2"/>
  <c r="B55" i="2"/>
  <c r="A55" i="2"/>
  <c r="Q54" i="2"/>
  <c r="M54" i="2"/>
  <c r="N54" i="2" s="1"/>
  <c r="P54" i="2" s="1"/>
  <c r="L54" i="2"/>
  <c r="J54" i="2"/>
  <c r="I54" i="2"/>
  <c r="K54" i="2" s="1"/>
  <c r="H54" i="2"/>
  <c r="F54" i="2"/>
  <c r="E54" i="2"/>
  <c r="D54" i="2"/>
  <c r="C54" i="2"/>
  <c r="B54" i="2"/>
  <c r="A54" i="2"/>
  <c r="Q53" i="2"/>
  <c r="N53" i="2"/>
  <c r="M53" i="2"/>
  <c r="L53" i="2"/>
  <c r="J53" i="2"/>
  <c r="H53" i="2"/>
  <c r="F53" i="2"/>
  <c r="E53" i="2"/>
  <c r="D53" i="2"/>
  <c r="C53" i="2"/>
  <c r="B53" i="2"/>
  <c r="A53" i="2"/>
  <c r="Q52" i="2"/>
  <c r="N52" i="2"/>
  <c r="P52" i="2" s="1"/>
  <c r="M52" i="2"/>
  <c r="L52" i="2"/>
  <c r="K52" i="2"/>
  <c r="J52" i="2"/>
  <c r="I52" i="2"/>
  <c r="H52" i="2"/>
  <c r="F52" i="2"/>
  <c r="E52" i="2"/>
  <c r="D52" i="2"/>
  <c r="C52" i="2"/>
  <c r="B52" i="2"/>
  <c r="A52" i="2"/>
  <c r="Q51" i="2"/>
  <c r="M51" i="2"/>
  <c r="L51" i="2"/>
  <c r="N51" i="2" s="1"/>
  <c r="P51" i="2" s="1"/>
  <c r="J51" i="2"/>
  <c r="I51" i="2"/>
  <c r="K51" i="2" s="1"/>
  <c r="O51" i="2" s="1"/>
  <c r="H51" i="2"/>
  <c r="G51" i="2"/>
  <c r="F51" i="2"/>
  <c r="E51" i="2"/>
  <c r="D51" i="2"/>
  <c r="C51" i="2"/>
  <c r="B51" i="2"/>
  <c r="A51" i="2"/>
  <c r="Q50" i="2"/>
  <c r="M50" i="2"/>
  <c r="L50" i="2"/>
  <c r="J50" i="2"/>
  <c r="I50" i="2"/>
  <c r="K50" i="2" s="1"/>
  <c r="H50" i="2"/>
  <c r="F50" i="2"/>
  <c r="E50" i="2"/>
  <c r="D50" i="2"/>
  <c r="C50" i="2"/>
  <c r="B50" i="2"/>
  <c r="A50" i="2"/>
  <c r="Q49" i="2"/>
  <c r="M49" i="2"/>
  <c r="L49" i="2"/>
  <c r="N49" i="2" s="1"/>
  <c r="P49" i="2" s="1"/>
  <c r="J49" i="2"/>
  <c r="K49" i="2" s="1"/>
  <c r="I49" i="2"/>
  <c r="H49" i="2"/>
  <c r="F49" i="2"/>
  <c r="E49" i="2"/>
  <c r="D49" i="2"/>
  <c r="C49" i="2"/>
  <c r="B49" i="2"/>
  <c r="A49" i="2"/>
  <c r="Q48" i="2"/>
  <c r="M48" i="2"/>
  <c r="L48" i="2"/>
  <c r="N48" i="2" s="1"/>
  <c r="P48" i="2" s="1"/>
  <c r="J48" i="2"/>
  <c r="I48" i="2"/>
  <c r="K48" i="2" s="1"/>
  <c r="O48" i="2" s="1"/>
  <c r="H48" i="2"/>
  <c r="F48" i="2"/>
  <c r="E48" i="2"/>
  <c r="D48" i="2"/>
  <c r="C48" i="2"/>
  <c r="B48" i="2"/>
  <c r="A48" i="2"/>
  <c r="Q47" i="2"/>
  <c r="M47" i="2"/>
  <c r="L47" i="2"/>
  <c r="N47" i="2" s="1"/>
  <c r="P47" i="2" s="1"/>
  <c r="J47" i="2"/>
  <c r="I47" i="2"/>
  <c r="H47" i="2"/>
  <c r="F47" i="2"/>
  <c r="E47" i="2"/>
  <c r="D47" i="2"/>
  <c r="C47" i="2"/>
  <c r="B47" i="2"/>
  <c r="A47" i="2"/>
  <c r="Q46" i="2"/>
  <c r="M46" i="2"/>
  <c r="N46" i="2" s="1"/>
  <c r="P46" i="2" s="1"/>
  <c r="L46" i="2"/>
  <c r="K46" i="2"/>
  <c r="J46" i="2"/>
  <c r="I46" i="2"/>
  <c r="H46" i="2"/>
  <c r="F46" i="2"/>
  <c r="E46" i="2"/>
  <c r="D46" i="2"/>
  <c r="C46" i="2"/>
  <c r="B46" i="2"/>
  <c r="A46" i="2"/>
  <c r="Q45" i="2"/>
  <c r="M45" i="2"/>
  <c r="N45" i="2" s="1"/>
  <c r="L45" i="2"/>
  <c r="J45" i="2"/>
  <c r="K45" i="2" s="1"/>
  <c r="I45" i="2"/>
  <c r="H45" i="2"/>
  <c r="F45" i="2"/>
  <c r="E45" i="2"/>
  <c r="D45" i="2"/>
  <c r="C45" i="2"/>
  <c r="B45" i="2"/>
  <c r="A45" i="2"/>
  <c r="Q44" i="2"/>
  <c r="M44" i="2"/>
  <c r="L44" i="2"/>
  <c r="J44" i="2"/>
  <c r="K44" i="2" s="1"/>
  <c r="I44" i="2"/>
  <c r="H44" i="2"/>
  <c r="F44" i="2"/>
  <c r="E44" i="2"/>
  <c r="D44" i="2"/>
  <c r="C44" i="2"/>
  <c r="B44" i="2"/>
  <c r="A44" i="2"/>
  <c r="Q43" i="2"/>
  <c r="M43" i="2"/>
  <c r="N43" i="2" s="1"/>
  <c r="L43" i="2"/>
  <c r="J43" i="2"/>
  <c r="I43" i="2"/>
  <c r="K43" i="2" s="1"/>
  <c r="H43" i="2"/>
  <c r="G43" i="2"/>
  <c r="F43" i="2"/>
  <c r="E43" i="2"/>
  <c r="D43" i="2"/>
  <c r="C43" i="2"/>
  <c r="B43" i="2"/>
  <c r="A43" i="2"/>
  <c r="Q42" i="2"/>
  <c r="M42" i="2"/>
  <c r="L42" i="2"/>
  <c r="N42" i="2" s="1"/>
  <c r="P42" i="2" s="1"/>
  <c r="J42" i="2"/>
  <c r="I42" i="2"/>
  <c r="K42" i="2" s="1"/>
  <c r="O42" i="2" s="1"/>
  <c r="H42" i="2"/>
  <c r="F42" i="2"/>
  <c r="E42" i="2"/>
  <c r="D42" i="2"/>
  <c r="C42" i="2"/>
  <c r="B42" i="2"/>
  <c r="A42" i="2"/>
  <c r="Q41" i="2"/>
  <c r="M41" i="2"/>
  <c r="J41" i="2"/>
  <c r="H41" i="2"/>
  <c r="F41" i="2"/>
  <c r="E41" i="2"/>
  <c r="D41" i="2"/>
  <c r="C41" i="2"/>
  <c r="B41" i="2"/>
  <c r="A41" i="2"/>
  <c r="Q40" i="2"/>
  <c r="M40" i="2"/>
  <c r="L40" i="2"/>
  <c r="N40" i="2" s="1"/>
  <c r="P40" i="2" s="1"/>
  <c r="K40" i="2"/>
  <c r="O40" i="2" s="1"/>
  <c r="J40" i="2"/>
  <c r="I40" i="2"/>
  <c r="H40" i="2"/>
  <c r="F40" i="2"/>
  <c r="E40" i="2"/>
  <c r="D40" i="2"/>
  <c r="C40" i="2"/>
  <c r="B40" i="2"/>
  <c r="A40" i="2"/>
  <c r="Q39" i="2"/>
  <c r="P39" i="2"/>
  <c r="N39" i="2"/>
  <c r="M39" i="2"/>
  <c r="L39" i="2"/>
  <c r="J39" i="2"/>
  <c r="K39" i="2" s="1"/>
  <c r="I39" i="2"/>
  <c r="H39" i="2"/>
  <c r="F39" i="2"/>
  <c r="E39" i="2"/>
  <c r="D39" i="2"/>
  <c r="C39" i="2"/>
  <c r="B39" i="2"/>
  <c r="A39" i="2"/>
  <c r="Q38" i="2"/>
  <c r="M38" i="2"/>
  <c r="N38" i="2" s="1"/>
  <c r="P38" i="2" s="1"/>
  <c r="L38" i="2"/>
  <c r="J38" i="2"/>
  <c r="I38" i="2"/>
  <c r="K38" i="2" s="1"/>
  <c r="H38" i="2"/>
  <c r="F38" i="2"/>
  <c r="E38" i="2"/>
  <c r="D38" i="2"/>
  <c r="C38" i="2"/>
  <c r="B38" i="2"/>
  <c r="A38" i="2"/>
  <c r="Q37" i="2"/>
  <c r="N37" i="2"/>
  <c r="P37" i="2" s="1"/>
  <c r="M37" i="2"/>
  <c r="L37" i="2"/>
  <c r="J37" i="2"/>
  <c r="I37" i="2"/>
  <c r="K37" i="2" s="1"/>
  <c r="H37" i="2"/>
  <c r="F37" i="2"/>
  <c r="E37" i="2"/>
  <c r="D37" i="2"/>
  <c r="C37" i="2"/>
  <c r="B37" i="2"/>
  <c r="A37" i="2"/>
  <c r="Q36" i="2"/>
  <c r="M36" i="2"/>
  <c r="L36" i="2"/>
  <c r="N36" i="2" s="1"/>
  <c r="J36" i="2"/>
  <c r="I36" i="2"/>
  <c r="H36" i="2"/>
  <c r="P36" i="2" s="1"/>
  <c r="F36" i="2"/>
  <c r="E36" i="2"/>
  <c r="D36" i="2"/>
  <c r="C36" i="2"/>
  <c r="B36" i="2"/>
  <c r="A36" i="2"/>
  <c r="Q35" i="2"/>
  <c r="N35" i="2"/>
  <c r="P35" i="2" s="1"/>
  <c r="M35" i="2"/>
  <c r="L35" i="2"/>
  <c r="J35" i="2"/>
  <c r="I35" i="2"/>
  <c r="K35" i="2" s="1"/>
  <c r="O35" i="2" s="1"/>
  <c r="H35" i="2"/>
  <c r="F35" i="2"/>
  <c r="E35" i="2"/>
  <c r="D35" i="2"/>
  <c r="C35" i="2"/>
  <c r="B35" i="2"/>
  <c r="A35" i="2"/>
  <c r="Q34" i="2"/>
  <c r="M34" i="2"/>
  <c r="L34" i="2"/>
  <c r="N34" i="2" s="1"/>
  <c r="P34" i="2" s="1"/>
  <c r="J34" i="2"/>
  <c r="H34" i="2"/>
  <c r="F34" i="2"/>
  <c r="E34" i="2"/>
  <c r="D34" i="2"/>
  <c r="C34" i="2"/>
  <c r="B34" i="2"/>
  <c r="A34" i="2"/>
  <c r="Q33" i="2"/>
  <c r="N33" i="2"/>
  <c r="P33" i="2" s="1"/>
  <c r="M33" i="2"/>
  <c r="L33" i="2"/>
  <c r="K33" i="2"/>
  <c r="J33" i="2"/>
  <c r="I33" i="2"/>
  <c r="H33" i="2"/>
  <c r="F33" i="2"/>
  <c r="E33" i="2"/>
  <c r="D33" i="2"/>
  <c r="C33" i="2"/>
  <c r="B33" i="2"/>
  <c r="A33" i="2"/>
  <c r="Q32" i="2"/>
  <c r="P32" i="2"/>
  <c r="N32" i="2"/>
  <c r="M32" i="2"/>
  <c r="L32" i="2"/>
  <c r="K32" i="2"/>
  <c r="J32" i="2"/>
  <c r="I32" i="2"/>
  <c r="H32" i="2"/>
  <c r="F32" i="2"/>
  <c r="E32" i="2"/>
  <c r="D32" i="2"/>
  <c r="C32" i="2"/>
  <c r="B32" i="2"/>
  <c r="A32" i="2"/>
  <c r="Q31" i="2"/>
  <c r="M31" i="2"/>
  <c r="L31" i="2"/>
  <c r="N31" i="2" s="1"/>
  <c r="P31" i="2" s="1"/>
  <c r="J31" i="2"/>
  <c r="I31" i="2"/>
  <c r="H31" i="2"/>
  <c r="F31" i="2"/>
  <c r="E31" i="2"/>
  <c r="D31" i="2"/>
  <c r="C31" i="2"/>
  <c r="B31" i="2"/>
  <c r="A31" i="2"/>
  <c r="Q30" i="2"/>
  <c r="N30" i="2"/>
  <c r="P30" i="2" s="1"/>
  <c r="M30" i="2"/>
  <c r="L30" i="2"/>
  <c r="K30" i="2"/>
  <c r="O30" i="2" s="1"/>
  <c r="J30" i="2"/>
  <c r="I30" i="2"/>
  <c r="H30" i="2"/>
  <c r="G30" i="2"/>
  <c r="F30" i="2"/>
  <c r="E30" i="2"/>
  <c r="D30" i="2"/>
  <c r="C30" i="2"/>
  <c r="B30" i="2"/>
  <c r="A30" i="2"/>
  <c r="Q29" i="2"/>
  <c r="M29" i="2"/>
  <c r="L29" i="2"/>
  <c r="N29" i="2" s="1"/>
  <c r="P29" i="2" s="1"/>
  <c r="J29" i="2"/>
  <c r="I29" i="2"/>
  <c r="K29" i="2" s="1"/>
  <c r="H29" i="2"/>
  <c r="F29" i="2"/>
  <c r="E29" i="2"/>
  <c r="D29" i="2"/>
  <c r="C29" i="2"/>
  <c r="B29" i="2"/>
  <c r="A29" i="2"/>
  <c r="Q28" i="2"/>
  <c r="N28" i="2"/>
  <c r="P28" i="2" s="1"/>
  <c r="M28" i="2"/>
  <c r="L28" i="2"/>
  <c r="K28" i="2"/>
  <c r="O28" i="2" s="1"/>
  <c r="J28" i="2"/>
  <c r="I28" i="2"/>
  <c r="H28" i="2"/>
  <c r="F28" i="2"/>
  <c r="E28" i="2"/>
  <c r="D28" i="2"/>
  <c r="C28" i="2"/>
  <c r="B28" i="2"/>
  <c r="A28" i="2"/>
  <c r="Q27" i="2"/>
  <c r="M27" i="2"/>
  <c r="N27" i="2" s="1"/>
  <c r="P27" i="2" s="1"/>
  <c r="L27" i="2"/>
  <c r="J27" i="2"/>
  <c r="H27" i="2"/>
  <c r="F27" i="2"/>
  <c r="E27" i="2"/>
  <c r="D27" i="2"/>
  <c r="C27" i="2"/>
  <c r="B27" i="2"/>
  <c r="A27" i="2"/>
  <c r="Q26" i="2"/>
  <c r="M26" i="2"/>
  <c r="N26" i="2" s="1"/>
  <c r="P26" i="2" s="1"/>
  <c r="L26" i="2"/>
  <c r="J26" i="2"/>
  <c r="H26" i="2"/>
  <c r="G26" i="2"/>
  <c r="F26" i="2"/>
  <c r="E26" i="2"/>
  <c r="D26" i="2"/>
  <c r="C26" i="2"/>
  <c r="B26" i="2"/>
  <c r="A26" i="2"/>
  <c r="Q25" i="2"/>
  <c r="M25" i="2"/>
  <c r="N25" i="2" s="1"/>
  <c r="P25" i="2" s="1"/>
  <c r="L25" i="2"/>
  <c r="J25" i="2"/>
  <c r="K25" i="2" s="1"/>
  <c r="I25" i="2"/>
  <c r="H25" i="2"/>
  <c r="F25" i="2"/>
  <c r="E25" i="2"/>
  <c r="D25" i="2"/>
  <c r="C25" i="2"/>
  <c r="B25" i="2"/>
  <c r="A25" i="2"/>
  <c r="Q24" i="2"/>
  <c r="M24" i="2"/>
  <c r="L24" i="2"/>
  <c r="J24" i="2"/>
  <c r="K24" i="2" s="1"/>
  <c r="I24" i="2"/>
  <c r="H24" i="2"/>
  <c r="F24" i="2"/>
  <c r="E24" i="2"/>
  <c r="D24" i="2"/>
  <c r="C24" i="2"/>
  <c r="B24" i="2"/>
  <c r="A24" i="2"/>
  <c r="Q23" i="2"/>
  <c r="M23" i="2"/>
  <c r="L23" i="2"/>
  <c r="N23" i="2" s="1"/>
  <c r="P23" i="2" s="1"/>
  <c r="J23" i="2"/>
  <c r="I23" i="2"/>
  <c r="K23" i="2" s="1"/>
  <c r="H23" i="2"/>
  <c r="F23" i="2"/>
  <c r="E23" i="2"/>
  <c r="D23" i="2"/>
  <c r="C23" i="2"/>
  <c r="B23" i="2"/>
  <c r="A23" i="2"/>
  <c r="Q22" i="2"/>
  <c r="M22" i="2"/>
  <c r="L22" i="2"/>
  <c r="N22" i="2" s="1"/>
  <c r="P22" i="2" s="1"/>
  <c r="J22" i="2"/>
  <c r="I22" i="2"/>
  <c r="K22" i="2" s="1"/>
  <c r="H22" i="2"/>
  <c r="F22" i="2"/>
  <c r="E22" i="2"/>
  <c r="D22" i="2"/>
  <c r="C22" i="2"/>
  <c r="B22" i="2"/>
  <c r="A22" i="2"/>
  <c r="Q21" i="2"/>
  <c r="N21" i="2"/>
  <c r="P21" i="2" s="1"/>
  <c r="M21" i="2"/>
  <c r="L21" i="2"/>
  <c r="K21" i="2"/>
  <c r="J21" i="2"/>
  <c r="I21" i="2"/>
  <c r="H21" i="2"/>
  <c r="F21" i="2"/>
  <c r="E21" i="2"/>
  <c r="D21" i="2"/>
  <c r="C21" i="2"/>
  <c r="B21" i="2"/>
  <c r="A21" i="2"/>
  <c r="Q20" i="2"/>
  <c r="N20" i="2"/>
  <c r="P20" i="2" s="1"/>
  <c r="M20" i="2"/>
  <c r="L20" i="2"/>
  <c r="J20" i="2"/>
  <c r="I20" i="2"/>
  <c r="K20" i="2" s="1"/>
  <c r="H20" i="2"/>
  <c r="F20" i="2"/>
  <c r="E20" i="2"/>
  <c r="D20" i="2"/>
  <c r="C20" i="2"/>
  <c r="B20" i="2"/>
  <c r="A20" i="2"/>
  <c r="Q19" i="2"/>
  <c r="M19" i="2"/>
  <c r="L19" i="2"/>
  <c r="N19" i="2" s="1"/>
  <c r="P19" i="2" s="1"/>
  <c r="K19" i="2"/>
  <c r="J19" i="2"/>
  <c r="I19" i="2"/>
  <c r="H19" i="2"/>
  <c r="F19" i="2"/>
  <c r="E19" i="2"/>
  <c r="D19" i="2"/>
  <c r="C19" i="2"/>
  <c r="B19" i="2"/>
  <c r="A19" i="2"/>
  <c r="Q18" i="2"/>
  <c r="M18" i="2"/>
  <c r="L18" i="2"/>
  <c r="J18" i="2"/>
  <c r="I18" i="2"/>
  <c r="K18" i="2" s="1"/>
  <c r="H18" i="2"/>
  <c r="F18" i="2"/>
  <c r="E18" i="2"/>
  <c r="D18" i="2"/>
  <c r="C18" i="2"/>
  <c r="B18" i="2"/>
  <c r="A18" i="2"/>
  <c r="Q17" i="2"/>
  <c r="M17" i="2"/>
  <c r="L17" i="2"/>
  <c r="N17" i="2" s="1"/>
  <c r="P17" i="2" s="1"/>
  <c r="K17" i="2"/>
  <c r="J17" i="2"/>
  <c r="I17" i="2"/>
  <c r="H17" i="2"/>
  <c r="F17" i="2"/>
  <c r="E17" i="2"/>
  <c r="D17" i="2"/>
  <c r="C17" i="2"/>
  <c r="B17" i="2"/>
  <c r="A17" i="2"/>
  <c r="Q16" i="2"/>
  <c r="M16" i="2"/>
  <c r="L16" i="2"/>
  <c r="N16" i="2" s="1"/>
  <c r="P16" i="2" s="1"/>
  <c r="K16" i="2"/>
  <c r="J16" i="2"/>
  <c r="I16" i="2"/>
  <c r="H16" i="2"/>
  <c r="F16" i="2"/>
  <c r="E16" i="2"/>
  <c r="D16" i="2"/>
  <c r="C16" i="2"/>
  <c r="B16" i="2"/>
  <c r="A16" i="2"/>
  <c r="Q15" i="2"/>
  <c r="M15" i="2"/>
  <c r="N15" i="2" s="1"/>
  <c r="P15" i="2" s="1"/>
  <c r="L15" i="2"/>
  <c r="J15" i="2"/>
  <c r="K15" i="2" s="1"/>
  <c r="O15" i="2" s="1"/>
  <c r="I15" i="2"/>
  <c r="H15" i="2"/>
  <c r="F15" i="2"/>
  <c r="E15" i="2"/>
  <c r="D15" i="2"/>
  <c r="C15" i="2"/>
  <c r="B15" i="2"/>
  <c r="A15" i="2"/>
  <c r="Q14" i="2"/>
  <c r="M14" i="2"/>
  <c r="N14" i="2" s="1"/>
  <c r="P14" i="2" s="1"/>
  <c r="L14" i="2"/>
  <c r="J14" i="2"/>
  <c r="K14" i="2" s="1"/>
  <c r="I14" i="2"/>
  <c r="H14" i="2"/>
  <c r="F14" i="2"/>
  <c r="E14" i="2"/>
  <c r="D14" i="2"/>
  <c r="C14" i="2"/>
  <c r="B14" i="2"/>
  <c r="A14" i="2"/>
  <c r="Q13" i="2"/>
  <c r="P13" i="2"/>
  <c r="O13" i="2"/>
  <c r="M13" i="2"/>
  <c r="L13" i="2"/>
  <c r="N13" i="2" s="1"/>
  <c r="J13" i="2"/>
  <c r="K13" i="2" s="1"/>
  <c r="I13" i="2"/>
  <c r="H13" i="2"/>
  <c r="G13" i="2"/>
  <c r="F13" i="2"/>
  <c r="E13" i="2"/>
  <c r="D13" i="2"/>
  <c r="C13" i="2"/>
  <c r="B13" i="2"/>
  <c r="A13" i="2"/>
  <c r="Q12" i="2"/>
  <c r="M12" i="2"/>
  <c r="L12" i="2"/>
  <c r="N12" i="2" s="1"/>
  <c r="P12" i="2" s="1"/>
  <c r="J12" i="2"/>
  <c r="K12" i="2" s="1"/>
  <c r="O12" i="2" s="1"/>
  <c r="I12" i="2"/>
  <c r="H12" i="2"/>
  <c r="F12" i="2"/>
  <c r="E12" i="2"/>
  <c r="D12" i="2"/>
  <c r="C12" i="2"/>
  <c r="B12" i="2"/>
  <c r="A12" i="2"/>
  <c r="Q11" i="2"/>
  <c r="M11" i="2"/>
  <c r="L11" i="2"/>
  <c r="N11" i="2" s="1"/>
  <c r="P11" i="2" s="1"/>
  <c r="J11" i="2"/>
  <c r="I11" i="2"/>
  <c r="K11" i="2" s="1"/>
  <c r="O11" i="2" s="1"/>
  <c r="H11" i="2"/>
  <c r="F11" i="2"/>
  <c r="E11" i="2"/>
  <c r="D11" i="2"/>
  <c r="C11" i="2"/>
  <c r="B11" i="2"/>
  <c r="A11" i="2"/>
  <c r="Q10" i="2"/>
  <c r="N10" i="2"/>
  <c r="P10" i="2" s="1"/>
  <c r="M10" i="2"/>
  <c r="L10" i="2"/>
  <c r="J10" i="2"/>
  <c r="I10" i="2"/>
  <c r="H10" i="2"/>
  <c r="F10" i="2"/>
  <c r="E10" i="2"/>
  <c r="D10" i="2"/>
  <c r="C10" i="2"/>
  <c r="B10" i="2"/>
  <c r="A10" i="2"/>
  <c r="Q9" i="2"/>
  <c r="N9" i="2"/>
  <c r="M9" i="2"/>
  <c r="L9" i="2"/>
  <c r="J9" i="2"/>
  <c r="K9" i="2" s="1"/>
  <c r="O9" i="2" s="1"/>
  <c r="I9" i="2"/>
  <c r="H9" i="2"/>
  <c r="F9" i="2"/>
  <c r="E9" i="2"/>
  <c r="D9" i="2"/>
  <c r="C9" i="2"/>
  <c r="B9" i="2"/>
  <c r="A9" i="2"/>
  <c r="Q8" i="2"/>
  <c r="M8" i="2"/>
  <c r="L8" i="2"/>
  <c r="N8" i="2" s="1"/>
  <c r="P8" i="2" s="1"/>
  <c r="K8" i="2"/>
  <c r="J8" i="2"/>
  <c r="I8" i="2"/>
  <c r="H8" i="2"/>
  <c r="F8" i="2"/>
  <c r="E8" i="2"/>
  <c r="D8" i="2"/>
  <c r="C8" i="2"/>
  <c r="B8" i="2"/>
  <c r="A8" i="2"/>
  <c r="Q7" i="2"/>
  <c r="M7" i="2"/>
  <c r="L7" i="2"/>
  <c r="N7" i="2" s="1"/>
  <c r="P7" i="2" s="1"/>
  <c r="J7" i="2"/>
  <c r="H7" i="2"/>
  <c r="F7" i="2"/>
  <c r="E7" i="2"/>
  <c r="D7" i="2"/>
  <c r="C7" i="2"/>
  <c r="B7" i="2"/>
  <c r="A7" i="2"/>
  <c r="Q6" i="2"/>
  <c r="M6" i="2"/>
  <c r="N6" i="2" s="1"/>
  <c r="P6" i="2" s="1"/>
  <c r="L6" i="2"/>
  <c r="J6" i="2"/>
  <c r="I6" i="2"/>
  <c r="K6" i="2" s="1"/>
  <c r="H6" i="2"/>
  <c r="F6" i="2"/>
  <c r="E6" i="2"/>
  <c r="D6" i="2"/>
  <c r="C6" i="2"/>
  <c r="B6" i="2"/>
  <c r="A6" i="2"/>
  <c r="Q5" i="2"/>
  <c r="N5" i="2"/>
  <c r="P5" i="2" s="1"/>
  <c r="M5" i="2"/>
  <c r="L5" i="2"/>
  <c r="J5" i="2"/>
  <c r="I5" i="2"/>
  <c r="K5" i="2" s="1"/>
  <c r="O5" i="2" s="1"/>
  <c r="H5" i="2"/>
  <c r="F5" i="2"/>
  <c r="E5" i="2"/>
  <c r="D5" i="2"/>
  <c r="C5" i="2"/>
  <c r="B5" i="2"/>
  <c r="A5" i="2"/>
  <c r="Q4" i="2"/>
  <c r="M4" i="2"/>
  <c r="L4" i="2"/>
  <c r="N4" i="2" s="1"/>
  <c r="J4" i="2"/>
  <c r="I4" i="2"/>
  <c r="K4" i="2" s="1"/>
  <c r="H4" i="2"/>
  <c r="F4" i="2"/>
  <c r="E4" i="2"/>
  <c r="D4" i="2"/>
  <c r="C4" i="2"/>
  <c r="B4" i="2"/>
  <c r="A4" i="2"/>
  <c r="Q3" i="2"/>
  <c r="P3" i="2"/>
  <c r="N3" i="2"/>
  <c r="M3" i="2"/>
  <c r="L3" i="2"/>
  <c r="J3" i="2"/>
  <c r="I3" i="2"/>
  <c r="K3" i="2" s="1"/>
  <c r="H3" i="2"/>
  <c r="F3" i="2"/>
  <c r="E3" i="2"/>
  <c r="D3" i="2"/>
  <c r="C3" i="2"/>
  <c r="B3" i="2"/>
  <c r="A3" i="2"/>
  <c r="N2" i="2"/>
  <c r="M2" i="2"/>
  <c r="L2" i="2"/>
  <c r="J2" i="2"/>
  <c r="I2" i="2"/>
  <c r="K2" i="2" s="1"/>
  <c r="H2" i="2"/>
  <c r="F2" i="2"/>
  <c r="E2" i="2"/>
  <c r="D2" i="2"/>
  <c r="C2" i="2"/>
  <c r="B2" i="2"/>
  <c r="A2" i="2"/>
  <c r="AP401" i="1"/>
  <c r="N401" i="1"/>
  <c r="L401" i="2" s="1"/>
  <c r="N401" i="2" s="1"/>
  <c r="P401" i="2" s="1"/>
  <c r="M401" i="1"/>
  <c r="BA400" i="1"/>
  <c r="AY400" i="1"/>
  <c r="AP400" i="1"/>
  <c r="BA399" i="1"/>
  <c r="AY399" i="1"/>
  <c r="AZ399" i="1" s="1"/>
  <c r="AP399" i="1"/>
  <c r="G399" i="2" s="1"/>
  <c r="Q399" i="1"/>
  <c r="L399" i="2" s="1"/>
  <c r="N399" i="2" s="1"/>
  <c r="P399" i="2" s="1"/>
  <c r="P399" i="1"/>
  <c r="I399" i="2" s="1"/>
  <c r="K399" i="2" s="1"/>
  <c r="O399" i="2" s="1"/>
  <c r="AY398" i="1"/>
  <c r="AP398" i="1"/>
  <c r="AP397" i="1"/>
  <c r="G397" i="2" s="1"/>
  <c r="N397" i="1"/>
  <c r="L397" i="2" s="1"/>
  <c r="N397" i="2" s="1"/>
  <c r="P397" i="2" s="1"/>
  <c r="M397" i="1"/>
  <c r="I397" i="2" s="1"/>
  <c r="K397" i="2" s="1"/>
  <c r="O397" i="2" s="1"/>
  <c r="BA396" i="1"/>
  <c r="AZ396" i="1"/>
  <c r="AY396" i="1"/>
  <c r="AP396" i="1"/>
  <c r="G396" i="2" s="1"/>
  <c r="AY395" i="1"/>
  <c r="AZ395" i="1" s="1"/>
  <c r="AP395" i="1"/>
  <c r="G395" i="2" s="1"/>
  <c r="N395" i="1"/>
  <c r="L395" i="2" s="1"/>
  <c r="N395" i="2" s="1"/>
  <c r="P395" i="2" s="1"/>
  <c r="M395" i="1"/>
  <c r="I395" i="2" s="1"/>
  <c r="K395" i="2" s="1"/>
  <c r="AU394" i="1"/>
  <c r="AP394" i="1"/>
  <c r="G394" i="2" s="1"/>
  <c r="AP393" i="1"/>
  <c r="G393" i="2" s="1"/>
  <c r="Q393" i="1"/>
  <c r="P393" i="1"/>
  <c r="AQ392" i="1"/>
  <c r="AP392" i="1"/>
  <c r="G392" i="2" s="1"/>
  <c r="AY391" i="1"/>
  <c r="AP391" i="1"/>
  <c r="G391" i="2" s="1"/>
  <c r="AY390" i="1"/>
  <c r="AZ390" i="1" s="1"/>
  <c r="AP390" i="1"/>
  <c r="G390" i="2" s="1"/>
  <c r="AY389" i="1"/>
  <c r="AZ389" i="1" s="1"/>
  <c r="AP389" i="1"/>
  <c r="BA388" i="1"/>
  <c r="AZ388" i="1"/>
  <c r="AY388" i="1"/>
  <c r="AP388" i="1"/>
  <c r="G388" i="2" s="1"/>
  <c r="AY387" i="1"/>
  <c r="AZ387" i="1" s="1"/>
  <c r="AP387" i="1"/>
  <c r="AY386" i="1"/>
  <c r="AZ386" i="1" s="1"/>
  <c r="AP386" i="1"/>
  <c r="AY385" i="1"/>
  <c r="AP385" i="1"/>
  <c r="G385" i="2" s="1"/>
  <c r="O385" i="1"/>
  <c r="I385" i="2" s="1"/>
  <c r="K385" i="2" s="1"/>
  <c r="AZ384" i="1"/>
  <c r="AY384" i="1"/>
  <c r="AP384" i="1"/>
  <c r="BA383" i="1"/>
  <c r="AZ383" i="1"/>
  <c r="AY383" i="1"/>
  <c r="AP383" i="1"/>
  <c r="G383" i="2" s="1"/>
  <c r="AY382" i="1"/>
  <c r="AZ382" i="1" s="1"/>
  <c r="AP382" i="1"/>
  <c r="AY381" i="1"/>
  <c r="AZ381" i="1" s="1"/>
  <c r="AP381" i="1"/>
  <c r="G381" i="2" s="1"/>
  <c r="O381" i="2" s="1"/>
  <c r="AY380" i="1"/>
  <c r="AZ380" i="1" s="1"/>
  <c r="AP380" i="1"/>
  <c r="O380" i="1"/>
  <c r="AY379" i="1"/>
  <c r="AP379" i="1"/>
  <c r="G379" i="2" s="1"/>
  <c r="AP378" i="1"/>
  <c r="G378" i="2" s="1"/>
  <c r="O378" i="1"/>
  <c r="BA377" i="1"/>
  <c r="AY377" i="1"/>
  <c r="AP377" i="1"/>
  <c r="AZ377" i="1" s="1"/>
  <c r="AP376" i="1"/>
  <c r="G376" i="2" s="1"/>
  <c r="N376" i="1"/>
  <c r="L376" i="2" s="1"/>
  <c r="N376" i="2" s="1"/>
  <c r="P376" i="2" s="1"/>
  <c r="M376" i="1"/>
  <c r="I376" i="2" s="1"/>
  <c r="K376" i="2" s="1"/>
  <c r="BA375" i="1"/>
  <c r="AZ375" i="1"/>
  <c r="AY375" i="1"/>
  <c r="AP375" i="1"/>
  <c r="BA374" i="1"/>
  <c r="AY374" i="1"/>
  <c r="AZ374" i="1" s="1"/>
  <c r="AP374" i="1"/>
  <c r="G374" i="2" s="1"/>
  <c r="AP373" i="1"/>
  <c r="S373" i="1"/>
  <c r="L373" i="2" s="1"/>
  <c r="N373" i="2" s="1"/>
  <c r="P373" i="2" s="1"/>
  <c r="R373" i="1"/>
  <c r="I373" i="2" s="1"/>
  <c r="K373" i="2" s="1"/>
  <c r="AP372" i="1"/>
  <c r="G372" i="2" s="1"/>
  <c r="AG372" i="1"/>
  <c r="AY371" i="1"/>
  <c r="AZ371" i="1" s="1"/>
  <c r="AP371" i="1"/>
  <c r="G371" i="2" s="1"/>
  <c r="AG371" i="1"/>
  <c r="AY370" i="1"/>
  <c r="AZ370" i="1" s="1"/>
  <c r="AP370" i="1"/>
  <c r="BA369" i="1"/>
  <c r="AZ369" i="1"/>
  <c r="AY369" i="1"/>
  <c r="AP369" i="1"/>
  <c r="G369" i="2" s="1"/>
  <c r="BA368" i="1"/>
  <c r="AZ368" i="1"/>
  <c r="AY368" i="1"/>
  <c r="AP368" i="1"/>
  <c r="G368" i="2" s="1"/>
  <c r="BA367" i="1"/>
  <c r="AY367" i="1"/>
  <c r="AZ367" i="1" s="1"/>
  <c r="AP367" i="1"/>
  <c r="G367" i="2" s="1"/>
  <c r="AY366" i="1"/>
  <c r="AZ366" i="1" s="1"/>
  <c r="AP366" i="1"/>
  <c r="G366" i="2" s="1"/>
  <c r="O366" i="2" s="1"/>
  <c r="AY365" i="1"/>
  <c r="BA365" i="1" s="1"/>
  <c r="AP365" i="1"/>
  <c r="G365" i="2" s="1"/>
  <c r="O365" i="2" s="1"/>
  <c r="AY364" i="1"/>
  <c r="BA364" i="1" s="1"/>
  <c r="AP364" i="1"/>
  <c r="G364" i="2" s="1"/>
  <c r="AZ363" i="1"/>
  <c r="AY363" i="1"/>
  <c r="AP363" i="1"/>
  <c r="AZ362" i="1"/>
  <c r="AY362" i="1"/>
  <c r="AP362" i="1"/>
  <c r="AY361" i="1"/>
  <c r="AP361" i="1"/>
  <c r="G361" i="2" s="1"/>
  <c r="AY360" i="1"/>
  <c r="AP360" i="1"/>
  <c r="N360" i="1"/>
  <c r="L360" i="2" s="1"/>
  <c r="N360" i="2" s="1"/>
  <c r="P360" i="2" s="1"/>
  <c r="M360" i="1"/>
  <c r="I360" i="2" s="1"/>
  <c r="K360" i="2" s="1"/>
  <c r="O360" i="2" s="1"/>
  <c r="BA359" i="1"/>
  <c r="AY359" i="1"/>
  <c r="AP359" i="1"/>
  <c r="G359" i="2" s="1"/>
  <c r="AY358" i="1"/>
  <c r="AZ358" i="1" s="1"/>
  <c r="AP358" i="1"/>
  <c r="G358" i="2" s="1"/>
  <c r="AY357" i="1"/>
  <c r="AZ357" i="1" s="1"/>
  <c r="AP357" i="1"/>
  <c r="M357" i="1"/>
  <c r="I357" i="2" s="1"/>
  <c r="K357" i="2" s="1"/>
  <c r="AY356" i="1"/>
  <c r="AZ356" i="1" s="1"/>
  <c r="AP356" i="1"/>
  <c r="G356" i="2" s="1"/>
  <c r="V356" i="1"/>
  <c r="I356" i="2" s="1"/>
  <c r="K356" i="2" s="1"/>
  <c r="O356" i="2" s="1"/>
  <c r="AZ355" i="1"/>
  <c r="AY355" i="1"/>
  <c r="AP355" i="1"/>
  <c r="AZ354" i="1"/>
  <c r="AY354" i="1"/>
  <c r="AP354" i="1"/>
  <c r="BA353" i="1"/>
  <c r="AZ353" i="1"/>
  <c r="AY353" i="1"/>
  <c r="AP353" i="1"/>
  <c r="G353" i="2" s="1"/>
  <c r="BA352" i="1"/>
  <c r="AZ352" i="1"/>
  <c r="AY352" i="1"/>
  <c r="AP352" i="1"/>
  <c r="G352" i="2" s="1"/>
  <c r="AY351" i="1"/>
  <c r="AZ351" i="1" s="1"/>
  <c r="AP351" i="1"/>
  <c r="G351" i="2" s="1"/>
  <c r="AY350" i="1"/>
  <c r="AZ350" i="1" s="1"/>
  <c r="AQ350" i="1"/>
  <c r="I350" i="2" s="1"/>
  <c r="K350" i="2" s="1"/>
  <c r="AP350" i="1"/>
  <c r="BA350" i="1" s="1"/>
  <c r="AY349" i="1"/>
  <c r="BA349" i="1" s="1"/>
  <c r="AP349" i="1"/>
  <c r="G349" i="2" s="1"/>
  <c r="AP348" i="1"/>
  <c r="M348" i="1"/>
  <c r="AZ347" i="1"/>
  <c r="AY347" i="1"/>
  <c r="AP347" i="1"/>
  <c r="G347" i="2" s="1"/>
  <c r="AY346" i="1"/>
  <c r="AP346" i="1"/>
  <c r="G346" i="2" s="1"/>
  <c r="BA345" i="1"/>
  <c r="AY345" i="1"/>
  <c r="AZ345" i="1" s="1"/>
  <c r="AP345" i="1"/>
  <c r="G345" i="2" s="1"/>
  <c r="AZ344" i="1"/>
  <c r="AY344" i="1"/>
  <c r="AU344" i="1"/>
  <c r="AP344" i="1"/>
  <c r="G344" i="2" s="1"/>
  <c r="AY343" i="1"/>
  <c r="V343" i="1"/>
  <c r="AP343" i="1" s="1"/>
  <c r="BA342" i="1"/>
  <c r="AY342" i="1"/>
  <c r="AP342" i="1"/>
  <c r="G342" i="2" s="1"/>
  <c r="O342" i="2" s="1"/>
  <c r="AZ341" i="1"/>
  <c r="AY341" i="1"/>
  <c r="AP341" i="1"/>
  <c r="AY340" i="1"/>
  <c r="AP340" i="1"/>
  <c r="BA339" i="1"/>
  <c r="AY339" i="1"/>
  <c r="AZ339" i="1" s="1"/>
  <c r="AP339" i="1"/>
  <c r="G339" i="2" s="1"/>
  <c r="AY338" i="1"/>
  <c r="BA338" i="1" s="1"/>
  <c r="AP338" i="1"/>
  <c r="G338" i="2" s="1"/>
  <c r="BA337" i="1"/>
  <c r="AZ337" i="1"/>
  <c r="AY337" i="1"/>
  <c r="AP337" i="1"/>
  <c r="BA336" i="1"/>
  <c r="AY336" i="1"/>
  <c r="AZ336" i="1" s="1"/>
  <c r="AP336" i="1"/>
  <c r="G336" i="2" s="1"/>
  <c r="AY335" i="1"/>
  <c r="AP335" i="1"/>
  <c r="G335" i="2" s="1"/>
  <c r="N335" i="1"/>
  <c r="L335" i="2" s="1"/>
  <c r="M335" i="1"/>
  <c r="I335" i="2" s="1"/>
  <c r="K335" i="2" s="1"/>
  <c r="AP334" i="1"/>
  <c r="G334" i="2" s="1"/>
  <c r="Q334" i="1"/>
  <c r="L334" i="2" s="1"/>
  <c r="N334" i="2" s="1"/>
  <c r="P334" i="2" s="1"/>
  <c r="P334" i="1"/>
  <c r="AZ333" i="1"/>
  <c r="AY333" i="1"/>
  <c r="AP333" i="1"/>
  <c r="AY332" i="1"/>
  <c r="AZ332" i="1" s="1"/>
  <c r="AP332" i="1"/>
  <c r="G332" i="2" s="1"/>
  <c r="AY331" i="1"/>
  <c r="BA331" i="1" s="1"/>
  <c r="AP331" i="1"/>
  <c r="AZ330" i="1"/>
  <c r="AY330" i="1"/>
  <c r="BA330" i="1" s="1"/>
  <c r="AP330" i="1"/>
  <c r="G330" i="2" s="1"/>
  <c r="AY329" i="1"/>
  <c r="AP329" i="1"/>
  <c r="AY328" i="1"/>
  <c r="AZ328" i="1" s="1"/>
  <c r="AP328" i="1"/>
  <c r="G328" i="2" s="1"/>
  <c r="BA327" i="1"/>
  <c r="AZ327" i="1"/>
  <c r="AY327" i="1"/>
  <c r="AP327" i="1"/>
  <c r="G327" i="2" s="1"/>
  <c r="AZ326" i="1"/>
  <c r="AY326" i="1"/>
  <c r="AP326" i="1"/>
  <c r="G326" i="2" s="1"/>
  <c r="AY325" i="1"/>
  <c r="AZ325" i="1" s="1"/>
  <c r="AP325" i="1"/>
  <c r="AZ324" i="1"/>
  <c r="AY324" i="1"/>
  <c r="BA324" i="1" s="1"/>
  <c r="AP324" i="1"/>
  <c r="G324" i="2" s="1"/>
  <c r="BA323" i="1"/>
  <c r="AZ323" i="1"/>
  <c r="AY323" i="1"/>
  <c r="AP323" i="1"/>
  <c r="G323" i="2" s="1"/>
  <c r="AY322" i="1"/>
  <c r="AZ322" i="1" s="1"/>
  <c r="AP322" i="1"/>
  <c r="G322" i="2" s="1"/>
  <c r="AP321" i="1"/>
  <c r="G321" i="2" s="1"/>
  <c r="N321" i="1"/>
  <c r="L321" i="2" s="1"/>
  <c r="N321" i="2" s="1"/>
  <c r="P321" i="2" s="1"/>
  <c r="M321" i="1"/>
  <c r="AY320" i="1"/>
  <c r="AZ320" i="1" s="1"/>
  <c r="AQ320" i="1"/>
  <c r="AP320" i="1"/>
  <c r="G320" i="2" s="1"/>
  <c r="BA319" i="1"/>
  <c r="AY319" i="1"/>
  <c r="AP319" i="1"/>
  <c r="G319" i="2" s="1"/>
  <c r="BA318" i="1"/>
  <c r="AY318" i="1"/>
  <c r="AZ318" i="1" s="1"/>
  <c r="AP318" i="1"/>
  <c r="G318" i="2" s="1"/>
  <c r="AY317" i="1"/>
  <c r="AZ317" i="1" s="1"/>
  <c r="AP317" i="1"/>
  <c r="G317" i="2" s="1"/>
  <c r="AY316" i="1"/>
  <c r="AZ316" i="1" s="1"/>
  <c r="AP316" i="1"/>
  <c r="G316" i="2" s="1"/>
  <c r="AY315" i="1"/>
  <c r="AZ315" i="1" s="1"/>
  <c r="AP315" i="1"/>
  <c r="AY314" i="1"/>
  <c r="AZ314" i="1" s="1"/>
  <c r="AP314" i="1"/>
  <c r="G314" i="2" s="1"/>
  <c r="BA313" i="1"/>
  <c r="AZ313" i="1"/>
  <c r="AY313" i="1"/>
  <c r="AP313" i="1"/>
  <c r="BA312" i="1"/>
  <c r="AZ312" i="1"/>
  <c r="AY312" i="1"/>
  <c r="AQ312" i="1"/>
  <c r="I312" i="2" s="1"/>
  <c r="K312" i="2" s="1"/>
  <c r="AP312" i="1"/>
  <c r="G312" i="2" s="1"/>
  <c r="AY311" i="1"/>
  <c r="AP311" i="1"/>
  <c r="AY310" i="1"/>
  <c r="AP310" i="1"/>
  <c r="BA309" i="1"/>
  <c r="AY309" i="1"/>
  <c r="AZ309" i="1" s="1"/>
  <c r="AP309" i="1"/>
  <c r="G309" i="2" s="1"/>
  <c r="BA308" i="1"/>
  <c r="AZ308" i="1"/>
  <c r="AY308" i="1"/>
  <c r="AP308" i="1"/>
  <c r="G308" i="2" s="1"/>
  <c r="BA307" i="1"/>
  <c r="AY307" i="1"/>
  <c r="AZ307" i="1" s="1"/>
  <c r="AP307" i="1"/>
  <c r="G307" i="2" s="1"/>
  <c r="AP306" i="1"/>
  <c r="G306" i="2" s="1"/>
  <c r="N306" i="1"/>
  <c r="L306" i="2" s="1"/>
  <c r="N306" i="2" s="1"/>
  <c r="P306" i="2" s="1"/>
  <c r="M306" i="1"/>
  <c r="I306" i="2" s="1"/>
  <c r="K306" i="2" s="1"/>
  <c r="O306" i="2" s="1"/>
  <c r="AP305" i="1"/>
  <c r="G305" i="2" s="1"/>
  <c r="M305" i="1"/>
  <c r="BA304" i="1"/>
  <c r="AY304" i="1"/>
  <c r="AP304" i="1"/>
  <c r="G304" i="2" s="1"/>
  <c r="O304" i="2" s="1"/>
  <c r="AY303" i="1"/>
  <c r="AP303" i="1"/>
  <c r="Q303" i="1"/>
  <c r="L303" i="2" s="1"/>
  <c r="P303" i="1"/>
  <c r="I303" i="2" s="1"/>
  <c r="K303" i="2" s="1"/>
  <c r="BA302" i="1"/>
  <c r="AZ302" i="1"/>
  <c r="AY302" i="1"/>
  <c r="AP302" i="1"/>
  <c r="G302" i="2" s="1"/>
  <c r="O302" i="2" s="1"/>
  <c r="AZ301" i="1"/>
  <c r="AY301" i="1"/>
  <c r="AP301" i="1"/>
  <c r="G301" i="2" s="1"/>
  <c r="O301" i="2" s="1"/>
  <c r="AY300" i="1"/>
  <c r="AP300" i="1"/>
  <c r="G300" i="2" s="1"/>
  <c r="BA299" i="1"/>
  <c r="AY299" i="1"/>
  <c r="AZ299" i="1" s="1"/>
  <c r="AP299" i="1"/>
  <c r="G299" i="2" s="1"/>
  <c r="BA298" i="1"/>
  <c r="AY298" i="1"/>
  <c r="AZ298" i="1" s="1"/>
  <c r="AP298" i="1"/>
  <c r="G298" i="2" s="1"/>
  <c r="S298" i="1"/>
  <c r="R298" i="1"/>
  <c r="AY297" i="1"/>
  <c r="AZ297" i="1" s="1"/>
  <c r="AP297" i="1"/>
  <c r="G297" i="2" s="1"/>
  <c r="W297" i="1"/>
  <c r="L297" i="2" s="1"/>
  <c r="N297" i="2" s="1"/>
  <c r="P297" i="2" s="1"/>
  <c r="V297" i="1"/>
  <c r="H297" i="2" s="1"/>
  <c r="AY296" i="1"/>
  <c r="BA296" i="1" s="1"/>
  <c r="AP296" i="1"/>
  <c r="AZ295" i="1"/>
  <c r="AY295" i="1"/>
  <c r="BA295" i="1" s="1"/>
  <c r="AP295" i="1"/>
  <c r="G295" i="2" s="1"/>
  <c r="AE295" i="1"/>
  <c r="BA294" i="1"/>
  <c r="AY294" i="1"/>
  <c r="AZ294" i="1" s="1"/>
  <c r="AP294" i="1"/>
  <c r="G294" i="2" s="1"/>
  <c r="AY293" i="1"/>
  <c r="AP293" i="1"/>
  <c r="G293" i="2" s="1"/>
  <c r="AY292" i="1"/>
  <c r="AZ292" i="1" s="1"/>
  <c r="AP292" i="1"/>
  <c r="G292" i="2" s="1"/>
  <c r="O292" i="2" s="1"/>
  <c r="AY291" i="1"/>
  <c r="AZ291" i="1" s="1"/>
  <c r="AP291" i="1"/>
  <c r="G291" i="2" s="1"/>
  <c r="N291" i="1"/>
  <c r="L291" i="2" s="1"/>
  <c r="N291" i="2" s="1"/>
  <c r="P291" i="2" s="1"/>
  <c r="M291" i="1"/>
  <c r="AY290" i="1"/>
  <c r="AZ290" i="1" s="1"/>
  <c r="AP290" i="1"/>
  <c r="N290" i="1"/>
  <c r="M290" i="1"/>
  <c r="I290" i="2" s="1"/>
  <c r="BA289" i="1"/>
  <c r="AY289" i="1"/>
  <c r="AP289" i="1"/>
  <c r="G289" i="2" s="1"/>
  <c r="M289" i="1"/>
  <c r="I289" i="2" s="1"/>
  <c r="AY288" i="1"/>
  <c r="BA288" i="1" s="1"/>
  <c r="AP288" i="1"/>
  <c r="G288" i="2" s="1"/>
  <c r="AZ287" i="1"/>
  <c r="AY287" i="1"/>
  <c r="AP287" i="1"/>
  <c r="BA286" i="1"/>
  <c r="AZ286" i="1"/>
  <c r="AY286" i="1"/>
  <c r="AP286" i="1"/>
  <c r="G286" i="2" s="1"/>
  <c r="O286" i="2" s="1"/>
  <c r="AY285" i="1"/>
  <c r="AP285" i="1"/>
  <c r="G285" i="2" s="1"/>
  <c r="AY284" i="1"/>
  <c r="AZ284" i="1" s="1"/>
  <c r="AP284" i="1"/>
  <c r="G284" i="2" s="1"/>
  <c r="AY283" i="1"/>
  <c r="AZ283" i="1" s="1"/>
  <c r="AP283" i="1"/>
  <c r="G283" i="2" s="1"/>
  <c r="AY282" i="1"/>
  <c r="AZ282" i="1" s="1"/>
  <c r="AP282" i="1"/>
  <c r="AY281" i="1"/>
  <c r="AZ281" i="1" s="1"/>
  <c r="AP281" i="1"/>
  <c r="BA280" i="1"/>
  <c r="AZ280" i="1"/>
  <c r="AY280" i="1"/>
  <c r="AP280" i="1"/>
  <c r="G280" i="2" s="1"/>
  <c r="AZ279" i="1"/>
  <c r="AY279" i="1"/>
  <c r="AP279" i="1"/>
  <c r="BA278" i="1"/>
  <c r="AZ278" i="1"/>
  <c r="AY278" i="1"/>
  <c r="AP278" i="1"/>
  <c r="G278" i="2" s="1"/>
  <c r="O278" i="2" s="1"/>
  <c r="BA277" i="1"/>
  <c r="AY277" i="1"/>
  <c r="AZ277" i="1" s="1"/>
  <c r="AP277" i="1"/>
  <c r="G277" i="2" s="1"/>
  <c r="M277" i="1"/>
  <c r="I277" i="2" s="1"/>
  <c r="K277" i="2" s="1"/>
  <c r="AY276" i="1"/>
  <c r="AP276" i="1"/>
  <c r="G276" i="2" s="1"/>
  <c r="AY275" i="1"/>
  <c r="AP275" i="1"/>
  <c r="AZ274" i="1"/>
  <c r="AY274" i="1"/>
  <c r="AP274" i="1"/>
  <c r="BA273" i="1"/>
  <c r="AZ273" i="1"/>
  <c r="AY273" i="1"/>
  <c r="AP273" i="1"/>
  <c r="G273" i="2" s="1"/>
  <c r="Y273" i="1"/>
  <c r="L273" i="2" s="1"/>
  <c r="N273" i="2" s="1"/>
  <c r="P273" i="2" s="1"/>
  <c r="X273" i="1"/>
  <c r="I273" i="2" s="1"/>
  <c r="K273" i="2" s="1"/>
  <c r="AY272" i="1"/>
  <c r="AZ272" i="1" s="1"/>
  <c r="AP272" i="1"/>
  <c r="G272" i="2" s="1"/>
  <c r="AZ271" i="1"/>
  <c r="AY271" i="1"/>
  <c r="BA271" i="1" s="1"/>
  <c r="AP271" i="1"/>
  <c r="G271" i="2" s="1"/>
  <c r="AY270" i="1"/>
  <c r="AZ270" i="1" s="1"/>
  <c r="AP270" i="1"/>
  <c r="G270" i="2" s="1"/>
  <c r="BA269" i="1"/>
  <c r="AZ269" i="1"/>
  <c r="AY269" i="1"/>
  <c r="AP269" i="1"/>
  <c r="G269" i="2" s="1"/>
  <c r="O269" i="2" s="1"/>
  <c r="AY268" i="1"/>
  <c r="AP268" i="1"/>
  <c r="G268" i="2" s="1"/>
  <c r="AZ267" i="1"/>
  <c r="AY267" i="1"/>
  <c r="AP267" i="1"/>
  <c r="G267" i="2" s="1"/>
  <c r="BA266" i="1"/>
  <c r="AY266" i="1"/>
  <c r="AP266" i="1"/>
  <c r="BA265" i="1"/>
  <c r="AZ265" i="1"/>
  <c r="AY265" i="1"/>
  <c r="AP265" i="1"/>
  <c r="G265" i="2" s="1"/>
  <c r="AQ264" i="1"/>
  <c r="I264" i="2" s="1"/>
  <c r="K264" i="2" s="1"/>
  <c r="O264" i="2" s="1"/>
  <c r="AP264" i="1"/>
  <c r="AY263" i="1"/>
  <c r="AZ263" i="1" s="1"/>
  <c r="AP263" i="1"/>
  <c r="G263" i="2" s="1"/>
  <c r="AP262" i="1"/>
  <c r="G262" i="2" s="1"/>
  <c r="N262" i="1"/>
  <c r="L262" i="2" s="1"/>
  <c r="N262" i="2" s="1"/>
  <c r="P262" i="2" s="1"/>
  <c r="M262" i="1"/>
  <c r="I262" i="2" s="1"/>
  <c r="K262" i="2" s="1"/>
  <c r="O262" i="2" s="1"/>
  <c r="BA261" i="1"/>
  <c r="AY261" i="1"/>
  <c r="AZ261" i="1" s="1"/>
  <c r="AP261" i="1"/>
  <c r="AD261" i="1"/>
  <c r="AY260" i="1"/>
  <c r="AP260" i="1"/>
  <c r="G260" i="2" s="1"/>
  <c r="BA259" i="1"/>
  <c r="AZ259" i="1"/>
  <c r="AY259" i="1"/>
  <c r="AP259" i="1"/>
  <c r="G259" i="2" s="1"/>
  <c r="BA258" i="1"/>
  <c r="AZ258" i="1"/>
  <c r="AY258" i="1"/>
  <c r="AQ258" i="1"/>
  <c r="I258" i="2" s="1"/>
  <c r="K258" i="2" s="1"/>
  <c r="AP258" i="1"/>
  <c r="G258" i="2" s="1"/>
  <c r="AY257" i="1"/>
  <c r="AZ257" i="1" s="1"/>
  <c r="AP257" i="1"/>
  <c r="AY256" i="1"/>
  <c r="AP256" i="1"/>
  <c r="AY255" i="1"/>
  <c r="AZ255" i="1" s="1"/>
  <c r="AP255" i="1"/>
  <c r="AY254" i="1"/>
  <c r="AZ254" i="1" s="1"/>
  <c r="AP254" i="1"/>
  <c r="G254" i="2" s="1"/>
  <c r="AY253" i="1"/>
  <c r="AP253" i="1"/>
  <c r="G253" i="2" s="1"/>
  <c r="M253" i="1"/>
  <c r="I253" i="2" s="1"/>
  <c r="K253" i="2" s="1"/>
  <c r="BA252" i="1"/>
  <c r="AZ252" i="1"/>
  <c r="AY252" i="1"/>
  <c r="AP252" i="1"/>
  <c r="G252" i="2" s="1"/>
  <c r="AP251" i="1"/>
  <c r="G251" i="2" s="1"/>
  <c r="M251" i="1"/>
  <c r="AZ250" i="1"/>
  <c r="AY250" i="1"/>
  <c r="AP250" i="1"/>
  <c r="G250" i="2" s="1"/>
  <c r="AY249" i="1"/>
  <c r="BA249" i="1" s="1"/>
  <c r="AP249" i="1"/>
  <c r="O249" i="1"/>
  <c r="BA248" i="1"/>
  <c r="AZ248" i="1"/>
  <c r="AY248" i="1"/>
  <c r="AP248" i="1"/>
  <c r="G248" i="2" s="1"/>
  <c r="AY247" i="1"/>
  <c r="AZ247" i="1" s="1"/>
  <c r="AP247" i="1"/>
  <c r="G247" i="2" s="1"/>
  <c r="AP246" i="1"/>
  <c r="G246" i="2" s="1"/>
  <c r="M246" i="1"/>
  <c r="AY246" i="1" s="1"/>
  <c r="AZ246" i="1" s="1"/>
  <c r="AY245" i="1"/>
  <c r="AZ245" i="1" s="1"/>
  <c r="AP245" i="1"/>
  <c r="G245" i="2" s="1"/>
  <c r="BA244" i="1"/>
  <c r="AZ244" i="1"/>
  <c r="AY244" i="1"/>
  <c r="AP244" i="1"/>
  <c r="G244" i="2" s="1"/>
  <c r="AP243" i="1"/>
  <c r="AE243" i="1"/>
  <c r="AZ242" i="1"/>
  <c r="AY242" i="1"/>
  <c r="AP242" i="1"/>
  <c r="AP241" i="1"/>
  <c r="G241" i="2" s="1"/>
  <c r="M241" i="1"/>
  <c r="AZ240" i="1"/>
  <c r="AY240" i="1"/>
  <c r="AP240" i="1"/>
  <c r="BA239" i="1"/>
  <c r="AZ239" i="1"/>
  <c r="AY239" i="1"/>
  <c r="AP239" i="1"/>
  <c r="G239" i="2" s="1"/>
  <c r="AY238" i="1"/>
  <c r="AZ238" i="1" s="1"/>
  <c r="AP238" i="1"/>
  <c r="G238" i="2" s="1"/>
  <c r="O238" i="2" s="1"/>
  <c r="AY237" i="1"/>
  <c r="AZ237" i="1" s="1"/>
  <c r="AP237" i="1"/>
  <c r="G237" i="2" s="1"/>
  <c r="BA236" i="1"/>
  <c r="AZ236" i="1"/>
  <c r="AY236" i="1"/>
  <c r="AP236" i="1"/>
  <c r="G236" i="2" s="1"/>
  <c r="BA235" i="1"/>
  <c r="AZ235" i="1"/>
  <c r="AY235" i="1"/>
  <c r="AP235" i="1"/>
  <c r="G235" i="2" s="1"/>
  <c r="AY234" i="1"/>
  <c r="AP234" i="1"/>
  <c r="G234" i="2" s="1"/>
  <c r="AY233" i="1"/>
  <c r="AZ233" i="1" s="1"/>
  <c r="AP233" i="1"/>
  <c r="AZ232" i="1"/>
  <c r="AY232" i="1"/>
  <c r="AP232" i="1"/>
  <c r="BA231" i="1"/>
  <c r="AZ231" i="1"/>
  <c r="AY231" i="1"/>
  <c r="AP231" i="1"/>
  <c r="G231" i="2" s="1"/>
  <c r="BA230" i="1"/>
  <c r="AZ230" i="1"/>
  <c r="AY230" i="1"/>
  <c r="AP230" i="1"/>
  <c r="G230" i="2" s="1"/>
  <c r="AQ229" i="1"/>
  <c r="I229" i="2" s="1"/>
  <c r="K229" i="2" s="1"/>
  <c r="AP229" i="1"/>
  <c r="G229" i="2" s="1"/>
  <c r="AY228" i="1"/>
  <c r="AP228" i="1"/>
  <c r="BA228" i="1" s="1"/>
  <c r="AY227" i="1"/>
  <c r="AP227" i="1"/>
  <c r="G227" i="2" s="1"/>
  <c r="AY226" i="1"/>
  <c r="BA226" i="1" s="1"/>
  <c r="AP226" i="1"/>
  <c r="AZ225" i="1"/>
  <c r="AY225" i="1"/>
  <c r="AP225" i="1"/>
  <c r="G225" i="2" s="1"/>
  <c r="BA224" i="1"/>
  <c r="AZ224" i="1"/>
  <c r="AY224" i="1"/>
  <c r="AP224" i="1"/>
  <c r="G224" i="2" s="1"/>
  <c r="AY223" i="1"/>
  <c r="AP223" i="1"/>
  <c r="G223" i="2" s="1"/>
  <c r="AY222" i="1"/>
  <c r="AZ222" i="1" s="1"/>
  <c r="AP222" i="1"/>
  <c r="G222" i="2" s="1"/>
  <c r="O222" i="2" s="1"/>
  <c r="AP221" i="1"/>
  <c r="G221" i="2" s="1"/>
  <c r="M221" i="1"/>
  <c r="I221" i="2" s="1"/>
  <c r="K221" i="2" s="1"/>
  <c r="O221" i="2" s="1"/>
  <c r="AP220" i="1"/>
  <c r="M220" i="1"/>
  <c r="I220" i="2" s="1"/>
  <c r="K220" i="2" s="1"/>
  <c r="BA219" i="1"/>
  <c r="AZ219" i="1"/>
  <c r="AY219" i="1"/>
  <c r="AP219" i="1"/>
  <c r="G219" i="2" s="1"/>
  <c r="BA218" i="1"/>
  <c r="AY218" i="1"/>
  <c r="AZ218" i="1" s="1"/>
  <c r="AP218" i="1"/>
  <c r="G218" i="2" s="1"/>
  <c r="BA217" i="1"/>
  <c r="AY217" i="1"/>
  <c r="AP217" i="1"/>
  <c r="G217" i="2" s="1"/>
  <c r="M217" i="1"/>
  <c r="I217" i="2" s="1"/>
  <c r="K217" i="2" s="1"/>
  <c r="AY216" i="1"/>
  <c r="BA216" i="1" s="1"/>
  <c r="AP216" i="1"/>
  <c r="AY215" i="1"/>
  <c r="AP215" i="1"/>
  <c r="G215" i="2" s="1"/>
  <c r="BA214" i="1"/>
  <c r="AY214" i="1"/>
  <c r="AZ214" i="1" s="1"/>
  <c r="AP214" i="1"/>
  <c r="G214" i="2" s="1"/>
  <c r="AP213" i="1"/>
  <c r="S213" i="1"/>
  <c r="L213" i="2" s="1"/>
  <c r="N213" i="2" s="1"/>
  <c r="P213" i="2" s="1"/>
  <c r="R213" i="1"/>
  <c r="AY212" i="1"/>
  <c r="AZ212" i="1" s="1"/>
  <c r="AP212" i="1"/>
  <c r="G212" i="2" s="1"/>
  <c r="BA211" i="1"/>
  <c r="AZ211" i="1"/>
  <c r="AY211" i="1"/>
  <c r="AP211" i="1"/>
  <c r="BA210" i="1"/>
  <c r="AZ210" i="1"/>
  <c r="AY210" i="1"/>
  <c r="AP210" i="1"/>
  <c r="G210" i="2" s="1"/>
  <c r="BA209" i="1"/>
  <c r="AZ209" i="1"/>
  <c r="AY209" i="1"/>
  <c r="AP209" i="1"/>
  <c r="AY208" i="1"/>
  <c r="AZ208" i="1" s="1"/>
  <c r="AP208" i="1"/>
  <c r="G208" i="2" s="1"/>
  <c r="M208" i="1"/>
  <c r="I208" i="2" s="1"/>
  <c r="K208" i="2" s="1"/>
  <c r="O208" i="2" s="1"/>
  <c r="AY207" i="1"/>
  <c r="AZ207" i="1" s="1"/>
  <c r="AP207" i="1"/>
  <c r="G207" i="2" s="1"/>
  <c r="AY206" i="1"/>
  <c r="AZ206" i="1" s="1"/>
  <c r="AP206" i="1"/>
  <c r="G206" i="2" s="1"/>
  <c r="AY205" i="1"/>
  <c r="AP205" i="1"/>
  <c r="AY204" i="1"/>
  <c r="BA204" i="1" s="1"/>
  <c r="AP204" i="1"/>
  <c r="BA203" i="1"/>
  <c r="AZ203" i="1"/>
  <c r="AY203" i="1"/>
  <c r="AP203" i="1"/>
  <c r="G203" i="2" s="1"/>
  <c r="AY202" i="1"/>
  <c r="AZ202" i="1" s="1"/>
  <c r="AP202" i="1"/>
  <c r="G202" i="2" s="1"/>
  <c r="BA201" i="1"/>
  <c r="AZ201" i="1"/>
  <c r="AY201" i="1"/>
  <c r="AP201" i="1"/>
  <c r="G201" i="2" s="1"/>
  <c r="AY200" i="1"/>
  <c r="AP200" i="1"/>
  <c r="BA200" i="1" s="1"/>
  <c r="BA199" i="1"/>
  <c r="AY199" i="1"/>
  <c r="AZ199" i="1" s="1"/>
  <c r="AP199" i="1"/>
  <c r="G199" i="2" s="1"/>
  <c r="AY198" i="1"/>
  <c r="AZ198" i="1" s="1"/>
  <c r="AP198" i="1"/>
  <c r="AY197" i="1"/>
  <c r="AP197" i="1"/>
  <c r="AY196" i="1"/>
  <c r="AZ196" i="1" s="1"/>
  <c r="AP196" i="1"/>
  <c r="BA196" i="1" s="1"/>
  <c r="M196" i="1"/>
  <c r="BA195" i="1"/>
  <c r="AZ195" i="1"/>
  <c r="AY195" i="1"/>
  <c r="AP195" i="1"/>
  <c r="G195" i="2" s="1"/>
  <c r="AY194" i="1"/>
  <c r="AZ194" i="1" s="1"/>
  <c r="AP194" i="1"/>
  <c r="G194" i="2" s="1"/>
  <c r="BA193" i="1"/>
  <c r="AY193" i="1"/>
  <c r="AZ193" i="1" s="1"/>
  <c r="AP193" i="1"/>
  <c r="G193" i="2" s="1"/>
  <c r="BA192" i="1"/>
  <c r="AY192" i="1"/>
  <c r="AP192" i="1"/>
  <c r="G192" i="2" s="1"/>
  <c r="AY191" i="1"/>
  <c r="BA191" i="1" s="1"/>
  <c r="AQ191" i="1"/>
  <c r="I191" i="2" s="1"/>
  <c r="K191" i="2" s="1"/>
  <c r="O191" i="2" s="1"/>
  <c r="AP191" i="1"/>
  <c r="BA190" i="1"/>
  <c r="AZ190" i="1"/>
  <c r="AY190" i="1"/>
  <c r="AP190" i="1"/>
  <c r="AY189" i="1"/>
  <c r="AZ189" i="1" s="1"/>
  <c r="AQ189" i="1"/>
  <c r="I189" i="2" s="1"/>
  <c r="K189" i="2" s="1"/>
  <c r="AP189" i="1"/>
  <c r="AY188" i="1"/>
  <c r="AP188" i="1"/>
  <c r="G188" i="2" s="1"/>
  <c r="M188" i="1"/>
  <c r="I188" i="2" s="1"/>
  <c r="K188" i="2" s="1"/>
  <c r="O188" i="2" s="1"/>
  <c r="AY187" i="1"/>
  <c r="AZ187" i="1" s="1"/>
  <c r="AP187" i="1"/>
  <c r="AY186" i="1"/>
  <c r="AZ186" i="1" s="1"/>
  <c r="AP186" i="1"/>
  <c r="G186" i="2" s="1"/>
  <c r="AZ185" i="1"/>
  <c r="AY185" i="1"/>
  <c r="AP185" i="1"/>
  <c r="BA185" i="1" s="1"/>
  <c r="AP184" i="1"/>
  <c r="G184" i="2" s="1"/>
  <c r="M184" i="1"/>
  <c r="I184" i="2" s="1"/>
  <c r="K184" i="2" s="1"/>
  <c r="O184" i="2" s="1"/>
  <c r="AY183" i="1"/>
  <c r="BA183" i="1" s="1"/>
  <c r="AP183" i="1"/>
  <c r="G183" i="2" s="1"/>
  <c r="AY182" i="1"/>
  <c r="AP182" i="1"/>
  <c r="AY181" i="1"/>
  <c r="AZ181" i="1" s="1"/>
  <c r="AP181" i="1"/>
  <c r="BA181" i="1" s="1"/>
  <c r="AY180" i="1"/>
  <c r="BA180" i="1" s="1"/>
  <c r="AP180" i="1"/>
  <c r="G180" i="2" s="1"/>
  <c r="M180" i="1"/>
  <c r="I180" i="2" s="1"/>
  <c r="K180" i="2" s="1"/>
  <c r="O180" i="2" s="1"/>
  <c r="AY179" i="1"/>
  <c r="AZ179" i="1" s="1"/>
  <c r="AP179" i="1"/>
  <c r="G179" i="2" s="1"/>
  <c r="BA178" i="1"/>
  <c r="AZ178" i="1"/>
  <c r="AY178" i="1"/>
  <c r="AP178" i="1"/>
  <c r="G178" i="2" s="1"/>
  <c r="BA177" i="1"/>
  <c r="AZ177" i="1"/>
  <c r="AY177" i="1"/>
  <c r="AP177" i="1"/>
  <c r="G177" i="2" s="1"/>
  <c r="BA176" i="1"/>
  <c r="AZ176" i="1"/>
  <c r="AY176" i="1"/>
  <c r="AP176" i="1"/>
  <c r="G176" i="2" s="1"/>
  <c r="BA175" i="1"/>
  <c r="AY175" i="1"/>
  <c r="AP175" i="1"/>
  <c r="G175" i="2" s="1"/>
  <c r="AY174" i="1"/>
  <c r="AZ174" i="1" s="1"/>
  <c r="AP174" i="1"/>
  <c r="AP173" i="1"/>
  <c r="G173" i="2" s="1"/>
  <c r="M173" i="1"/>
  <c r="I173" i="2" s="1"/>
  <c r="K173" i="2" s="1"/>
  <c r="O173" i="2" s="1"/>
  <c r="AP172" i="1"/>
  <c r="M172" i="1"/>
  <c r="AY171" i="1"/>
  <c r="AZ171" i="1" s="1"/>
  <c r="AP171" i="1"/>
  <c r="G171" i="2" s="1"/>
  <c r="AY170" i="1"/>
  <c r="AZ170" i="1" s="1"/>
  <c r="AP170" i="1"/>
  <c r="AY169" i="1"/>
  <c r="AZ169" i="1" s="1"/>
  <c r="AP169" i="1"/>
  <c r="G169" i="2" s="1"/>
  <c r="O169" i="2" s="1"/>
  <c r="BA168" i="1"/>
  <c r="AY168" i="1"/>
  <c r="AZ168" i="1" s="1"/>
  <c r="AP168" i="1"/>
  <c r="G168" i="2" s="1"/>
  <c r="BA167" i="1"/>
  <c r="AY167" i="1"/>
  <c r="AZ167" i="1" s="1"/>
  <c r="AP167" i="1"/>
  <c r="G167" i="2" s="1"/>
  <c r="AY166" i="1"/>
  <c r="AP166" i="1"/>
  <c r="AY165" i="1"/>
  <c r="AP165" i="1"/>
  <c r="G165" i="2" s="1"/>
  <c r="AP164" i="1"/>
  <c r="G164" i="2" s="1"/>
  <c r="N164" i="1"/>
  <c r="L164" i="2" s="1"/>
  <c r="N164" i="2" s="1"/>
  <c r="P164" i="2" s="1"/>
  <c r="M164" i="1"/>
  <c r="AY163" i="1"/>
  <c r="AZ163" i="1" s="1"/>
  <c r="AP163" i="1"/>
  <c r="G163" i="2" s="1"/>
  <c r="AY162" i="1"/>
  <c r="AZ162" i="1" s="1"/>
  <c r="AP162" i="1"/>
  <c r="G162" i="2" s="1"/>
  <c r="BA161" i="1"/>
  <c r="AZ161" i="1"/>
  <c r="AY161" i="1"/>
  <c r="AP161" i="1"/>
  <c r="G161" i="2" s="1"/>
  <c r="BA160" i="1"/>
  <c r="AZ160" i="1"/>
  <c r="AY160" i="1"/>
  <c r="AP160" i="1"/>
  <c r="G160" i="2" s="1"/>
  <c r="BA159" i="1"/>
  <c r="AY159" i="1"/>
  <c r="AP159" i="1"/>
  <c r="AZ159" i="1" s="1"/>
  <c r="AZ158" i="1"/>
  <c r="AY158" i="1"/>
  <c r="AP158" i="1"/>
  <c r="BA158" i="1" s="1"/>
  <c r="AP157" i="1"/>
  <c r="G157" i="2" s="1"/>
  <c r="N157" i="1"/>
  <c r="M157" i="1"/>
  <c r="I157" i="2" s="1"/>
  <c r="K157" i="2" s="1"/>
  <c r="O157" i="2" s="1"/>
  <c r="AY156" i="1"/>
  <c r="AZ156" i="1" s="1"/>
  <c r="AP156" i="1"/>
  <c r="BA156" i="1" s="1"/>
  <c r="AY155" i="1"/>
  <c r="AZ155" i="1" s="1"/>
  <c r="AP155" i="1"/>
  <c r="G155" i="2" s="1"/>
  <c r="AY154" i="1"/>
  <c r="AZ154" i="1" s="1"/>
  <c r="AP154" i="1"/>
  <c r="G154" i="2" s="1"/>
  <c r="O154" i="2" s="1"/>
  <c r="BA153" i="1"/>
  <c r="AZ153" i="1"/>
  <c r="AY153" i="1"/>
  <c r="AP153" i="1"/>
  <c r="G153" i="2" s="1"/>
  <c r="BA152" i="1"/>
  <c r="AZ152" i="1"/>
  <c r="AY152" i="1"/>
  <c r="AP152" i="1"/>
  <c r="G152" i="2" s="1"/>
  <c r="AY151" i="1"/>
  <c r="AZ151" i="1" s="1"/>
  <c r="AP151" i="1"/>
  <c r="AZ150" i="1"/>
  <c r="AY150" i="1"/>
  <c r="AP150" i="1"/>
  <c r="G150" i="2" s="1"/>
  <c r="AP149" i="1"/>
  <c r="G149" i="2" s="1"/>
  <c r="T149" i="1"/>
  <c r="BA148" i="1"/>
  <c r="AZ148" i="1"/>
  <c r="AY148" i="1"/>
  <c r="AP148" i="1"/>
  <c r="G148" i="2" s="1"/>
  <c r="BA147" i="1"/>
  <c r="AZ147" i="1"/>
  <c r="AY147" i="1"/>
  <c r="AP147" i="1"/>
  <c r="G147" i="2" s="1"/>
  <c r="AY146" i="1"/>
  <c r="AZ146" i="1" s="1"/>
  <c r="AP146" i="1"/>
  <c r="BA146" i="1" s="1"/>
  <c r="AY145" i="1"/>
  <c r="AZ145" i="1" s="1"/>
  <c r="AP145" i="1"/>
  <c r="G145" i="2" s="1"/>
  <c r="BA144" i="1"/>
  <c r="AZ144" i="1"/>
  <c r="AY144" i="1"/>
  <c r="AP144" i="1"/>
  <c r="G144" i="2" s="1"/>
  <c r="BA143" i="1"/>
  <c r="AZ143" i="1"/>
  <c r="AY143" i="1"/>
  <c r="AP143" i="1"/>
  <c r="G143" i="2" s="1"/>
  <c r="AY142" i="1"/>
  <c r="AP142" i="1"/>
  <c r="G142" i="2" s="1"/>
  <c r="O142" i="2" s="1"/>
  <c r="AY141" i="1"/>
  <c r="AZ141" i="1" s="1"/>
  <c r="AP141" i="1"/>
  <c r="AY140" i="1"/>
  <c r="AP140" i="1"/>
  <c r="G140" i="2" s="1"/>
  <c r="AQ139" i="1"/>
  <c r="I139" i="2" s="1"/>
  <c r="K139" i="2" s="1"/>
  <c r="O139" i="2" s="1"/>
  <c r="AP139" i="1"/>
  <c r="G139" i="2" s="1"/>
  <c r="AY138" i="1"/>
  <c r="AZ138" i="1" s="1"/>
  <c r="AP138" i="1"/>
  <c r="G138" i="2" s="1"/>
  <c r="AY137" i="1"/>
  <c r="AZ137" i="1" s="1"/>
  <c r="AP137" i="1"/>
  <c r="G137" i="2" s="1"/>
  <c r="BA136" i="1"/>
  <c r="AY136" i="1"/>
  <c r="AP136" i="1"/>
  <c r="AZ136" i="1" s="1"/>
  <c r="AY135" i="1"/>
  <c r="BA135" i="1" s="1"/>
  <c r="AP135" i="1"/>
  <c r="G135" i="2" s="1"/>
  <c r="AZ134" i="1"/>
  <c r="AY134" i="1"/>
  <c r="BA134" i="1" s="1"/>
  <c r="AP134" i="1"/>
  <c r="AY133" i="1"/>
  <c r="AZ133" i="1" s="1"/>
  <c r="AP133" i="1"/>
  <c r="AY132" i="1"/>
  <c r="BA132" i="1" s="1"/>
  <c r="AP132" i="1"/>
  <c r="G132" i="2" s="1"/>
  <c r="AY131" i="1"/>
  <c r="BA131" i="1" s="1"/>
  <c r="AP131" i="1"/>
  <c r="G131" i="2" s="1"/>
  <c r="AY130" i="1"/>
  <c r="BA130" i="1" s="1"/>
  <c r="AP130" i="1"/>
  <c r="AQ129" i="1"/>
  <c r="I129" i="2" s="1"/>
  <c r="K129" i="2" s="1"/>
  <c r="AP129" i="1"/>
  <c r="Z129" i="1"/>
  <c r="AY128" i="1"/>
  <c r="AZ128" i="1" s="1"/>
  <c r="AP128" i="1"/>
  <c r="AY127" i="1"/>
  <c r="AP127" i="1"/>
  <c r="G127" i="2" s="1"/>
  <c r="BA126" i="1"/>
  <c r="AY126" i="1"/>
  <c r="AZ126" i="1" s="1"/>
  <c r="AP126" i="1"/>
  <c r="G126" i="2" s="1"/>
  <c r="AP125" i="1"/>
  <c r="G125" i="2" s="1"/>
  <c r="O125" i="1"/>
  <c r="I125" i="2" s="1"/>
  <c r="K125" i="2" s="1"/>
  <c r="O125" i="2" s="1"/>
  <c r="AZ124" i="1"/>
  <c r="AY124" i="1"/>
  <c r="AP124" i="1"/>
  <c r="G124" i="2" s="1"/>
  <c r="BA123" i="1"/>
  <c r="AZ123" i="1"/>
  <c r="AY123" i="1"/>
  <c r="AP123" i="1"/>
  <c r="G123" i="2" s="1"/>
  <c r="BA122" i="1"/>
  <c r="AZ122" i="1"/>
  <c r="AY122" i="1"/>
  <c r="AP122" i="1"/>
  <c r="G122" i="2" s="1"/>
  <c r="BA121" i="1"/>
  <c r="AZ121" i="1"/>
  <c r="AY121" i="1"/>
  <c r="AP121" i="1"/>
  <c r="AY120" i="1"/>
  <c r="AZ120" i="1" s="1"/>
  <c r="AP120" i="1"/>
  <c r="G120" i="2" s="1"/>
  <c r="AY119" i="1"/>
  <c r="AP119" i="1"/>
  <c r="BA119" i="1" s="1"/>
  <c r="AY118" i="1"/>
  <c r="AZ118" i="1" s="1"/>
  <c r="AP118" i="1"/>
  <c r="BA117" i="1"/>
  <c r="AY117" i="1"/>
  <c r="AZ117" i="1" s="1"/>
  <c r="AP117" i="1"/>
  <c r="AY116" i="1"/>
  <c r="AZ116" i="1" s="1"/>
  <c r="AP116" i="1"/>
  <c r="G116" i="2" s="1"/>
  <c r="AY115" i="1"/>
  <c r="AP115" i="1"/>
  <c r="G115" i="2" s="1"/>
  <c r="BA114" i="1"/>
  <c r="AY114" i="1"/>
  <c r="AZ114" i="1" s="1"/>
  <c r="AP114" i="1"/>
  <c r="G114" i="2" s="1"/>
  <c r="BA113" i="1"/>
  <c r="AZ113" i="1"/>
  <c r="AY113" i="1"/>
  <c r="AP113" i="1"/>
  <c r="AY112" i="1"/>
  <c r="AZ112" i="1" s="1"/>
  <c r="AP112" i="1"/>
  <c r="G112" i="2" s="1"/>
  <c r="O112" i="2" s="1"/>
  <c r="AY111" i="1"/>
  <c r="AZ111" i="1" s="1"/>
  <c r="AP111" i="1"/>
  <c r="G111" i="2" s="1"/>
  <c r="AY110" i="1"/>
  <c r="AP110" i="1"/>
  <c r="AY109" i="1"/>
  <c r="AZ109" i="1" s="1"/>
  <c r="AP109" i="1"/>
  <c r="BA109" i="1" s="1"/>
  <c r="BA108" i="1"/>
  <c r="AZ108" i="1"/>
  <c r="AY108" i="1"/>
  <c r="AP108" i="1"/>
  <c r="G108" i="2" s="1"/>
  <c r="BA107" i="1"/>
  <c r="AZ107" i="1"/>
  <c r="AY107" i="1"/>
  <c r="AP107" i="1"/>
  <c r="G107" i="2" s="1"/>
  <c r="AY106" i="1"/>
  <c r="AZ106" i="1" s="1"/>
  <c r="AP106" i="1"/>
  <c r="G106" i="2" s="1"/>
  <c r="BA105" i="1"/>
  <c r="AZ105" i="1"/>
  <c r="AY105" i="1"/>
  <c r="AP105" i="1"/>
  <c r="G105" i="2" s="1"/>
  <c r="AY104" i="1"/>
  <c r="AZ104" i="1" s="1"/>
  <c r="AP104" i="1"/>
  <c r="G104" i="2" s="1"/>
  <c r="AY103" i="1"/>
  <c r="AP103" i="1"/>
  <c r="G103" i="2" s="1"/>
  <c r="AY102" i="1"/>
  <c r="AP102" i="1"/>
  <c r="BA102" i="1" s="1"/>
  <c r="AY101" i="1"/>
  <c r="AZ101" i="1" s="1"/>
  <c r="AP101" i="1"/>
  <c r="G101" i="2" s="1"/>
  <c r="O101" i="2" s="1"/>
  <c r="AY100" i="1"/>
  <c r="AZ100" i="1" s="1"/>
  <c r="AP100" i="1"/>
  <c r="G100" i="2" s="1"/>
  <c r="AP99" i="1"/>
  <c r="G99" i="2" s="1"/>
  <c r="T99" i="1"/>
  <c r="R99" i="1"/>
  <c r="AQ98" i="1"/>
  <c r="I98" i="2" s="1"/>
  <c r="K98" i="2" s="1"/>
  <c r="O98" i="2" s="1"/>
  <c r="AP98" i="1"/>
  <c r="G98" i="2" s="1"/>
  <c r="AP97" i="1"/>
  <c r="G97" i="2" s="1"/>
  <c r="V97" i="1"/>
  <c r="I97" i="2" s="1"/>
  <c r="K97" i="2" s="1"/>
  <c r="AY96" i="1"/>
  <c r="AP96" i="1"/>
  <c r="G96" i="2" s="1"/>
  <c r="AY95" i="1"/>
  <c r="AP95" i="1"/>
  <c r="BA95" i="1" s="1"/>
  <c r="AY94" i="1"/>
  <c r="AZ94" i="1" s="1"/>
  <c r="AP94" i="1"/>
  <c r="G94" i="2" s="1"/>
  <c r="AY93" i="1"/>
  <c r="AZ93" i="1" s="1"/>
  <c r="AP93" i="1"/>
  <c r="G93" i="2" s="1"/>
  <c r="AY92" i="1"/>
  <c r="BA92" i="1" s="1"/>
  <c r="AP92" i="1"/>
  <c r="G92" i="2" s="1"/>
  <c r="BA91" i="1"/>
  <c r="AY91" i="1"/>
  <c r="AZ91" i="1" s="1"/>
  <c r="AP91" i="1"/>
  <c r="G91" i="2" s="1"/>
  <c r="BA90" i="1"/>
  <c r="AZ90" i="1"/>
  <c r="AY90" i="1"/>
  <c r="AP90" i="1"/>
  <c r="AY89" i="1"/>
  <c r="BA89" i="1" s="1"/>
  <c r="AP89" i="1"/>
  <c r="AY88" i="1"/>
  <c r="AP88" i="1"/>
  <c r="BA88" i="1" s="1"/>
  <c r="AY87" i="1"/>
  <c r="AP87" i="1"/>
  <c r="AY86" i="1"/>
  <c r="AZ86" i="1" s="1"/>
  <c r="AP86" i="1"/>
  <c r="G86" i="2" s="1"/>
  <c r="AY85" i="1"/>
  <c r="AZ85" i="1" s="1"/>
  <c r="AP85" i="1"/>
  <c r="G85" i="2" s="1"/>
  <c r="AY84" i="1"/>
  <c r="AZ84" i="1" s="1"/>
  <c r="AP84" i="1"/>
  <c r="G84" i="2" s="1"/>
  <c r="AQ83" i="1"/>
  <c r="I83" i="2" s="1"/>
  <c r="K83" i="2" s="1"/>
  <c r="O83" i="2" s="1"/>
  <c r="AP83" i="1"/>
  <c r="G83" i="2" s="1"/>
  <c r="AY82" i="1"/>
  <c r="AP82" i="1"/>
  <c r="AZ82" i="1" s="1"/>
  <c r="AZ81" i="1"/>
  <c r="AY81" i="1"/>
  <c r="AP81" i="1"/>
  <c r="G81" i="2" s="1"/>
  <c r="AY80" i="1"/>
  <c r="BA80" i="1" s="1"/>
  <c r="AP80" i="1"/>
  <c r="G80" i="2" s="1"/>
  <c r="AY79" i="1"/>
  <c r="AZ79" i="1" s="1"/>
  <c r="AP79" i="1"/>
  <c r="AY78" i="1"/>
  <c r="AZ78" i="1" s="1"/>
  <c r="AP78" i="1"/>
  <c r="G78" i="2" s="1"/>
  <c r="AY77" i="1"/>
  <c r="AZ77" i="1" s="1"/>
  <c r="AP77" i="1"/>
  <c r="G77" i="2" s="1"/>
  <c r="O77" i="2" s="1"/>
  <c r="AY76" i="1"/>
  <c r="AP76" i="1"/>
  <c r="G76" i="2" s="1"/>
  <c r="AY75" i="1"/>
  <c r="AZ75" i="1" s="1"/>
  <c r="AP75" i="1"/>
  <c r="BA75" i="1" s="1"/>
  <c r="BA74" i="1"/>
  <c r="AY74" i="1"/>
  <c r="AP74" i="1"/>
  <c r="AY73" i="1"/>
  <c r="AZ73" i="1" s="1"/>
  <c r="AP73" i="1"/>
  <c r="G73" i="2" s="1"/>
  <c r="AP72" i="1"/>
  <c r="T72" i="1"/>
  <c r="R72" i="1"/>
  <c r="I72" i="2" s="1"/>
  <c r="K72" i="2" s="1"/>
  <c r="O72" i="2" s="1"/>
  <c r="AQ71" i="1"/>
  <c r="I71" i="2" s="1"/>
  <c r="K71" i="2" s="1"/>
  <c r="O71" i="2" s="1"/>
  <c r="AP71" i="1"/>
  <c r="G71" i="2" s="1"/>
  <c r="AY70" i="1"/>
  <c r="AP70" i="1"/>
  <c r="BA70" i="1" s="1"/>
  <c r="AY69" i="1"/>
  <c r="AZ69" i="1" s="1"/>
  <c r="AP69" i="1"/>
  <c r="BA69" i="1" s="1"/>
  <c r="AY68" i="1"/>
  <c r="AZ68" i="1" s="1"/>
  <c r="AP68" i="1"/>
  <c r="G68" i="2" s="1"/>
  <c r="BA67" i="1"/>
  <c r="AZ67" i="1"/>
  <c r="AY67" i="1"/>
  <c r="AP67" i="1"/>
  <c r="G67" i="2" s="1"/>
  <c r="BA66" i="1"/>
  <c r="AY66" i="1"/>
  <c r="AZ66" i="1" s="1"/>
  <c r="AP66" i="1"/>
  <c r="G66" i="2" s="1"/>
  <c r="BA65" i="1"/>
  <c r="AY65" i="1"/>
  <c r="AP65" i="1"/>
  <c r="G65" i="2" s="1"/>
  <c r="N65" i="1"/>
  <c r="M65" i="1"/>
  <c r="I65" i="2" s="1"/>
  <c r="BA64" i="1"/>
  <c r="AZ64" i="1"/>
  <c r="AY64" i="1"/>
  <c r="AP64" i="1"/>
  <c r="G64" i="2" s="1"/>
  <c r="O64" i="2" s="1"/>
  <c r="V63" i="1"/>
  <c r="H63" i="2" s="1"/>
  <c r="AP62" i="1"/>
  <c r="G62" i="2" s="1"/>
  <c r="M62" i="1"/>
  <c r="I62" i="2" s="1"/>
  <c r="K62" i="2" s="1"/>
  <c r="O62" i="2" s="1"/>
  <c r="AZ61" i="1"/>
  <c r="AY61" i="1"/>
  <c r="AP61" i="1"/>
  <c r="BA61" i="1" s="1"/>
  <c r="BA60" i="1"/>
  <c r="AZ60" i="1"/>
  <c r="AY60" i="1"/>
  <c r="AP60" i="1"/>
  <c r="BA59" i="1"/>
  <c r="AZ59" i="1"/>
  <c r="AY59" i="1"/>
  <c r="AP59" i="1"/>
  <c r="G59" i="2" s="1"/>
  <c r="AY58" i="1"/>
  <c r="AZ58" i="1" s="1"/>
  <c r="AP58" i="1"/>
  <c r="AY57" i="1"/>
  <c r="AZ57" i="1" s="1"/>
  <c r="AQ57" i="1"/>
  <c r="I57" i="2" s="1"/>
  <c r="K57" i="2" s="1"/>
  <c r="O57" i="2" s="1"/>
  <c r="AP57" i="1"/>
  <c r="BA56" i="1"/>
  <c r="AZ56" i="1"/>
  <c r="AY56" i="1"/>
  <c r="AP56" i="1"/>
  <c r="G56" i="2" s="1"/>
  <c r="BA55" i="1"/>
  <c r="AZ55" i="1"/>
  <c r="AY55" i="1"/>
  <c r="AP55" i="1"/>
  <c r="G55" i="2" s="1"/>
  <c r="AY54" i="1"/>
  <c r="AZ54" i="1" s="1"/>
  <c r="AP54" i="1"/>
  <c r="G54" i="2" s="1"/>
  <c r="O54" i="2" s="1"/>
  <c r="AQ53" i="1"/>
  <c r="AY53" i="1" s="1"/>
  <c r="AP53" i="1"/>
  <c r="G53" i="2" s="1"/>
  <c r="AY52" i="1"/>
  <c r="AZ52" i="1" s="1"/>
  <c r="AP52" i="1"/>
  <c r="AY51" i="1"/>
  <c r="BA51" i="1" s="1"/>
  <c r="AP51" i="1"/>
  <c r="BA50" i="1"/>
  <c r="AZ50" i="1"/>
  <c r="AY50" i="1"/>
  <c r="AP50" i="1"/>
  <c r="G50" i="2" s="1"/>
  <c r="BA49" i="1"/>
  <c r="AY49" i="1"/>
  <c r="AZ49" i="1" s="1"/>
  <c r="AP49" i="1"/>
  <c r="G49" i="2" s="1"/>
  <c r="AY48" i="1"/>
  <c r="AZ48" i="1" s="1"/>
  <c r="AP48" i="1"/>
  <c r="G48" i="2" s="1"/>
  <c r="AY47" i="1"/>
  <c r="BA47" i="1" s="1"/>
  <c r="AP47" i="1"/>
  <c r="G47" i="2" s="1"/>
  <c r="AY46" i="1"/>
  <c r="AP46" i="1"/>
  <c r="G46" i="2" s="1"/>
  <c r="O46" i="2" s="1"/>
  <c r="AY45" i="1"/>
  <c r="AZ45" i="1" s="1"/>
  <c r="AP45" i="1"/>
  <c r="BA45" i="1" s="1"/>
  <c r="AY44" i="1"/>
  <c r="AZ44" i="1" s="1"/>
  <c r="AP44" i="1"/>
  <c r="G44" i="2" s="1"/>
  <c r="AY43" i="1"/>
  <c r="BA43" i="1" s="1"/>
  <c r="AP43" i="1"/>
  <c r="BA42" i="1"/>
  <c r="AQ42" i="1"/>
  <c r="AY42" i="1" s="1"/>
  <c r="AZ42" i="1" s="1"/>
  <c r="AP42" i="1"/>
  <c r="G42" i="2" s="1"/>
  <c r="AY41" i="1"/>
  <c r="AZ41" i="1" s="1"/>
  <c r="AP41" i="1"/>
  <c r="G41" i="2" s="1"/>
  <c r="N41" i="1"/>
  <c r="L41" i="2" s="1"/>
  <c r="N41" i="2" s="1"/>
  <c r="P41" i="2" s="1"/>
  <c r="M41" i="1"/>
  <c r="I41" i="2" s="1"/>
  <c r="K41" i="2" s="1"/>
  <c r="O41" i="2" s="1"/>
  <c r="AY40" i="1"/>
  <c r="BA40" i="1" s="1"/>
  <c r="AP40" i="1"/>
  <c r="G40" i="2" s="1"/>
  <c r="AY39" i="1"/>
  <c r="AZ39" i="1" s="1"/>
  <c r="AP39" i="1"/>
  <c r="G39" i="2" s="1"/>
  <c r="AY38" i="1"/>
  <c r="AP38" i="1"/>
  <c r="G38" i="2" s="1"/>
  <c r="AY37" i="1"/>
  <c r="AP37" i="1"/>
  <c r="AY36" i="1"/>
  <c r="AP36" i="1"/>
  <c r="G36" i="2" s="1"/>
  <c r="AY35" i="1"/>
  <c r="BA35" i="1" s="1"/>
  <c r="AP35" i="1"/>
  <c r="G35" i="2" s="1"/>
  <c r="AZ34" i="1"/>
  <c r="AY34" i="1"/>
  <c r="AP34" i="1"/>
  <c r="BA34" i="1" s="1"/>
  <c r="W34" i="1"/>
  <c r="V34" i="1"/>
  <c r="I34" i="2" s="1"/>
  <c r="K34" i="2" s="1"/>
  <c r="BA33" i="1"/>
  <c r="AZ33" i="1"/>
  <c r="AY33" i="1"/>
  <c r="AP33" i="1"/>
  <c r="G33" i="2" s="1"/>
  <c r="AY32" i="1"/>
  <c r="AZ32" i="1" s="1"/>
  <c r="AP32" i="1"/>
  <c r="G32" i="2" s="1"/>
  <c r="AY31" i="1"/>
  <c r="AZ31" i="1" s="1"/>
  <c r="AP31" i="1"/>
  <c r="G31" i="2" s="1"/>
  <c r="AY30" i="1"/>
  <c r="BA30" i="1" s="1"/>
  <c r="AP30" i="1"/>
  <c r="AY29" i="1"/>
  <c r="AZ29" i="1" s="1"/>
  <c r="AP29" i="1"/>
  <c r="BA28" i="1"/>
  <c r="AZ28" i="1"/>
  <c r="AY28" i="1"/>
  <c r="AP28" i="1"/>
  <c r="G28" i="2" s="1"/>
  <c r="AP27" i="1"/>
  <c r="G27" i="2" s="1"/>
  <c r="R27" i="1"/>
  <c r="AQ26" i="1"/>
  <c r="AY26" i="1" s="1"/>
  <c r="AP26" i="1"/>
  <c r="AY25" i="1"/>
  <c r="AZ25" i="1" s="1"/>
  <c r="AP25" i="1"/>
  <c r="G25" i="2" s="1"/>
  <c r="O25" i="2" s="1"/>
  <c r="AY24" i="1"/>
  <c r="AP24" i="1"/>
  <c r="G24" i="2" s="1"/>
  <c r="BA23" i="1"/>
  <c r="AY23" i="1"/>
  <c r="AZ23" i="1" s="1"/>
  <c r="AP23" i="1"/>
  <c r="G23" i="2" s="1"/>
  <c r="BA22" i="1"/>
  <c r="AY22" i="1"/>
  <c r="AP22" i="1"/>
  <c r="AZ22" i="1" s="1"/>
  <c r="AY21" i="1"/>
  <c r="AZ21" i="1" s="1"/>
  <c r="AP21" i="1"/>
  <c r="G21" i="2" s="1"/>
  <c r="AY20" i="1"/>
  <c r="AZ20" i="1" s="1"/>
  <c r="AQ20" i="1"/>
  <c r="AP20" i="1"/>
  <c r="AY19" i="1"/>
  <c r="AZ19" i="1" s="1"/>
  <c r="AP19" i="1"/>
  <c r="G19" i="2" s="1"/>
  <c r="BA18" i="1"/>
  <c r="AZ18" i="1"/>
  <c r="AY18" i="1"/>
  <c r="AP18" i="1"/>
  <c r="G18" i="2" s="1"/>
  <c r="AY17" i="1"/>
  <c r="AZ17" i="1" s="1"/>
  <c r="AP17" i="1"/>
  <c r="G17" i="2" s="1"/>
  <c r="AY16" i="1"/>
  <c r="BA16" i="1" s="1"/>
  <c r="AP16" i="1"/>
  <c r="G16" i="2" s="1"/>
  <c r="O16" i="2" s="1"/>
  <c r="BA15" i="1"/>
  <c r="AZ15" i="1"/>
  <c r="AY15" i="1"/>
  <c r="AP15" i="1"/>
  <c r="G15" i="2" s="1"/>
  <c r="AY14" i="1"/>
  <c r="AP14" i="1"/>
  <c r="AY13" i="1"/>
  <c r="BA13" i="1" s="1"/>
  <c r="AP13" i="1"/>
  <c r="AY12" i="1"/>
  <c r="AP12" i="1"/>
  <c r="G12" i="2" s="1"/>
  <c r="AY11" i="1"/>
  <c r="AP11" i="1"/>
  <c r="G11" i="2" s="1"/>
  <c r="AY10" i="1"/>
  <c r="AZ10" i="1" s="1"/>
  <c r="AP10" i="1"/>
  <c r="G10" i="2" s="1"/>
  <c r="BA9" i="1"/>
  <c r="AZ9" i="1"/>
  <c r="AY9" i="1"/>
  <c r="AP9" i="1"/>
  <c r="G9" i="2" s="1"/>
  <c r="BA8" i="1"/>
  <c r="AZ8" i="1"/>
  <c r="AY8" i="1"/>
  <c r="AP8" i="1"/>
  <c r="G8" i="2" s="1"/>
  <c r="AY7" i="1"/>
  <c r="AZ7" i="1" s="1"/>
  <c r="AP7" i="1"/>
  <c r="G7" i="2" s="1"/>
  <c r="M7" i="1"/>
  <c r="I7" i="2" s="1"/>
  <c r="K7" i="2" s="1"/>
  <c r="AY6" i="1"/>
  <c r="AZ6" i="1" s="1"/>
  <c r="AP6" i="1"/>
  <c r="BA6" i="1" s="1"/>
  <c r="AZ5" i="1"/>
  <c r="AY5" i="1"/>
  <c r="AP5" i="1"/>
  <c r="G5" i="2" s="1"/>
  <c r="AY4" i="1"/>
  <c r="AP4" i="1"/>
  <c r="BA4" i="1" s="1"/>
  <c r="AY3" i="1"/>
  <c r="BA3" i="1" s="1"/>
  <c r="AP3" i="1"/>
  <c r="G3" i="2" s="1"/>
  <c r="AY2" i="1"/>
  <c r="AZ2" i="1" s="1"/>
  <c r="AP2" i="1"/>
  <c r="BA2" i="1" s="1"/>
  <c r="BA26" i="1" l="1"/>
  <c r="AZ26" i="1"/>
  <c r="O24" i="2"/>
  <c r="BA53" i="1"/>
  <c r="AZ53" i="1"/>
  <c r="BA129" i="1"/>
  <c r="O32" i="2"/>
  <c r="O146" i="2"/>
  <c r="O18" i="2"/>
  <c r="O34" i="2"/>
  <c r="O49" i="2"/>
  <c r="O220" i="2"/>
  <c r="O44" i="2"/>
  <c r="G170" i="2"/>
  <c r="O170" i="2" s="1"/>
  <c r="BA170" i="1"/>
  <c r="BA360" i="1"/>
  <c r="AZ360" i="1"/>
  <c r="G102" i="2"/>
  <c r="O102" i="2" s="1"/>
  <c r="O111" i="2"/>
  <c r="O132" i="2"/>
  <c r="AZ182" i="1"/>
  <c r="G182" i="2"/>
  <c r="O182" i="2" s="1"/>
  <c r="AZ40" i="1"/>
  <c r="AZ89" i="1"/>
  <c r="AZ131" i="1"/>
  <c r="AY241" i="1"/>
  <c r="I241" i="2"/>
  <c r="K241" i="2" s="1"/>
  <c r="O241" i="2" s="1"/>
  <c r="AZ249" i="1"/>
  <c r="BA275" i="1"/>
  <c r="G275" i="2"/>
  <c r="O275" i="2" s="1"/>
  <c r="AZ92" i="1"/>
  <c r="AZ36" i="1"/>
  <c r="G343" i="2"/>
  <c r="BA343" i="1"/>
  <c r="BA351" i="1"/>
  <c r="BA398" i="1"/>
  <c r="G398" i="2"/>
  <c r="O398" i="2" s="1"/>
  <c r="I53" i="2"/>
  <c r="K53" i="2" s="1"/>
  <c r="O53" i="2" s="1"/>
  <c r="O74" i="2"/>
  <c r="H97" i="2"/>
  <c r="P97" i="2" s="1"/>
  <c r="G109" i="2"/>
  <c r="O109" i="2" s="1"/>
  <c r="O151" i="2"/>
  <c r="O234" i="2"/>
  <c r="BA48" i="1"/>
  <c r="BA57" i="1"/>
  <c r="AY98" i="1"/>
  <c r="AY149" i="1"/>
  <c r="I149" i="2"/>
  <c r="K149" i="2" s="1"/>
  <c r="O149" i="2" s="1"/>
  <c r="AZ165" i="1"/>
  <c r="G174" i="2"/>
  <c r="O174" i="2" s="1"/>
  <c r="BA174" i="1"/>
  <c r="BA182" i="1"/>
  <c r="BA198" i="1"/>
  <c r="AZ223" i="1"/>
  <c r="BA232" i="1"/>
  <c r="O335" i="2"/>
  <c r="AZ398" i="1"/>
  <c r="O21" i="2"/>
  <c r="O39" i="2"/>
  <c r="O60" i="2"/>
  <c r="N88" i="2"/>
  <c r="P88" i="2" s="1"/>
  <c r="G95" i="2"/>
  <c r="O116" i="2"/>
  <c r="O123" i="2"/>
  <c r="N144" i="2"/>
  <c r="P144" i="2" s="1"/>
  <c r="G156" i="2"/>
  <c r="O192" i="2"/>
  <c r="O214" i="2"/>
  <c r="O219" i="2"/>
  <c r="O239" i="2"/>
  <c r="O320" i="2"/>
  <c r="BA194" i="1"/>
  <c r="AY72" i="1"/>
  <c r="BA106" i="1"/>
  <c r="AZ115" i="1"/>
  <c r="AZ140" i="1"/>
  <c r="AY157" i="1"/>
  <c r="BA165" i="1"/>
  <c r="BA207" i="1"/>
  <c r="AZ215" i="1"/>
  <c r="BA223" i="1"/>
  <c r="AZ275" i="1"/>
  <c r="BA284" i="1"/>
  <c r="BA292" i="1"/>
  <c r="AZ300" i="1"/>
  <c r="BA317" i="1"/>
  <c r="AZ343" i="1"/>
  <c r="AZ361" i="1"/>
  <c r="AZ379" i="1"/>
  <c r="BA389" i="1"/>
  <c r="G389" i="2"/>
  <c r="K10" i="2"/>
  <c r="O10" i="2" s="1"/>
  <c r="O187" i="2"/>
  <c r="O209" i="2"/>
  <c r="O260" i="2"/>
  <c r="G118" i="2"/>
  <c r="BA118" i="1"/>
  <c r="AY27" i="1"/>
  <c r="AZ27" i="1" s="1"/>
  <c r="I27" i="2"/>
  <c r="K27" i="2" s="1"/>
  <c r="O27" i="2" s="1"/>
  <c r="AZ80" i="1"/>
  <c r="BA7" i="1"/>
  <c r="AZ24" i="1"/>
  <c r="BA32" i="1"/>
  <c r="AZ16" i="1"/>
  <c r="BA115" i="1"/>
  <c r="BA140" i="1"/>
  <c r="G166" i="2"/>
  <c r="O166" i="2" s="1"/>
  <c r="BA166" i="1"/>
  <c r="BA215" i="1"/>
  <c r="BA242" i="1"/>
  <c r="G242" i="2"/>
  <c r="BA300" i="1"/>
  <c r="BA379" i="1"/>
  <c r="O3" i="2"/>
  <c r="O137" i="2"/>
  <c r="O156" i="2"/>
  <c r="O247" i="2"/>
  <c r="BA24" i="1"/>
  <c r="BA361" i="1"/>
  <c r="AZ65" i="1"/>
  <c r="BA81" i="1"/>
  <c r="I99" i="2"/>
  <c r="K99" i="2" s="1"/>
  <c r="O99" i="2" s="1"/>
  <c r="BA124" i="1"/>
  <c r="AZ132" i="1"/>
  <c r="BA141" i="1"/>
  <c r="G141" i="2"/>
  <c r="AZ183" i="1"/>
  <c r="AZ191" i="1"/>
  <c r="G233" i="2"/>
  <c r="O233" i="2" s="1"/>
  <c r="BA233" i="1"/>
  <c r="BA250" i="1"/>
  <c r="BA267" i="1"/>
  <c r="AZ335" i="1"/>
  <c r="G362" i="2"/>
  <c r="O362" i="2" s="1"/>
  <c r="BA362" i="1"/>
  <c r="BA371" i="1"/>
  <c r="L380" i="2"/>
  <c r="N380" i="2" s="1"/>
  <c r="P380" i="2" s="1"/>
  <c r="I380" i="2"/>
  <c r="K380" i="2" s="1"/>
  <c r="O380" i="2" s="1"/>
  <c r="P109" i="2"/>
  <c r="O130" i="2"/>
  <c r="G232" i="2"/>
  <c r="O276" i="2"/>
  <c r="BA100" i="1"/>
  <c r="AZ35" i="1"/>
  <c r="AZ135" i="1"/>
  <c r="AZ166" i="1"/>
  <c r="AZ175" i="1"/>
  <c r="I251" i="2"/>
  <c r="K251" i="2" s="1"/>
  <c r="O251" i="2" s="1"/>
  <c r="AY251" i="1"/>
  <c r="AZ276" i="1"/>
  <c r="AZ285" i="1"/>
  <c r="AZ293" i="1"/>
  <c r="BA335" i="1"/>
  <c r="L372" i="2"/>
  <c r="N372" i="2" s="1"/>
  <c r="P372" i="2" s="1"/>
  <c r="I372" i="2"/>
  <c r="K372" i="2" s="1"/>
  <c r="O372" i="2" s="1"/>
  <c r="G380" i="2"/>
  <c r="BA380" i="1"/>
  <c r="O19" i="2"/>
  <c r="O65" i="2"/>
  <c r="P116" i="2"/>
  <c r="G185" i="2"/>
  <c r="O310" i="2"/>
  <c r="O341" i="2"/>
  <c r="O367" i="2"/>
  <c r="G20" i="2"/>
  <c r="O20" i="2" s="1"/>
  <c r="BA20" i="1"/>
  <c r="BA68" i="1"/>
  <c r="G37" i="2"/>
  <c r="O37" i="2" s="1"/>
  <c r="AZ37" i="1"/>
  <c r="BA58" i="1"/>
  <c r="AZ216" i="1"/>
  <c r="O86" i="2"/>
  <c r="BA41" i="1"/>
  <c r="BA73" i="1"/>
  <c r="BA82" i="1"/>
  <c r="AY99" i="1"/>
  <c r="BA116" i="1"/>
  <c r="AY125" i="1"/>
  <c r="AZ142" i="1"/>
  <c r="BA150" i="1"/>
  <c r="AZ234" i="1"/>
  <c r="G243" i="2"/>
  <c r="AZ260" i="1"/>
  <c r="AZ268" i="1"/>
  <c r="O277" i="2"/>
  <c r="BA301" i="1"/>
  <c r="BA310" i="1"/>
  <c r="G310" i="2"/>
  <c r="BA344" i="1"/>
  <c r="BA363" i="1"/>
  <c r="AY372" i="1"/>
  <c r="AZ372" i="1" s="1"/>
  <c r="AZ391" i="1"/>
  <c r="G400" i="2"/>
  <c r="AZ400" i="1"/>
  <c r="I26" i="2"/>
  <c r="K26" i="2" s="1"/>
  <c r="O26" i="2" s="1"/>
  <c r="O227" i="2"/>
  <c r="O237" i="2"/>
  <c r="BA133" i="1"/>
  <c r="G133" i="2"/>
  <c r="BA208" i="1"/>
  <c r="L243" i="2"/>
  <c r="N243" i="2" s="1"/>
  <c r="P243" i="2" s="1"/>
  <c r="I243" i="2"/>
  <c r="K243" i="2" s="1"/>
  <c r="BA276" i="1"/>
  <c r="BA285" i="1"/>
  <c r="BA293" i="1"/>
  <c r="O93" i="2"/>
  <c r="O175" i="2"/>
  <c r="BA25" i="1"/>
  <c r="BA17" i="1"/>
  <c r="G74" i="2"/>
  <c r="AZ74" i="1"/>
  <c r="BA142" i="1"/>
  <c r="BA151" i="1"/>
  <c r="AY184" i="1"/>
  <c r="AZ192" i="1"/>
  <c r="AZ200" i="1"/>
  <c r="O217" i="2"/>
  <c r="BA234" i="1"/>
  <c r="AY243" i="1"/>
  <c r="AZ243" i="1" s="1"/>
  <c r="BA260" i="1"/>
  <c r="BA268" i="1"/>
  <c r="AZ310" i="1"/>
  <c r="BA391" i="1"/>
  <c r="O8" i="2"/>
  <c r="O17" i="2"/>
  <c r="G70" i="2"/>
  <c r="G119" i="2"/>
  <c r="O119" i="2" s="1"/>
  <c r="P142" i="2"/>
  <c r="O185" i="2"/>
  <c r="O297" i="2"/>
  <c r="AZ43" i="1"/>
  <c r="BA11" i="1"/>
  <c r="BA76" i="1"/>
  <c r="BA311" i="1"/>
  <c r="G311" i="2"/>
  <c r="BA354" i="1"/>
  <c r="G354" i="2"/>
  <c r="O373" i="2"/>
  <c r="O147" i="2"/>
  <c r="G200" i="2"/>
  <c r="O318" i="2"/>
  <c r="L261" i="2"/>
  <c r="N261" i="2" s="1"/>
  <c r="P261" i="2" s="1"/>
  <c r="I261" i="2"/>
  <c r="K261" i="2" s="1"/>
  <c r="O261" i="2" s="1"/>
  <c r="AY83" i="1"/>
  <c r="AZ217" i="1"/>
  <c r="I295" i="2"/>
  <c r="K295" i="2" s="1"/>
  <c r="O295" i="2" s="1"/>
  <c r="L295" i="2"/>
  <c r="N295" i="2" s="1"/>
  <c r="P295" i="2" s="1"/>
  <c r="AZ311" i="1"/>
  <c r="BA328" i="1"/>
  <c r="O56" i="2"/>
  <c r="I63" i="2"/>
  <c r="K63" i="2" s="1"/>
  <c r="O140" i="2"/>
  <c r="G159" i="2"/>
  <c r="O161" i="2"/>
  <c r="O245" i="2"/>
  <c r="BA287" i="1"/>
  <c r="G287" i="2"/>
  <c r="O287" i="2" s="1"/>
  <c r="G329" i="2"/>
  <c r="O329" i="2" s="1"/>
  <c r="BA329" i="1"/>
  <c r="BA373" i="1"/>
  <c r="G373" i="2"/>
  <c r="O308" i="2"/>
  <c r="O339" i="2"/>
  <c r="AZ226" i="1"/>
  <c r="O312" i="2"/>
  <c r="BA320" i="1"/>
  <c r="AZ329" i="1"/>
  <c r="BA355" i="1"/>
  <c r="G355" i="2"/>
  <c r="AZ364" i="1"/>
  <c r="AY373" i="1"/>
  <c r="AZ373" i="1" s="1"/>
  <c r="BA382" i="1"/>
  <c r="I393" i="2"/>
  <c r="K393" i="2" s="1"/>
  <c r="O393" i="2" s="1"/>
  <c r="AY393" i="1"/>
  <c r="G401" i="2"/>
  <c r="G6" i="2"/>
  <c r="G22" i="2"/>
  <c r="O22" i="2" s="1"/>
  <c r="G75" i="2"/>
  <c r="O145" i="2"/>
  <c r="O253" i="2"/>
  <c r="I321" i="2"/>
  <c r="K321" i="2" s="1"/>
  <c r="O321" i="2" s="1"/>
  <c r="AY321" i="1"/>
  <c r="AZ346" i="1"/>
  <c r="G61" i="2"/>
  <c r="O61" i="2" s="1"/>
  <c r="P63" i="2"/>
  <c r="N77" i="2"/>
  <c r="P77" i="2" s="1"/>
  <c r="O152" i="2"/>
  <c r="O200" i="2"/>
  <c r="O205" i="2"/>
  <c r="O215" i="2"/>
  <c r="BA10" i="1"/>
  <c r="G303" i="2"/>
  <c r="O303" i="2" s="1"/>
  <c r="BA303" i="1"/>
  <c r="BA346" i="1"/>
  <c r="O6" i="2"/>
  <c r="K47" i="2"/>
  <c r="O47" i="2" s="1"/>
  <c r="O68" i="2"/>
  <c r="K75" i="2"/>
  <c r="O75" i="2" s="1"/>
  <c r="O178" i="2"/>
  <c r="BA52" i="1"/>
  <c r="G52" i="2"/>
  <c r="O52" i="2" s="1"/>
  <c r="G110" i="2"/>
  <c r="O110" i="2" s="1"/>
  <c r="BA110" i="1"/>
  <c r="AZ119" i="1"/>
  <c r="AZ127" i="1"/>
  <c r="AZ227" i="1"/>
  <c r="AZ253" i="1"/>
  <c r="AZ303" i="1"/>
  <c r="G82" i="2"/>
  <c r="O171" i="2"/>
  <c r="O183" i="2"/>
  <c r="O210" i="2"/>
  <c r="BA19" i="1"/>
  <c r="BA44" i="1"/>
  <c r="BA84" i="1"/>
  <c r="AZ110" i="1"/>
  <c r="BA127" i="1"/>
  <c r="BA202" i="1"/>
  <c r="BA227" i="1"/>
  <c r="BA245" i="1"/>
  <c r="BA253" i="1"/>
  <c r="BA270" i="1"/>
  <c r="AZ288" i="1"/>
  <c r="AZ296" i="1"/>
  <c r="AZ338" i="1"/>
  <c r="AZ365" i="1"/>
  <c r="G4" i="2"/>
  <c r="O4" i="2" s="1"/>
  <c r="O33" i="2"/>
  <c r="O248" i="2"/>
  <c r="O355" i="2"/>
  <c r="AY262" i="1"/>
  <c r="L394" i="2"/>
  <c r="N394" i="2" s="1"/>
  <c r="P394" i="2" s="1"/>
  <c r="I394" i="2"/>
  <c r="K394" i="2" s="1"/>
  <c r="O394" i="2" s="1"/>
  <c r="G45" i="2"/>
  <c r="K198" i="2"/>
  <c r="O198" i="2" s="1"/>
  <c r="BA347" i="1"/>
  <c r="BA356" i="1"/>
  <c r="AY394" i="1"/>
  <c r="O38" i="2"/>
  <c r="O82" i="2"/>
  <c r="O122" i="2"/>
  <c r="G136" i="2"/>
  <c r="O136" i="2" s="1"/>
  <c r="G181" i="2"/>
  <c r="O181" i="2" s="1"/>
  <c r="O218" i="2"/>
  <c r="BA186" i="1"/>
  <c r="AZ289" i="1"/>
  <c r="I305" i="2"/>
  <c r="K305" i="2" s="1"/>
  <c r="O305" i="2" s="1"/>
  <c r="AY305" i="1"/>
  <c r="AZ331" i="1"/>
  <c r="AY348" i="1"/>
  <c r="I348" i="2"/>
  <c r="K348" i="2" s="1"/>
  <c r="O348" i="2" s="1"/>
  <c r="O395" i="2"/>
  <c r="K94" i="2"/>
  <c r="O94" i="2" s="1"/>
  <c r="N176" i="2"/>
  <c r="P176" i="2" s="1"/>
  <c r="O298" i="2"/>
  <c r="AZ76" i="1"/>
  <c r="BA357" i="1"/>
  <c r="G357" i="2"/>
  <c r="O357" i="2" s="1"/>
  <c r="G2" i="2"/>
  <c r="O2" i="2" s="1"/>
  <c r="O45" i="2"/>
  <c r="G129" i="2"/>
  <c r="O129" i="2" s="1"/>
  <c r="O143" i="2"/>
  <c r="O186" i="2"/>
  <c r="P198" i="2"/>
  <c r="P4" i="2"/>
  <c r="O50" i="2"/>
  <c r="O115" i="2"/>
  <c r="O314" i="2"/>
  <c r="G29" i="2"/>
  <c r="O29" i="2" s="1"/>
  <c r="BA29" i="1"/>
  <c r="BA85" i="1"/>
  <c r="BA37" i="1"/>
  <c r="BA272" i="1"/>
  <c r="BA340" i="1"/>
  <c r="G340" i="2"/>
  <c r="O340" i="2" s="1"/>
  <c r="P45" i="2"/>
  <c r="O162" i="2"/>
  <c r="O280" i="2"/>
  <c r="O285" i="2"/>
  <c r="G220" i="2"/>
  <c r="BA220" i="1"/>
  <c r="BA237" i="1"/>
  <c r="AZ12" i="1"/>
  <c r="BA255" i="1"/>
  <c r="G255" i="2"/>
  <c r="AY229" i="1"/>
  <c r="AZ229" i="1" s="1"/>
  <c r="AZ385" i="1"/>
  <c r="AZ95" i="1"/>
  <c r="BA112" i="1"/>
  <c r="AY129" i="1"/>
  <c r="AZ129" i="1" s="1"/>
  <c r="AZ188" i="1"/>
  <c r="AZ204" i="1"/>
  <c r="I213" i="2"/>
  <c r="K213" i="2" s="1"/>
  <c r="O213" i="2" s="1"/>
  <c r="AY213" i="1"/>
  <c r="O273" i="2"/>
  <c r="BA290" i="1"/>
  <c r="G290" i="2"/>
  <c r="O290" i="2" s="1"/>
  <c r="BA314" i="1"/>
  <c r="BA376" i="1"/>
  <c r="BA385" i="1"/>
  <c r="N18" i="2"/>
  <c r="P18" i="2" s="1"/>
  <c r="K36" i="2"/>
  <c r="O36" i="2" s="1"/>
  <c r="O43" i="2"/>
  <c r="O85" i="2"/>
  <c r="O148" i="2"/>
  <c r="O155" i="2"/>
  <c r="N208" i="2"/>
  <c r="P208" i="2" s="1"/>
  <c r="I246" i="2"/>
  <c r="K246" i="2" s="1"/>
  <c r="O246" i="2" s="1"/>
  <c r="O254" i="2"/>
  <c r="O361" i="2"/>
  <c r="AZ11" i="1"/>
  <c r="BA101" i="1"/>
  <c r="G228" i="2"/>
  <c r="O228" i="2" s="1"/>
  <c r="AZ228" i="1"/>
  <c r="AZ3" i="1"/>
  <c r="BA36" i="1"/>
  <c r="AY220" i="1"/>
  <c r="AZ220" i="1" s="1"/>
  <c r="BA12" i="1"/>
  <c r="BA77" i="1"/>
  <c r="BA154" i="1"/>
  <c r="BA162" i="1"/>
  <c r="BA179" i="1"/>
  <c r="BA212" i="1"/>
  <c r="BA21" i="1"/>
  <c r="AZ38" i="1"/>
  <c r="AZ46" i="1"/>
  <c r="BA54" i="1"/>
  <c r="BA86" i="1"/>
  <c r="BA171" i="1"/>
  <c r="BA188" i="1"/>
  <c r="G315" i="2"/>
  <c r="BA315" i="1"/>
  <c r="BA332" i="1"/>
  <c r="AZ340" i="1"/>
  <c r="BA395" i="1"/>
  <c r="G69" i="2"/>
  <c r="O69" i="2" s="1"/>
  <c r="O141" i="2"/>
  <c r="G146" i="2"/>
  <c r="O374" i="2"/>
  <c r="AZ102" i="1"/>
  <c r="BA120" i="1"/>
  <c r="AZ4" i="1"/>
  <c r="AY62" i="1"/>
  <c r="AZ62" i="1" s="1"/>
  <c r="AZ70" i="1"/>
  <c r="AY221" i="1"/>
  <c r="AZ221" i="1" s="1"/>
  <c r="BA238" i="1"/>
  <c r="BA247" i="1"/>
  <c r="AZ13" i="1"/>
  <c r="BA38" i="1"/>
  <c r="AZ96" i="1"/>
  <c r="AY306" i="1"/>
  <c r="P9" i="2"/>
  <c r="O120" i="2"/>
  <c r="BA93" i="1"/>
  <c r="G187" i="2"/>
  <c r="BA187" i="1"/>
  <c r="BA246" i="1"/>
  <c r="BA137" i="1"/>
  <c r="G256" i="2"/>
  <c r="BA256" i="1"/>
  <c r="AZ30" i="1"/>
  <c r="BA46" i="1"/>
  <c r="AP63" i="1"/>
  <c r="BA87" i="1"/>
  <c r="G87" i="2"/>
  <c r="O87" i="2" s="1"/>
  <c r="I172" i="2"/>
  <c r="K172" i="2" s="1"/>
  <c r="O172" i="2" s="1"/>
  <c r="AY172" i="1"/>
  <c r="G189" i="2"/>
  <c r="BA189" i="1"/>
  <c r="G205" i="2"/>
  <c r="BA205" i="1"/>
  <c r="AZ256" i="1"/>
  <c r="AY264" i="1"/>
  <c r="BA281" i="1"/>
  <c r="BA333" i="1"/>
  <c r="G333" i="2"/>
  <c r="O333" i="2" s="1"/>
  <c r="BA341" i="1"/>
  <c r="G341" i="2"/>
  <c r="AZ349" i="1"/>
  <c r="O127" i="2"/>
  <c r="P136" i="2"/>
  <c r="BA5" i="1"/>
  <c r="AY63" i="1"/>
  <c r="BA78" i="1"/>
  <c r="AZ87" i="1"/>
  <c r="BA96" i="1"/>
  <c r="BA104" i="1"/>
  <c r="BA138" i="1"/>
  <c r="BA155" i="1"/>
  <c r="BA163" i="1"/>
  <c r="AZ180" i="1"/>
  <c r="O189" i="2"/>
  <c r="AZ205" i="1"/>
  <c r="BA221" i="1"/>
  <c r="BA257" i="1"/>
  <c r="G257" i="2"/>
  <c r="O257" i="2" s="1"/>
  <c r="G282" i="2"/>
  <c r="O282" i="2" s="1"/>
  <c r="BA282" i="1"/>
  <c r="AZ359" i="1"/>
  <c r="P43" i="2"/>
  <c r="O106" i="2"/>
  <c r="K134" i="2"/>
  <c r="O134" i="2" s="1"/>
  <c r="P174" i="2"/>
  <c r="AZ51" i="1"/>
  <c r="G128" i="2"/>
  <c r="O128" i="2" s="1"/>
  <c r="BA128" i="1"/>
  <c r="BA169" i="1"/>
  <c r="BA111" i="1"/>
  <c r="BA145" i="1"/>
  <c r="BA254" i="1"/>
  <c r="BA94" i="1"/>
  <c r="O229" i="2"/>
  <c r="BA322" i="1"/>
  <c r="AY164" i="1"/>
  <c r="AZ164" i="1" s="1"/>
  <c r="I164" i="2"/>
  <c r="K164" i="2" s="1"/>
  <c r="O164" i="2" s="1"/>
  <c r="AZ197" i="1"/>
  <c r="G197" i="2"/>
  <c r="L378" i="2"/>
  <c r="N378" i="2" s="1"/>
  <c r="P378" i="2" s="1"/>
  <c r="I378" i="2"/>
  <c r="K378" i="2" s="1"/>
  <c r="O378" i="2" s="1"/>
  <c r="BA387" i="1"/>
  <c r="G387" i="2"/>
  <c r="O387" i="2" s="1"/>
  <c r="G34" i="2"/>
  <c r="O153" i="2"/>
  <c r="O179" i="2"/>
  <c r="O194" i="2"/>
  <c r="AZ103" i="1"/>
  <c r="BA297" i="1"/>
  <c r="BA103" i="1"/>
  <c r="G14" i="2"/>
  <c r="O14" i="2" s="1"/>
  <c r="BA14" i="1"/>
  <c r="G79" i="2"/>
  <c r="O79" i="2" s="1"/>
  <c r="BA79" i="1"/>
  <c r="O97" i="2"/>
  <c r="AZ14" i="1"/>
  <c r="O55" i="2"/>
  <c r="G88" i="2"/>
  <c r="O88" i="2" s="1"/>
  <c r="O160" i="2"/>
  <c r="O317" i="2"/>
  <c r="BA97" i="1"/>
  <c r="AZ130" i="1"/>
  <c r="BA39" i="1"/>
  <c r="AY97" i="1"/>
  <c r="AZ97" i="1" s="1"/>
  <c r="AY139" i="1"/>
  <c r="BA197" i="1"/>
  <c r="AY378" i="1"/>
  <c r="AZ47" i="1"/>
  <c r="AY71" i="1"/>
  <c r="AZ71" i="1" s="1"/>
  <c r="AZ88" i="1"/>
  <c r="I334" i="2"/>
  <c r="K334" i="2" s="1"/>
  <c r="O334" i="2" s="1"/>
  <c r="AY334" i="1"/>
  <c r="G240" i="2"/>
  <c r="O240" i="2" s="1"/>
  <c r="BA240" i="1"/>
  <c r="O258" i="2"/>
  <c r="O23" i="2"/>
  <c r="O118" i="2"/>
  <c r="P134" i="2"/>
  <c r="O165" i="2"/>
  <c r="O270" i="2"/>
  <c r="O307" i="2"/>
  <c r="O7" i="2"/>
  <c r="BA31" i="1"/>
  <c r="BA164" i="1"/>
  <c r="AY173" i="1"/>
  <c r="BA206" i="1"/>
  <c r="BA222" i="1"/>
  <c r="G266" i="2"/>
  <c r="O266" i="2" s="1"/>
  <c r="AZ266" i="1"/>
  <c r="BA283" i="1"/>
  <c r="BA291" i="1"/>
  <c r="BA316" i="1"/>
  <c r="BA325" i="1"/>
  <c r="G325" i="2"/>
  <c r="AZ342" i="1"/>
  <c r="BA370" i="1"/>
  <c r="G370" i="2"/>
  <c r="P55" i="2"/>
  <c r="L125" i="2"/>
  <c r="N125" i="2" s="1"/>
  <c r="P125" i="2" s="1"/>
  <c r="G151" i="2"/>
  <c r="N172" i="2"/>
  <c r="P172" i="2" s="1"/>
  <c r="O177" i="2"/>
  <c r="O244" i="2"/>
  <c r="O252" i="2"/>
  <c r="O346" i="2"/>
  <c r="O358" i="2"/>
  <c r="K363" i="2"/>
  <c r="O363" i="2" s="1"/>
  <c r="G377" i="2"/>
  <c r="O377" i="2" s="1"/>
  <c r="O391" i="2"/>
  <c r="O328" i="2"/>
  <c r="O351" i="2"/>
  <c r="K70" i="2"/>
  <c r="O70" i="2" s="1"/>
  <c r="K95" i="2"/>
  <c r="O95" i="2" s="1"/>
  <c r="K201" i="2"/>
  <c r="O201" i="2" s="1"/>
  <c r="O231" i="2"/>
  <c r="AZ304" i="1"/>
  <c r="L344" i="2"/>
  <c r="N344" i="2" s="1"/>
  <c r="P344" i="2" s="1"/>
  <c r="I344" i="2"/>
  <c r="K344" i="2" s="1"/>
  <c r="O344" i="2" s="1"/>
  <c r="O91" i="2"/>
  <c r="P308" i="2"/>
  <c r="O326" i="2"/>
  <c r="P328" i="2"/>
  <c r="P391" i="2"/>
  <c r="O376" i="2"/>
  <c r="I392" i="2"/>
  <c r="K392" i="2" s="1"/>
  <c r="O392" i="2" s="1"/>
  <c r="AY392" i="1"/>
  <c r="O135" i="2"/>
  <c r="K255" i="2"/>
  <c r="N342" i="2"/>
  <c r="P342" i="2" s="1"/>
  <c r="O66" i="2"/>
  <c r="O114" i="2"/>
  <c r="K133" i="2"/>
  <c r="P162" i="2"/>
  <c r="N184" i="2"/>
  <c r="P184" i="2" s="1"/>
  <c r="O199" i="2"/>
  <c r="N214" i="2"/>
  <c r="P214" i="2" s="1"/>
  <c r="N275" i="2"/>
  <c r="P275" i="2" s="1"/>
  <c r="P277" i="2"/>
  <c r="O315" i="2"/>
  <c r="N333" i="2"/>
  <c r="P333" i="2" s="1"/>
  <c r="O370" i="2"/>
  <c r="K389" i="2"/>
  <c r="O389" i="2" s="1"/>
  <c r="O242" i="2"/>
  <c r="P257" i="2"/>
  <c r="O284" i="2"/>
  <c r="P91" i="2"/>
  <c r="P244" i="2"/>
  <c r="BA274" i="1"/>
  <c r="AY376" i="1"/>
  <c r="AZ376" i="1" s="1"/>
  <c r="BA384" i="1"/>
  <c r="G384" i="2"/>
  <c r="O384" i="2" s="1"/>
  <c r="N112" i="2"/>
  <c r="P112" i="2" s="1"/>
  <c r="K131" i="2"/>
  <c r="O131" i="2" s="1"/>
  <c r="K197" i="2"/>
  <c r="O197" i="2" s="1"/>
  <c r="N242" i="2"/>
  <c r="P242" i="2" s="1"/>
  <c r="N304" i="2"/>
  <c r="P304" i="2" s="1"/>
  <c r="O313" i="2"/>
  <c r="K331" i="2"/>
  <c r="O331" i="2" s="1"/>
  <c r="N50" i="2"/>
  <c r="P50" i="2" s="1"/>
  <c r="N152" i="2"/>
  <c r="P152" i="2" s="1"/>
  <c r="N240" i="2"/>
  <c r="P240" i="2" s="1"/>
  <c r="P315" i="2"/>
  <c r="P340" i="2"/>
  <c r="O347" i="2"/>
  <c r="P356" i="2"/>
  <c r="N368" i="2"/>
  <c r="P368" i="2" s="1"/>
  <c r="O375" i="2"/>
  <c r="O293" i="2"/>
  <c r="O338" i="2"/>
  <c r="O385" i="2"/>
  <c r="I401" i="2"/>
  <c r="K401" i="2" s="1"/>
  <c r="O401" i="2" s="1"/>
  <c r="AY401" i="1"/>
  <c r="AZ401" i="1" s="1"/>
  <c r="N44" i="2"/>
  <c r="P44" i="2" s="1"/>
  <c r="N108" i="2"/>
  <c r="P108" i="2" s="1"/>
  <c r="O167" i="2"/>
  <c r="K223" i="2"/>
  <c r="O223" i="2" s="1"/>
  <c r="N269" i="2"/>
  <c r="P269" i="2" s="1"/>
  <c r="N338" i="2"/>
  <c r="P338" i="2" s="1"/>
  <c r="O236" i="2"/>
  <c r="K267" i="2"/>
  <c r="O267" i="2" s="1"/>
  <c r="O311" i="2"/>
  <c r="O345" i="2"/>
  <c r="O300" i="2"/>
  <c r="O322" i="2"/>
  <c r="O354" i="2"/>
  <c r="O359" i="2"/>
  <c r="BA386" i="1"/>
  <c r="N24" i="2"/>
  <c r="P24" i="2" s="1"/>
  <c r="N146" i="2"/>
  <c r="P146" i="2" s="1"/>
  <c r="K163" i="2"/>
  <c r="O163" i="2" s="1"/>
  <c r="N178" i="2"/>
  <c r="P178" i="2" s="1"/>
  <c r="O193" i="2"/>
  <c r="P260" i="2"/>
  <c r="N280" i="2"/>
  <c r="P280" i="2" s="1"/>
  <c r="K352" i="2"/>
  <c r="O352" i="2" s="1"/>
  <c r="O364" i="2"/>
  <c r="O204" i="2"/>
  <c r="K265" i="2"/>
  <c r="O265" i="2" s="1"/>
  <c r="H343" i="2"/>
  <c r="P343" i="2" s="1"/>
  <c r="O309" i="2"/>
  <c r="I343" i="2"/>
  <c r="K343" i="2" s="1"/>
  <c r="O343" i="2" s="1"/>
  <c r="G350" i="2"/>
  <c r="O350" i="2" s="1"/>
  <c r="P354" i="2"/>
  <c r="O232" i="2"/>
  <c r="O327" i="2"/>
  <c r="O400" i="2"/>
  <c r="N140" i="2"/>
  <c r="P140" i="2" s="1"/>
  <c r="K159" i="2"/>
  <c r="K230" i="2"/>
  <c r="O230" i="2" s="1"/>
  <c r="K256" i="2"/>
  <c r="O289" i="2"/>
  <c r="O316" i="2"/>
  <c r="K390" i="2"/>
  <c r="O390" i="2" s="1"/>
  <c r="P215" i="2"/>
  <c r="P309" i="2"/>
  <c r="O325" i="2"/>
  <c r="O371" i="2"/>
  <c r="O263" i="2"/>
  <c r="O383" i="2"/>
  <c r="P390" i="2"/>
  <c r="P245" i="2"/>
  <c r="N274" i="2"/>
  <c r="P274" i="2" s="1"/>
  <c r="O332" i="2"/>
  <c r="K107" i="2"/>
  <c r="O107" i="2" s="1"/>
  <c r="P228" i="2"/>
  <c r="K294" i="2"/>
  <c r="O294" i="2" s="1"/>
  <c r="K323" i="2"/>
  <c r="O323" i="2" s="1"/>
  <c r="P132" i="2"/>
  <c r="P151" i="2"/>
  <c r="P369" i="2"/>
  <c r="BA279" i="1"/>
  <c r="BA326" i="1"/>
  <c r="P53" i="2"/>
  <c r="N80" i="2"/>
  <c r="P80" i="2" s="1"/>
  <c r="O168" i="2"/>
  <c r="N211" i="2"/>
  <c r="P211" i="2" s="1"/>
  <c r="K235" i="2"/>
  <c r="O235" i="2" s="1"/>
  <c r="N312" i="2"/>
  <c r="P312" i="2" s="1"/>
  <c r="O330" i="2"/>
  <c r="P196" i="2"/>
  <c r="O268" i="2"/>
  <c r="P270" i="2"/>
  <c r="G279" i="2"/>
  <c r="O279" i="2" s="1"/>
  <c r="O281" i="2"/>
  <c r="P388" i="2"/>
  <c r="AY397" i="1"/>
  <c r="AZ397" i="1" s="1"/>
  <c r="P2" i="2"/>
  <c r="O76" i="2"/>
  <c r="O103" i="2"/>
  <c r="P283" i="2"/>
  <c r="P168" i="2"/>
  <c r="P181" i="2"/>
  <c r="P292" i="2"/>
  <c r="P365" i="2"/>
  <c r="O379" i="2"/>
  <c r="O396" i="2"/>
  <c r="BA225" i="1"/>
  <c r="I249" i="2"/>
  <c r="K249" i="2" s="1"/>
  <c r="O249" i="2" s="1"/>
  <c r="L249" i="2"/>
  <c r="N249" i="2" s="1"/>
  <c r="P249" i="2" s="1"/>
  <c r="BA263" i="1"/>
  <c r="AZ319" i="1"/>
  <c r="N335" i="2"/>
  <c r="P335" i="2" s="1"/>
  <c r="BA358" i="1"/>
  <c r="BA366" i="1"/>
  <c r="BA381" i="1"/>
  <c r="BA390" i="1"/>
  <c r="K31" i="2"/>
  <c r="O31" i="2" s="1"/>
  <c r="P78" i="2"/>
  <c r="P149" i="2"/>
  <c r="K203" i="2"/>
  <c r="O203" i="2" s="1"/>
  <c r="BA63" i="1" l="1"/>
  <c r="G63" i="2"/>
  <c r="AZ241" i="1"/>
  <c r="BA241" i="1"/>
  <c r="BA262" i="1"/>
  <c r="AZ262" i="1"/>
  <c r="BA251" i="1"/>
  <c r="AZ251" i="1"/>
  <c r="BA72" i="1"/>
  <c r="AZ72" i="1"/>
  <c r="AZ264" i="1"/>
  <c r="BA264" i="1"/>
  <c r="BA125" i="1"/>
  <c r="AZ125" i="1"/>
  <c r="BA27" i="1"/>
  <c r="BA229" i="1"/>
  <c r="BA173" i="1"/>
  <c r="AZ173" i="1"/>
  <c r="AZ305" i="1"/>
  <c r="BA305" i="1"/>
  <c r="BA99" i="1"/>
  <c r="AZ99" i="1"/>
  <c r="O256" i="2"/>
  <c r="O159" i="2"/>
  <c r="BA71" i="1"/>
  <c r="AZ172" i="1"/>
  <c r="BA172" i="1"/>
  <c r="BA397" i="1"/>
  <c r="AZ348" i="1"/>
  <c r="BA348" i="1"/>
  <c r="O243" i="2"/>
  <c r="AZ149" i="1"/>
  <c r="BA149" i="1"/>
  <c r="BA98" i="1"/>
  <c r="AZ98" i="1"/>
  <c r="BA157" i="1"/>
  <c r="AZ157" i="1"/>
  <c r="BA321" i="1"/>
  <c r="AZ321" i="1"/>
  <c r="O63" i="2"/>
  <c r="BA372" i="1"/>
  <c r="BA334" i="1"/>
  <c r="AZ334" i="1"/>
  <c r="BA213" i="1"/>
  <c r="AZ213" i="1"/>
  <c r="O133" i="2"/>
  <c r="BA394" i="1"/>
  <c r="AZ394" i="1"/>
  <c r="AZ63" i="1"/>
  <c r="BA306" i="1"/>
  <c r="AZ306" i="1"/>
  <c r="O255" i="2"/>
  <c r="AZ378" i="1"/>
  <c r="BA378" i="1"/>
  <c r="BA401" i="1"/>
  <c r="BA83" i="1"/>
  <c r="AZ83" i="1"/>
  <c r="AZ392" i="1"/>
  <c r="BA392" i="1"/>
  <c r="AZ139" i="1"/>
  <c r="BA139" i="1"/>
  <c r="BA62" i="1"/>
  <c r="BA393" i="1"/>
  <c r="AZ393" i="1"/>
  <c r="BA184" i="1"/>
  <c r="AZ184" i="1"/>
  <c r="BA243" i="1"/>
</calcChain>
</file>

<file path=xl/sharedStrings.xml><?xml version="1.0" encoding="utf-8"?>
<sst xmlns="http://schemas.openxmlformats.org/spreadsheetml/2006/main" count="4628" uniqueCount="1864">
  <si>
    <t>费伤比 / 牌效汇总 (按费用×稀有度)</t>
  </si>
  <si>
    <t>说明: 费用=卡牌总表H列(费用消耗); 牌效均值=AY列平均; 每费效率均值=BA列(AY/实际费)平均</t>
  </si>
  <si>
    <t>0 费牌</t>
  </si>
  <si>
    <t>稀有度</t>
  </si>
  <si>
    <t>卡牌数</t>
  </si>
  <si>
    <t>平均牌效(AY)</t>
  </si>
  <si>
    <t>每费效率(BA)均值</t>
  </si>
  <si>
    <t>样例卡牌</t>
  </si>
  <si>
    <t>基础</t>
  </si>
  <si>
    <t>中和/陨星</t>
  </si>
  <si>
    <t>普通</t>
  </si>
  <si>
    <t>愤怒/放血/预判/偏转/早有准备</t>
  </si>
  <si>
    <t>罕见</t>
  </si>
  <si>
    <t>战斗专注/欺凌/恶魔护盾/狂怒/怨恨</t>
  </si>
  <si>
    <t>稀有</t>
  </si>
  <si>
    <t>烙印/祭品/契约终章/原始力量/肾上腺素</t>
  </si>
  <si>
    <t>远古</t>
  </si>
  <si>
    <t>压制/流星雨</t>
  </si>
  <si>
    <t>【本费合计/平均】</t>
  </si>
  <si>
    <t>1 费牌</t>
  </si>
  <si>
    <t>打击/防御/防御/打击/生存者</t>
  </si>
  <si>
    <t>武装/全身撞击/突破/破灭/头槌</t>
  </si>
  <si>
    <t>灰烬打击/燃烧契约/拆卸/主宰/战鼓</t>
  </si>
  <si>
    <t>好勇斗狠/巨像/恶魔之焰/绯红披风/残酷</t>
  </si>
  <si>
    <t>偏差认知/四重释放/守护者</t>
  </si>
  <si>
    <t>2 费牌</t>
  </si>
  <si>
    <t>痛击</t>
  </si>
  <si>
    <t>血墙/余烬/完美打击/连续反弹/蛇咬</t>
  </si>
  <si>
    <t>跃跃欲试/与我一战/烈焰屏障/惊逃/弹跳药瓶</t>
  </si>
  <si>
    <t>黑暗之拥/恶魔之焰/地狱狂徒/岿然不动/主宰</t>
  </si>
  <si>
    <t>破击/禁忌魔典</t>
  </si>
  <si>
    <t>3 费牌</t>
  </si>
  <si>
    <t>收割</t>
  </si>
  <si>
    <t>重锤/彼岸咆哮/踩踏/迷雾/毒性爆发</t>
  </si>
  <si>
    <t>壁垒/恶魔形态/凌虐/磨蚀/子弹时间</t>
  </si>
  <si>
    <t>腐化</t>
  </si>
  <si>
    <t>4+ 费牌</t>
  </si>
  <si>
    <t>王者之踢/埋葬</t>
  </si>
  <si>
    <t>陨石打击/女妖之嚎</t>
  </si>
  <si>
    <t>其他 费牌</t>
  </si>
  <si>
    <t>串刺/挽歌</t>
  </si>
  <si>
    <t>倾斜/多重释放/根除</t>
  </si>
  <si>
    <t>总览: 每费效率(BA)均值 × 费用×稀有度 热力</t>
  </si>
  <si>
    <t>费用 \ 稀有度</t>
  </si>
  <si>
    <t>事件</t>
  </si>
  <si>
    <t>Boss</t>
  </si>
  <si>
    <t>特殊</t>
  </si>
  <si>
    <t>其他</t>
  </si>
  <si>
    <t>平均</t>
  </si>
  <si>
    <t>0 费</t>
  </si>
  <si>
    <t>1 费</t>
  </si>
  <si>
    <t>2 费</t>
  </si>
  <si>
    <t>3 费</t>
  </si>
  <si>
    <t>4+</t>
  </si>
  <si>
    <t>系数参考: 伤害1 / 格挡1.1 / 中毒1 / 灾厄0.7 / 召唤1 / 星辉1.3 / 虚弱/易伤1.5</t>
  </si>
  <si>
    <t>序号</t>
  </si>
  <si>
    <t>card_id</t>
  </si>
  <si>
    <t>职业</t>
  </si>
  <si>
    <t>卡牌名称</t>
  </si>
  <si>
    <t>名称_en</t>
  </si>
  <si>
    <t>类别</t>
  </si>
  <si>
    <t>费用消耗</t>
  </si>
  <si>
    <t>费用_升级后</t>
  </si>
  <si>
    <t>效果原文</t>
  </si>
  <si>
    <t>效果解析</t>
  </si>
  <si>
    <t>目标类型</t>
  </si>
  <si>
    <t>伤害基础</t>
  </si>
  <si>
    <t>伤害升级</t>
  </si>
  <si>
    <t>伤害段数</t>
  </si>
  <si>
    <t>格挡基础</t>
  </si>
  <si>
    <t>格挡升级</t>
  </si>
  <si>
    <t>抽牌数基础</t>
  </si>
  <si>
    <t>抽牌数升级</t>
  </si>
  <si>
    <t>弃牌数基础</t>
  </si>
  <si>
    <t>弃牌数升级</t>
  </si>
  <si>
    <t>获得能量值基础</t>
  </si>
  <si>
    <t>获得能量值升级</t>
  </si>
  <si>
    <t>获得星辉</t>
  </si>
  <si>
    <t>获得星辉升级</t>
  </si>
  <si>
    <t>给予虚弱层数基础</t>
  </si>
  <si>
    <t>给予虚弱升级</t>
  </si>
  <si>
    <t>给予易伤层数基础</t>
  </si>
  <si>
    <t>给予易伤升级</t>
  </si>
  <si>
    <t>生成状态牌</t>
  </si>
  <si>
    <t>给予力量</t>
  </si>
  <si>
    <t>给予中毒</t>
  </si>
  <si>
    <t>给予灾厄</t>
  </si>
  <si>
    <t>给予敏捷</t>
  </si>
  <si>
    <t>给予集中</t>
  </si>
  <si>
    <t>给予覆甲</t>
  </si>
  <si>
    <t>消耗类型</t>
  </si>
  <si>
    <t>是否保留/持续</t>
  </si>
  <si>
    <t>基础卡_id</t>
  </si>
  <si>
    <t>核心标签效果</t>
  </si>
  <si>
    <t>计算备注</t>
  </si>
  <si>
    <t>计算用等效费用</t>
  </si>
  <si>
    <t>临时升级牌数基础</t>
  </si>
  <si>
    <t>临时升级牌数_升级</t>
  </si>
  <si>
    <t>卡图</t>
  </si>
  <si>
    <t>版本/数据源</t>
  </si>
  <si>
    <t>召唤</t>
  </si>
  <si>
    <t>产出价值/原牌效</t>
  </si>
  <si>
    <t>费用节奏修正牌效</t>
  </si>
  <si>
    <t>产出每费效率</t>
  </si>
  <si>
    <t>ironclad_strike</t>
  </si>
  <si>
    <t>铁甲战士</t>
  </si>
  <si>
    <t>打击</t>
  </si>
  <si>
    <t>Strike</t>
  </si>
  <si>
    <t>攻击</t>
  </si>
  <si>
    <t>造成6点伤害。</t>
  </si>
  <si>
    <t>造成6伤害，无易伤。</t>
  </si>
  <si>
    <t>enemy_single</t>
  </si>
  <si>
    <t>none</t>
  </si>
  <si>
    <t>v0.110.1 sts2.info</t>
  </si>
  <si>
    <t>ironclad_defend</t>
  </si>
  <si>
    <t>防御</t>
  </si>
  <si>
    <t>Defend</t>
  </si>
  <si>
    <t>技能</t>
  </si>
  <si>
    <t>获得5点格挡。</t>
  </si>
  <si>
    <t>获得5格挡，无伤害。</t>
  </si>
  <si>
    <t>self</t>
  </si>
  <si>
    <t>ironclad_aggression</t>
  </si>
  <si>
    <t>好勇斗狠</t>
  </si>
  <si>
    <t>Aggression</t>
  </si>
  <si>
    <t>能力</t>
  </si>
  <si>
    <t>在你的回合开始时，将你弃牌堆的一张随机攻击牌放入你的手牌并将其升级。</t>
  </si>
  <si>
    <t>弃牌堆拿一张攻击牌，升级该牌。</t>
  </si>
  <si>
    <t>能力持续</t>
  </si>
  <si>
    <t>能力，固有，弃牌回收，临时升级</t>
  </si>
  <si>
    <t>此卡是敲后固有</t>
  </si>
  <si>
    <t>ironclad_anger</t>
  </si>
  <si>
    <t>愤怒</t>
  </si>
  <si>
    <t>Anger</t>
  </si>
  <si>
    <t>造成6点伤害。 将一张此牌的复制品加入你的弃牌堆。</t>
  </si>
  <si>
    <t>生成一张同样的牌，造成6伤害</t>
  </si>
  <si>
    <t>enermy_single</t>
  </si>
  <si>
    <t>ironclad_armaments</t>
  </si>
  <si>
    <t>武装</t>
  </si>
  <si>
    <t>Armaments</t>
  </si>
  <si>
    <t>获得5点格挡。 升级你手牌中的一张牌。</t>
  </si>
  <si>
    <t>升级一张牌，防御5</t>
  </si>
  <si>
    <t>ironclad_ashen_strike</t>
  </si>
  <si>
    <t>灰烬打击</t>
  </si>
  <si>
    <t>Ashen Strike</t>
  </si>
  <si>
    <t>造成6点伤害。 你的消耗牌堆中每有一张牌，伤害增加3。</t>
  </si>
  <si>
    <t>攻击终端卡，打出3x+6的伤害</t>
  </si>
  <si>
    <t>加伤效果视为打击多次升级</t>
  </si>
  <si>
    <t>ironclad_barricade</t>
  </si>
  <si>
    <t>壁垒</t>
  </si>
  <si>
    <t>Barricade</t>
  </si>
  <si>
    <t>格挡不再在你的回合开始时消失。</t>
  </si>
  <si>
    <t>保留防御值</t>
  </si>
  <si>
    <t>保留格挡视为防御多次升级乘以能力系数</t>
  </si>
  <si>
    <t>ironclad_bash</t>
  </si>
  <si>
    <t>Bash</t>
  </si>
  <si>
    <t>造成8点伤害。 给予2层易伤。</t>
  </si>
  <si>
    <t>造成8伤害，给予2易伤</t>
  </si>
  <si>
    <t>ironclad_battle_trance</t>
  </si>
  <si>
    <t>战斗专注</t>
  </si>
  <si>
    <t>Battle Trance</t>
  </si>
  <si>
    <t>抽3张牌。 你在本回合内不能再抽任何牌。</t>
  </si>
  <si>
    <t>本回合</t>
  </si>
  <si>
    <t>ironclad_blood_wall</t>
  </si>
  <si>
    <t>血墙</t>
  </si>
  <si>
    <t>Blood Wall</t>
  </si>
  <si>
    <t>失去2点生命。 获得16点格挡。</t>
  </si>
  <si>
    <t>ironclad_bloodletting</t>
  </si>
  <si>
    <t>放血</t>
  </si>
  <si>
    <t>Bloodletting</t>
  </si>
  <si>
    <t>失去3点生命。 获得2点能量。</t>
  </si>
  <si>
    <t>ironclad_bludgeon</t>
  </si>
  <si>
    <t>重锤</t>
  </si>
  <si>
    <t>Bludgeon</t>
  </si>
  <si>
    <t>造成32点伤害。</t>
  </si>
  <si>
    <t>ironclad_body_slam</t>
  </si>
  <si>
    <t>全身撞击</t>
  </si>
  <si>
    <t>Body Slam</t>
  </si>
  <si>
    <t>造成你当前格挡值的伤害。</t>
  </si>
  <si>
    <t>ironclad_brand</t>
  </si>
  <si>
    <t>烙印</t>
  </si>
  <si>
    <t>Brand</t>
  </si>
  <si>
    <t>失去1点生命。 消耗1张牌。 获得1点力量。</t>
  </si>
  <si>
    <t>含消耗其他牌效果</t>
  </si>
  <si>
    <t>ironclad_break</t>
  </si>
  <si>
    <t>破击</t>
  </si>
  <si>
    <t>Break</t>
  </si>
  <si>
    <t>造成20点伤害。 给予5层易伤。</t>
  </si>
  <si>
    <t>ironclad_breakthrough</t>
  </si>
  <si>
    <t>突破</t>
  </si>
  <si>
    <t>Breakthrough</t>
  </si>
  <si>
    <t>失去1点生命。 对所有敌人造成9点伤害。</t>
  </si>
  <si>
    <t>enemy_all</t>
  </si>
  <si>
    <t>群体攻击</t>
  </si>
  <si>
    <t>ironclad_bully</t>
  </si>
  <si>
    <t>欺凌</t>
  </si>
  <si>
    <t>Bully</t>
  </si>
  <si>
    <t>造成4点伤害。 该敌人身上每有一层易伤就额外造成2点伤害。</t>
  </si>
  <si>
    <t>ironclad_burning_pact</t>
  </si>
  <si>
    <t>燃烧契约</t>
  </si>
  <si>
    <t>Burning Pact</t>
  </si>
  <si>
    <t>消耗1张牌。 抽2张牌。</t>
  </si>
  <si>
    <t>ironclad_cascade</t>
  </si>
  <si>
    <t>Cascade</t>
  </si>
  <si>
    <t>X</t>
  </si>
  <si>
    <t>打出你抽牌堆顶部的X张牌。</t>
  </si>
  <si>
    <t>ironclad_cinder</t>
  </si>
  <si>
    <t>余烬</t>
  </si>
  <si>
    <t>Cinder</t>
  </si>
  <si>
    <t>造成18点伤害。 随机消耗1张牌。</t>
  </si>
  <si>
    <t>ironclad_colossus</t>
  </si>
  <si>
    <t>巨像</t>
  </si>
  <si>
    <t>Colossus</t>
  </si>
  <si>
    <t>获得5点格挡。 在本回合中，有易伤状态的敌人对你造成的伤害降低50%。</t>
  </si>
  <si>
    <t>ironclad_conflagration</t>
  </si>
  <si>
    <t>恶魔之焰</t>
  </si>
  <si>
    <t>Conflagration</t>
  </si>
  <si>
    <t>消耗所有手牌。 每张被消耗的牌造成7点伤害。</t>
  </si>
  <si>
    <t>群体攻击，本回合</t>
  </si>
  <si>
    <t>ironclad_corruption</t>
  </si>
  <si>
    <t>Corruption</t>
  </si>
  <si>
    <t>技能牌消耗变为0Energy。 每当你打出一张技能牌时，将其消耗。</t>
  </si>
  <si>
    <t>ironclad_crimson_mantle</t>
  </si>
  <si>
    <t>绯红披风</t>
  </si>
  <si>
    <t>Crimson Mantle</t>
  </si>
  <si>
    <t>在你的回合开始时，失去1点生命并获得8点格挡。</t>
  </si>
  <si>
    <t>ironclad_cruelty</t>
  </si>
  <si>
    <t>残酷</t>
  </si>
  <si>
    <t>Cruelty</t>
  </si>
  <si>
    <t>有易伤状态的敌人额外受到25%的伤害。</t>
  </si>
  <si>
    <t>ironclad_dark_embrace</t>
  </si>
  <si>
    <t>黑暗之拥</t>
  </si>
  <si>
    <t>Dark Embrace</t>
  </si>
  <si>
    <t>每当有一张牌被消耗时， 抽1张牌。</t>
  </si>
  <si>
    <t>ironclad_demon_form</t>
  </si>
  <si>
    <t>恶魔形态</t>
  </si>
  <si>
    <t>Demon Form</t>
  </si>
  <si>
    <t>在你的回合开始时，获得3点力量。</t>
  </si>
  <si>
    <t>ironclad_demonic_shield</t>
  </si>
  <si>
    <t>恶魔护盾</t>
  </si>
  <si>
    <t>Demonic Shield</t>
  </si>
  <si>
    <t>失去1点生命。 给予另一位玩家你当前格挡值的格挡。</t>
  </si>
  <si>
    <t>player_single</t>
  </si>
  <si>
    <t>ironclad_dismantle</t>
  </si>
  <si>
    <t>拆卸</t>
  </si>
  <si>
    <t>Dismantle</t>
  </si>
  <si>
    <t>造成8点伤害。 如果该敌人有易伤状态，则攻击两次。</t>
  </si>
  <si>
    <t>ironclad_dominate</t>
  </si>
  <si>
    <t>主宰</t>
  </si>
  <si>
    <t>Dominate</t>
  </si>
  <si>
    <t>给予1层易伤。 敌人身上每有一层易伤，就获得点力量。</t>
  </si>
  <si>
    <t>ironclad_drum_of_battle</t>
  </si>
  <si>
    <t>战鼓</t>
  </si>
  <si>
    <t>Drum of Battle</t>
  </si>
  <si>
    <t>抽2张牌。 这张牌被消耗时，获得2点能量</t>
  </si>
  <si>
    <t>含消耗效果</t>
  </si>
  <si>
    <t>ironclad_evil_eye</t>
  </si>
  <si>
    <t>邪眼</t>
  </si>
  <si>
    <t>Evil Eye</t>
  </si>
  <si>
    <t>获得8点格挡。 如果你在本回合消耗过卡牌，则额外获得8点格挡。</t>
  </si>
  <si>
    <t>ironclad_expect_a_fight</t>
  </si>
  <si>
    <t>跃跃欲试</t>
  </si>
  <si>
    <t>Expect a Fight</t>
  </si>
  <si>
    <t xml:space="preserve">你的手牌中每有一张攻击牌，就获得1点能量。 </t>
  </si>
  <si>
    <t>ironclad_feed</t>
  </si>
  <si>
    <t>狂宴</t>
  </si>
  <si>
    <t>Feed</t>
  </si>
  <si>
    <t>造成10点伤害。 斩杀时，永久获得3点最大生命值。</t>
  </si>
  <si>
    <t>ironclad_feel_no_pain</t>
  </si>
  <si>
    <t>无惧疼痛</t>
  </si>
  <si>
    <t>Feel No Pain</t>
  </si>
  <si>
    <t>每当有一张牌被消耗时，获得3点格挡。</t>
  </si>
  <si>
    <t>ironclad_fiend_fire</t>
  </si>
  <si>
    <t>Fiend Fire</t>
  </si>
  <si>
    <t>ironclad_fight_me</t>
  </si>
  <si>
    <t>与我一战</t>
  </si>
  <si>
    <t>Fight Me!</t>
  </si>
  <si>
    <t>造成5点伤害两次。 获得3点力量。 该敌人获得点力量。</t>
  </si>
  <si>
    <t>ironclad_flame_barrier</t>
  </si>
  <si>
    <t>烈焰屏障</t>
  </si>
  <si>
    <t>Flame Barrier</t>
  </si>
  <si>
    <t>获得12点格挡。 你在这个回合每受到一次攻击，都会对攻击者造成点伤害。</t>
  </si>
  <si>
    <t>ironclad_forgotten_ritual</t>
  </si>
  <si>
    <t>被遗忘的仪式</t>
  </si>
  <si>
    <t>Forgotten Ritual</t>
  </si>
  <si>
    <t>如果你在本回合消耗过卡牌，则获得3点能量。</t>
  </si>
  <si>
    <t>ironclad_grapple</t>
  </si>
  <si>
    <t>擒拿</t>
  </si>
  <si>
    <t>Grapple</t>
  </si>
  <si>
    <t>造成7点伤害。 当你在本回合获得格挡时，对该敌人造成5点伤害。</t>
  </si>
  <si>
    <t>ironclad_havoc</t>
  </si>
  <si>
    <t>破灭</t>
  </si>
  <si>
    <t>Havoc</t>
  </si>
  <si>
    <t>打出抽牌堆顶部的牌并将其消耗。</t>
  </si>
  <si>
    <t>ironclad_headbutt</t>
  </si>
  <si>
    <t>头槌</t>
  </si>
  <si>
    <t>Headbutt</t>
  </si>
  <si>
    <t>造成9点伤害。 将你弃牌堆中的一张牌放到抽牌堆顶部。</t>
  </si>
  <si>
    <t>ironclad_hellraiser</t>
  </si>
  <si>
    <t>地狱狂徒</t>
  </si>
  <si>
    <t>Hellraiser</t>
  </si>
  <si>
    <t>每当你抽到名字中有“打击”的牌时，对一名随机敌人打出这张牌。</t>
  </si>
  <si>
    <t>enemy_random</t>
  </si>
  <si>
    <t>ironclad_hemokinesis</t>
  </si>
  <si>
    <t>血动能</t>
  </si>
  <si>
    <t>Hemokinesis</t>
  </si>
  <si>
    <t>失去2点生命。 造成15点伤害。</t>
  </si>
  <si>
    <t>ironclad_howl_from_beyond</t>
  </si>
  <si>
    <t>彼岸咆哮</t>
  </si>
  <si>
    <t>Howl from Beyond</t>
  </si>
  <si>
    <t>对所有敌人造成16点伤害。 在你的回合开始时，如果这张牌在你的消耗牌堆中，则将其打出。</t>
  </si>
  <si>
    <t>ironclad_impervious</t>
  </si>
  <si>
    <t>岿然不动</t>
  </si>
  <si>
    <t>Impervious</t>
  </si>
  <si>
    <t>获得30点格挡。</t>
  </si>
  <si>
    <t>ironclad_infernal_blade</t>
  </si>
  <si>
    <t>地狱之刃</t>
  </si>
  <si>
    <t>Infernal Blade</t>
  </si>
  <si>
    <t>将一张随机攻击牌加入你的手牌。那张牌在本回合内可以免费打出。</t>
  </si>
  <si>
    <t>ironclad_inferno</t>
  </si>
  <si>
    <t>狱火</t>
  </si>
  <si>
    <t>Inferno</t>
  </si>
  <si>
    <t>在你的回合开始时，失去1点生命。 每当你在你的回合内失去生命时，对所有敌人造成6点伤害。</t>
  </si>
  <si>
    <t>群体攻击，能力</t>
  </si>
  <si>
    <t>ironclad_inflame</t>
  </si>
  <si>
    <t>燃烧</t>
  </si>
  <si>
    <t>Inflame</t>
  </si>
  <si>
    <t>获得2点力量。</t>
  </si>
  <si>
    <t>ironclad_iron_wave</t>
  </si>
  <si>
    <t>铁斩波</t>
  </si>
  <si>
    <t>Iron Wave</t>
  </si>
  <si>
    <t>获得5点格挡。 造成5点伤害。</t>
  </si>
  <si>
    <t>ironclad_juggernaut</t>
  </si>
  <si>
    <t>Juggernaut</t>
  </si>
  <si>
    <t>每当获得格挡，对随机敌人造成6点伤害。</t>
  </si>
  <si>
    <t>ironclad_juggling</t>
  </si>
  <si>
    <t>杂耍</t>
  </si>
  <si>
    <t>Juggling</t>
  </si>
  <si>
    <t>将你在每回合打出的第三张攻击牌的复制品加入你的手牌。</t>
  </si>
  <si>
    <t>ironclad_mangle</t>
  </si>
  <si>
    <t>凌虐</t>
  </si>
  <si>
    <t>Mangle</t>
  </si>
  <si>
    <t>造成20点伤害。 敌人在本回合失去10点力量。</t>
  </si>
  <si>
    <t>减敌方力量10(本回合)</t>
  </si>
  <si>
    <t>ironclad_molten_fist</t>
  </si>
  <si>
    <t>熔融之拳</t>
  </si>
  <si>
    <t>Molten Fist</t>
  </si>
  <si>
    <t>造成10点伤害。 将该敌人身上的易伤层数翻倍。</t>
  </si>
  <si>
    <t>ironclad_offering</t>
  </si>
  <si>
    <t>祭品</t>
  </si>
  <si>
    <t>Offering</t>
  </si>
  <si>
    <t>失去6点生命。 获得2点能量。 抽3张牌。</t>
  </si>
  <si>
    <t>ironclad_one_two_punch</t>
  </si>
  <si>
    <t>连击拳</t>
  </si>
  <si>
    <t>One-Two Punch</t>
  </si>
  <si>
    <t>在这个回合，你打出的下张攻击牌会被额外打出一次。</t>
  </si>
  <si>
    <t>ironclad_pact_s_end</t>
  </si>
  <si>
    <t>契约终章</t>
  </si>
  <si>
    <t>Pact's End</t>
  </si>
  <si>
    <t>如果你的消耗牌堆拥有大于等于3张牌， 则对所有敌人造成18点伤害。</t>
  </si>
  <si>
    <t>ironclad_perfected_strike</t>
  </si>
  <si>
    <t>完美打击</t>
  </si>
  <si>
    <t>Perfected Strike</t>
  </si>
  <si>
    <t>造成6点伤害。 你每有一张名字中含有“打击”的牌，伤害+2。</t>
  </si>
  <si>
    <t>ironclad_pillage</t>
  </si>
  <si>
    <t>劫掠</t>
  </si>
  <si>
    <t>Pillage</t>
  </si>
  <si>
    <t>造成6点伤害。 抽牌直到你抽到一张非攻击牌。</t>
  </si>
  <si>
    <t>ironclad_pommel_strike</t>
  </si>
  <si>
    <t>剑柄打击</t>
  </si>
  <si>
    <t>Pommel Strike</t>
  </si>
  <si>
    <t>造成9点伤害。 抽1张牌。</t>
  </si>
  <si>
    <t>ironclad_primal_force</t>
  </si>
  <si>
    <t>原始力量</t>
  </si>
  <si>
    <t>Primal Force</t>
  </si>
  <si>
    <t>将手牌中的所有攻击牌变化为巨石。</t>
  </si>
  <si>
    <t>ironclad_pyre</t>
  </si>
  <si>
    <t>薪火之源</t>
  </si>
  <si>
    <t>Pyre</t>
  </si>
  <si>
    <t>在回合开始时，获得能量</t>
  </si>
  <si>
    <t>ironclad_rage</t>
  </si>
  <si>
    <t>狂怒</t>
  </si>
  <si>
    <t>Rage</t>
  </si>
  <si>
    <t>打出此牌后，你在这个回合内每打出一张攻击牌，获得3点格挡。</t>
  </si>
  <si>
    <t>ironclad_rampage</t>
  </si>
  <si>
    <t>暴走</t>
  </si>
  <si>
    <t>Rampage</t>
  </si>
  <si>
    <t>造成9点伤害。 将这张牌在本场战斗中的伤害增加。</t>
  </si>
  <si>
    <t>ironclad_rupture</t>
  </si>
  <si>
    <t>撕裂</t>
  </si>
  <si>
    <t>Rupture</t>
  </si>
  <si>
    <t>每当你在你的回合失去生命值时, 获得1点力量。</t>
  </si>
  <si>
    <t>ironclad_second_wind</t>
  </si>
  <si>
    <t>重振精神</t>
  </si>
  <si>
    <t>Second Wind</t>
  </si>
  <si>
    <t>消耗手牌中所有非攻击牌，每张获得5点格挡。</t>
  </si>
  <si>
    <t>ironclad_setup_strike</t>
  </si>
  <si>
    <t>预备打击</t>
  </si>
  <si>
    <t>Setup Strike</t>
  </si>
  <si>
    <t>造成7点伤害。 在本回合内获得2点力量。</t>
  </si>
  <si>
    <t>ironclad_shrug_it_off</t>
  </si>
  <si>
    <t>耸肩无视</t>
  </si>
  <si>
    <t>Shrug It Off</t>
  </si>
  <si>
    <t>获得8点格挡。 抽1张牌。</t>
  </si>
  <si>
    <t>ironclad_spite</t>
  </si>
  <si>
    <t>怨恨</t>
  </si>
  <si>
    <t>Spite</t>
  </si>
  <si>
    <t>造成5点伤害。 如果你在本回合失去过生命值， 则攻击2次。</t>
  </si>
  <si>
    <t>ironclad_stampede</t>
  </si>
  <si>
    <t>惊逃</t>
  </si>
  <si>
    <t>Stampede</t>
  </si>
  <si>
    <t>在你的回合结束时，随机打出你手牌中的张攻击牌攻击随机敌人。</t>
  </si>
  <si>
    <t>ironclad_stoke</t>
  </si>
  <si>
    <t>添柴</t>
  </si>
  <si>
    <t>Stoke</t>
  </si>
  <si>
    <t>消耗所有手牌。 每消耗一张牌，将1张随机牌加入你的手牌。</t>
  </si>
  <si>
    <t>ironclad_stomp</t>
  </si>
  <si>
    <t>踩踏</t>
  </si>
  <si>
    <t>Stomp</t>
  </si>
  <si>
    <t>对所有敌人造成12点伤害。 你在本回合中每打出过一张攻击牌，其耗能减少1</t>
  </si>
  <si>
    <t>ironclad_stone_armor</t>
  </si>
  <si>
    <t>岩石铠甲</t>
  </si>
  <si>
    <t>Stone Armor</t>
  </si>
  <si>
    <t>获得4层覆甲。</t>
  </si>
  <si>
    <t>ironclad_sword_boomerang</t>
  </si>
  <si>
    <t>飞剑回旋镖</t>
  </si>
  <si>
    <t>Sword Boomerang</t>
  </si>
  <si>
    <t>随机对敌人造成3点伤害3次。</t>
  </si>
  <si>
    <t>ironclad_tank</t>
  </si>
  <si>
    <t>肉盾</t>
  </si>
  <si>
    <t>Tank</t>
  </si>
  <si>
    <t>承受双倍来自敌人的伤害。 敌人的伤害对盟友减半。</t>
  </si>
  <si>
    <t>ironclad_taunt</t>
  </si>
  <si>
    <t>挑衅</t>
  </si>
  <si>
    <t>Taunt</t>
  </si>
  <si>
    <t>获得7点格挡。 给予1层易伤。</t>
  </si>
  <si>
    <t>ironclad_tear_asunder</t>
  </si>
  <si>
    <t>扯碎</t>
  </si>
  <si>
    <t>Tear Asunder</t>
  </si>
  <si>
    <t>造成5点伤害。 在本场战斗中，你每失去过一次生命值，这张牌就额外造成一次伤害。</t>
  </si>
  <si>
    <t>ironclad_thrash</t>
  </si>
  <si>
    <t>痛殴</t>
  </si>
  <si>
    <t>Thrash</t>
  </si>
  <si>
    <t>造成4点伤害两次。 消耗你的手牌中随机一张攻击牌，并将它的伤害添加给这张牌。</t>
  </si>
  <si>
    <t>ironclad_thunderclap</t>
  </si>
  <si>
    <t>闪电霹雳</t>
  </si>
  <si>
    <t>Thunderclap</t>
  </si>
  <si>
    <t>对所有敌人造成4点伤害，给予1层易伤。</t>
  </si>
  <si>
    <t>ironclad_tremble</t>
  </si>
  <si>
    <t>战栗</t>
  </si>
  <si>
    <t>Tremble</t>
  </si>
  <si>
    <t>给予2易伤。</t>
  </si>
  <si>
    <t>silent_abrasive</t>
  </si>
  <si>
    <t>静默猎人</t>
  </si>
  <si>
    <t>磨蚀</t>
  </si>
  <si>
    <t>Abrasive</t>
  </si>
  <si>
    <t>获得1点敏捷。 获得4点荆棘。</t>
  </si>
  <si>
    <t>silent_accelerant</t>
  </si>
  <si>
    <t>触媒</t>
  </si>
  <si>
    <t>Accelerant</t>
  </si>
  <si>
    <t>中毒会额外触发1次。</t>
  </si>
  <si>
    <t>silent_accuracy</t>
  </si>
  <si>
    <t>精准</t>
  </si>
  <si>
    <t>Accuracy</t>
  </si>
  <si>
    <t>小刀额外造成4点伤害。</t>
  </si>
  <si>
    <t>silent_acrobatics</t>
  </si>
  <si>
    <t>杂技</t>
  </si>
  <si>
    <t>Acrobatics</t>
  </si>
  <si>
    <t>抽3张牌。 丢弃1张牌。</t>
  </si>
  <si>
    <t>silent_adrenaline</t>
  </si>
  <si>
    <t>肾上腺素</t>
  </si>
  <si>
    <t>Adrenaline</t>
  </si>
  <si>
    <t>获得能量。 抽2张牌。</t>
  </si>
  <si>
    <t>Gain能量数值需核对</t>
  </si>
  <si>
    <t>silent_afterimage</t>
  </si>
  <si>
    <t>残影</t>
  </si>
  <si>
    <t>Afterimage</t>
  </si>
  <si>
    <t>你每打出一张牌，都获得1点格挡。</t>
  </si>
  <si>
    <t>silent_anticipate</t>
  </si>
  <si>
    <t>预判</t>
  </si>
  <si>
    <t>Anticipate</t>
  </si>
  <si>
    <t>在本回合获得2点敏捷。</t>
  </si>
  <si>
    <t>silent_assassinate</t>
  </si>
  <si>
    <t>刺杀</t>
  </si>
  <si>
    <t>Assassinate</t>
  </si>
  <si>
    <t>造成10点伤害。 给予1层易伤。</t>
  </si>
  <si>
    <t>silent_backflip</t>
  </si>
  <si>
    <t>后空翻</t>
  </si>
  <si>
    <t>Backflip</t>
  </si>
  <si>
    <t>获得5点格挡。 抽2张牌。</t>
  </si>
  <si>
    <t>silent_backstab</t>
  </si>
  <si>
    <t>背刺</t>
  </si>
  <si>
    <t>Backstab</t>
  </si>
  <si>
    <t>造成11点伤害。</t>
  </si>
  <si>
    <t>silent_blade_dance</t>
  </si>
  <si>
    <t>刀刃之舞</t>
  </si>
  <si>
    <t>Blade Dance</t>
  </si>
  <si>
    <t>添加3张小刀到你的手牌。</t>
  </si>
  <si>
    <t>silent_blade_of_ink</t>
  </si>
  <si>
    <t>墨刃</t>
  </si>
  <si>
    <t>Blade of Ink</t>
  </si>
  <si>
    <t>添加2张墨影小刀到你的手牌。</t>
  </si>
  <si>
    <t>silent_blur</t>
  </si>
  <si>
    <t>Blur</t>
  </si>
  <si>
    <t>获得5点格挡。 你的下一回合开始时格挡不会消失。</t>
  </si>
  <si>
    <t>silent_bouncing_flask</t>
  </si>
  <si>
    <t>弹跳药瓶</t>
  </si>
  <si>
    <t>Bouncing Flask</t>
  </si>
  <si>
    <t>随机给予敌人3层中毒3次。</t>
  </si>
  <si>
    <t>silent_bubble_bubble</t>
  </si>
  <si>
    <t>咕噜冒泡</t>
  </si>
  <si>
    <t>Bubble Bubble</t>
  </si>
  <si>
    <t>如果敌方拥有中毒，则给予9层中毒。</t>
  </si>
  <si>
    <t>silent_bullet_time</t>
  </si>
  <si>
    <t>子弹时间</t>
  </si>
  <si>
    <t>Bullet Time</t>
  </si>
  <si>
    <t>你在本回合内不能再抽牌。你手牌中的所有牌在本回合免费打出。</t>
  </si>
  <si>
    <t>silent_burst</t>
  </si>
  <si>
    <t>爆发</t>
  </si>
  <si>
    <t>Burst</t>
  </si>
  <si>
    <t>在这个回合，你打出的下一张技能牌会被额外打出一次。</t>
  </si>
  <si>
    <t>silent_calculated_gamble</t>
  </si>
  <si>
    <t>计算下注</t>
  </si>
  <si>
    <t>Calculated Gamble</t>
  </si>
  <si>
    <t>丢弃你的所有手牌, 然后抽相同数量的牌。</t>
  </si>
  <si>
    <t>silent_cloak_and_dagger</t>
  </si>
  <si>
    <t>斗篷与匕首</t>
  </si>
  <si>
    <t>Cloak and Dagger</t>
  </si>
  <si>
    <t>获得6点格挡。 将1张小刀添加到你的手牌。</t>
  </si>
  <si>
    <t>silent_corrosive_wave</t>
  </si>
  <si>
    <t>腐蚀波</t>
  </si>
  <si>
    <t>Corrosive Wave</t>
  </si>
  <si>
    <t>打出此牌后，你在本回合每抽到一张牌，就给予所有敌人2层中毒。</t>
  </si>
  <si>
    <t>silent_dagger_spray</t>
  </si>
  <si>
    <t>匕首雨</t>
  </si>
  <si>
    <t>Dagger Spray</t>
  </si>
  <si>
    <t>对所有敌人造成4点伤害两次。</t>
  </si>
  <si>
    <t>silent_dagger_throw</t>
  </si>
  <si>
    <t>投掷匕首</t>
  </si>
  <si>
    <t>Dagger Throw</t>
  </si>
  <si>
    <t>造成9点伤害。 抽1张牌。 丢弃1张牌。</t>
  </si>
  <si>
    <t>silent_dash</t>
  </si>
  <si>
    <t>冲刺</t>
  </si>
  <si>
    <t>Dash</t>
  </si>
  <si>
    <t>获得10点格挡。 造成10点伤害。</t>
  </si>
  <si>
    <t>silent_deadly_poison</t>
  </si>
  <si>
    <t>致命毒药</t>
  </si>
  <si>
    <t>Deadly Poison</t>
  </si>
  <si>
    <t>给予5层中毒。</t>
  </si>
  <si>
    <t>silent_defend</t>
  </si>
  <si>
    <t>silent_deflect</t>
  </si>
  <si>
    <t>偏转</t>
  </si>
  <si>
    <t>Deflect</t>
  </si>
  <si>
    <t>获得4点格挡。</t>
  </si>
  <si>
    <t>silent_dodge_and_roll</t>
  </si>
  <si>
    <t>闪躲翻滚</t>
  </si>
  <si>
    <t>Dodge and Roll</t>
  </si>
  <si>
    <t>获得4点格挡。 在下个回合，获得4点格挡。</t>
  </si>
  <si>
    <t>silent_echoing_slash</t>
  </si>
  <si>
    <t>回响斩击</t>
  </si>
  <si>
    <t>Echoing Slash</t>
  </si>
  <si>
    <t>对所有敌人造成10点伤害。 每有一名敌人被击杀，就重复此效果。</t>
  </si>
  <si>
    <t>silent_envenom</t>
  </si>
  <si>
    <t>涂毒</t>
  </si>
  <si>
    <t>Envenom</t>
  </si>
  <si>
    <t>每有一次攻击造成未被格挡的伤害，就给予1层中毒。</t>
  </si>
  <si>
    <t>silent_escape_plan</t>
  </si>
  <si>
    <t>逃脱计划</t>
  </si>
  <si>
    <t>Escape Plan</t>
  </si>
  <si>
    <t>抽1张牌。 如果抽到的是技能牌，则获得3点格挡。</t>
  </si>
  <si>
    <t>silent_expertise</t>
  </si>
  <si>
    <t>专长</t>
  </si>
  <si>
    <t>Expertise</t>
  </si>
  <si>
    <t>抽牌直至你的手牌有6张牌。</t>
  </si>
  <si>
    <t>silent_expose</t>
  </si>
  <si>
    <t>暴露</t>
  </si>
  <si>
    <t>Expose</t>
  </si>
  <si>
    <t>去除敌人身上的所有格挡值和人工制品。 并给予2层易伤。</t>
  </si>
  <si>
    <t>silent_fan_of_knives</t>
  </si>
  <si>
    <t>刀扇</t>
  </si>
  <si>
    <t>Fan of Knives</t>
  </si>
  <si>
    <t>小刀现在会攻击所有敌人。 将4张小刀添加到你的手牌。</t>
  </si>
  <si>
    <t>silent_finisher</t>
  </si>
  <si>
    <t>终结技</t>
  </si>
  <si>
    <t>Finisher</t>
  </si>
  <si>
    <t>在这个回合内每打出过一张攻击牌，就造成6点伤害一次。</t>
  </si>
  <si>
    <t>silent_flanking</t>
  </si>
  <si>
    <t>夹击</t>
  </si>
  <si>
    <t>Flanking</t>
  </si>
  <si>
    <t>一名敌人在本回合受到的来自其他玩家的攻击伤害翻倍。</t>
  </si>
  <si>
    <t>silent_flechettes</t>
  </si>
  <si>
    <t>飞镖</t>
  </si>
  <si>
    <t>Flechettes</t>
  </si>
  <si>
    <t>手牌中每有一张技能牌，造成5点伤害。</t>
  </si>
  <si>
    <t>silent_flick_flack</t>
  </si>
  <si>
    <t>翻越撑击</t>
  </si>
  <si>
    <t>Flick-Flack</t>
  </si>
  <si>
    <t>对所有敌人造成6点伤害。</t>
  </si>
  <si>
    <t>silent_follow_through</t>
  </si>
  <si>
    <t>跟进</t>
  </si>
  <si>
    <t>Follow Through</t>
  </si>
  <si>
    <t>造成7点伤害，如果手牌至少有5张其他牌，则额外命中一次。</t>
  </si>
  <si>
    <t>silent_footwork</t>
  </si>
  <si>
    <t>灵动步法</t>
  </si>
  <si>
    <t>Footwork</t>
  </si>
  <si>
    <t>获得2点敏捷。</t>
  </si>
  <si>
    <t>silent_grand_finale</t>
  </si>
  <si>
    <t>华丽收场</t>
  </si>
  <si>
    <t>Grand Finale</t>
  </si>
  <si>
    <t>只有当你的抽牌堆中没有牌时才能打出。对所有敌人造成60点伤害。</t>
  </si>
  <si>
    <t>silent_hand_trick</t>
  </si>
  <si>
    <t>手上技法</t>
  </si>
  <si>
    <t>Hand Trick</t>
  </si>
  <si>
    <t>获得7点格挡。 在本回合给你手牌中的一张技能牌添加奇巧。</t>
  </si>
  <si>
    <t>silent_haze</t>
  </si>
  <si>
    <t>迷雾</t>
  </si>
  <si>
    <t>Haze</t>
  </si>
  <si>
    <t>给予所有敌人4层中毒和1层虚弱。</t>
  </si>
  <si>
    <t>silent_hidden_daggers</t>
  </si>
  <si>
    <t>隐秘匕首</t>
  </si>
  <si>
    <t>Hidden Daggers</t>
  </si>
  <si>
    <t>丢弃2张牌。 将2张小刀加入你的手牌。</t>
  </si>
  <si>
    <t>silent_infinite_blades</t>
  </si>
  <si>
    <t>无尽刀刃</t>
  </si>
  <si>
    <t>Infinite Blades</t>
  </si>
  <si>
    <t>在你的回合开始时，在你的手牌中加入1张小刀。</t>
  </si>
  <si>
    <t>silent_knife_trap</t>
  </si>
  <si>
    <t>刀刃陷阱</t>
  </si>
  <si>
    <t>Knife Trap</t>
  </si>
  <si>
    <t>将你消耗牌堆中的所有小刀对一名敌人打出。</t>
  </si>
  <si>
    <t>silent_leading_strike</t>
  </si>
  <si>
    <t>先制打击</t>
  </si>
  <si>
    <t>Leading Strike</t>
  </si>
  <si>
    <t>造成3点伤害。 将2张小刀加入你的手牌。</t>
  </si>
  <si>
    <t>silent_leg_sweep</t>
  </si>
  <si>
    <t>扫腿</t>
  </si>
  <si>
    <t>Leg Sweep</t>
  </si>
  <si>
    <t>给予2层虚弱。 获得11点格挡。</t>
  </si>
  <si>
    <t>silent_malaise</t>
  </si>
  <si>
    <t>萎靡</t>
  </si>
  <si>
    <t>Malaise</t>
  </si>
  <si>
    <t>敌人失去X点力量。给予X层虚弱。</t>
  </si>
  <si>
    <t>silent_master_planner</t>
  </si>
  <si>
    <t>谋划专家</t>
  </si>
  <si>
    <t>Master Planner</t>
  </si>
  <si>
    <t>当你打出技能牌时，该牌获得奇巧。</t>
  </si>
  <si>
    <t>silent_memento_mori</t>
  </si>
  <si>
    <t>记住死亡</t>
  </si>
  <si>
    <t>Memento Mori</t>
  </si>
  <si>
    <t>造成9点伤害。 本回合每丢弃过一张牌，则增加4点额外伤害。</t>
  </si>
  <si>
    <t>silent_mirage</t>
  </si>
  <si>
    <t>盛景</t>
  </si>
  <si>
    <t>Mirage</t>
  </si>
  <si>
    <t>获得等量于所有敌人中毒层数总和的格挡。</t>
  </si>
  <si>
    <t>silent_murder</t>
  </si>
  <si>
    <t>谋杀</t>
  </si>
  <si>
    <t>Murder</t>
  </si>
  <si>
    <t>造成1点伤害。 你在本场战斗中每抽过一张牌，此牌就额外造成1点伤害。</t>
  </si>
  <si>
    <t>silent_neutralize</t>
  </si>
  <si>
    <t>中和</t>
  </si>
  <si>
    <t>Neutralize</t>
  </si>
  <si>
    <t>造成3点伤害。 给予1层虚弱。</t>
  </si>
  <si>
    <t>silent_nightmare</t>
  </si>
  <si>
    <t>夜魇</t>
  </si>
  <si>
    <t>Nightmare</t>
  </si>
  <si>
    <t>选择一张牌。 在下个回合将这张牌的3张复制品加入你的手牌。</t>
  </si>
  <si>
    <t>silent_noxious_fumes</t>
  </si>
  <si>
    <t>毒雾</t>
  </si>
  <si>
    <t>Noxious Fumes</t>
  </si>
  <si>
    <t>在你的回合开始时，给予所有敌人2层中毒。</t>
  </si>
  <si>
    <t>silent_outbreak</t>
  </si>
  <si>
    <t>毒性爆发</t>
  </si>
  <si>
    <t>Outbreak</t>
  </si>
  <si>
    <t>给予所有敌人9层中毒。 立即触发中毒。</t>
  </si>
  <si>
    <t>silent_phantom_blades</t>
  </si>
  <si>
    <t>幻影之刃</t>
  </si>
  <si>
    <t>Phantom Blades</t>
  </si>
  <si>
    <t>小刀获得保留。 你在每回合打出的第一张小刀额外造成9点伤害。</t>
  </si>
  <si>
    <t>silent_piercing_wail</t>
  </si>
  <si>
    <t>尖啸</t>
  </si>
  <si>
    <t>Piercing Wail</t>
  </si>
  <si>
    <t>所有敌人在本回合失去6点力量。</t>
  </si>
  <si>
    <t>减敌方力量6(本回合)</t>
  </si>
  <si>
    <t>silent_pinpoint</t>
  </si>
  <si>
    <t>精准定位</t>
  </si>
  <si>
    <t>Pinpoint</t>
  </si>
  <si>
    <t>造成15点伤害。 你在本回合中每打出过一张技能牌，其耗能减少1。</t>
  </si>
  <si>
    <t>silent_poisoned_stab</t>
  </si>
  <si>
    <t>带毒刺击</t>
  </si>
  <si>
    <t>Poisoned Stab</t>
  </si>
  <si>
    <t>造成6点伤害。 给予3层中毒。</t>
  </si>
  <si>
    <t>silent_pounce</t>
  </si>
  <si>
    <t>猛扑</t>
  </si>
  <si>
    <t>Pounce</t>
  </si>
  <si>
    <t>造成12点伤害。 你的下一张技能牌耗能变为0。</t>
  </si>
  <si>
    <t>silent_precise_cut</t>
  </si>
  <si>
    <t>精准切割</t>
  </si>
  <si>
    <t>Precise Cut</t>
  </si>
  <si>
    <t>造成13点伤害。 你的手牌中每有一张牌，此牌的伤害就降低2点。</t>
  </si>
  <si>
    <t>silent_predator</t>
  </si>
  <si>
    <t>猎杀者</t>
  </si>
  <si>
    <t>Predator</t>
  </si>
  <si>
    <t>造成15点伤害。 在下个回合抽2张牌。</t>
  </si>
  <si>
    <t>silent_prepared</t>
  </si>
  <si>
    <t>早有准备</t>
  </si>
  <si>
    <t>Prepared</t>
  </si>
  <si>
    <t>抽1张牌。 丢弃1张牌。</t>
  </si>
  <si>
    <t>silent_reflex</t>
  </si>
  <si>
    <t>本能反应</t>
  </si>
  <si>
    <t>Reflex</t>
  </si>
  <si>
    <t>抽2张牌。</t>
  </si>
  <si>
    <t>silent_ricochet</t>
  </si>
  <si>
    <t>连续反弹</t>
  </si>
  <si>
    <t>Ricochet</t>
  </si>
  <si>
    <t>随机对敌人造成3点伤害4次。</t>
  </si>
  <si>
    <t>silent_serpent_form</t>
  </si>
  <si>
    <t>群蛇形态</t>
  </si>
  <si>
    <t>Serpent Form</t>
  </si>
  <si>
    <t>你每打出一张牌，就对随机一名敌人造成4点伤害。</t>
  </si>
  <si>
    <t>silent_shadow_step</t>
  </si>
  <si>
    <t>暗影步</t>
  </si>
  <si>
    <t>Shadow Step</t>
  </si>
  <si>
    <t>丢弃所有手牌。 在下个回合，你所有的攻击伤害翻倍。</t>
  </si>
  <si>
    <t>silent_shadowmeld</t>
  </si>
  <si>
    <t>融入暗影</t>
  </si>
  <si>
    <t>Shadowmeld</t>
  </si>
  <si>
    <t>本回合你获得的格挡值翻倍。</t>
  </si>
  <si>
    <t>silent_skewer</t>
  </si>
  <si>
    <t>串刺</t>
  </si>
  <si>
    <t>Skewer</t>
  </si>
  <si>
    <t>造成8点伤害X次。</t>
  </si>
  <si>
    <t>silent_slice</t>
  </si>
  <si>
    <t>切割</t>
  </si>
  <si>
    <t>Slice</t>
  </si>
  <si>
    <t>silent_snakebite</t>
  </si>
  <si>
    <t>蛇咬</t>
  </si>
  <si>
    <t>Snakebite</t>
  </si>
  <si>
    <t>给予7层中毒。</t>
  </si>
  <si>
    <t>silent_sneaky</t>
  </si>
  <si>
    <t>鬼祟</t>
  </si>
  <si>
    <t>Sneaky</t>
  </si>
  <si>
    <t>每当其他玩家攻击一名敌人时，获得1点格挡。</t>
  </si>
  <si>
    <t>silent_speedster</t>
  </si>
  <si>
    <t>速行者</t>
  </si>
  <si>
    <t>Speedster</t>
  </si>
  <si>
    <t>每当你在回合进行中抽到一张牌时，对所有敌人造成2点伤害。</t>
  </si>
  <si>
    <t>silent_storm_of_steel</t>
  </si>
  <si>
    <t>钢铁风暴</t>
  </si>
  <si>
    <t>Storm of Steel</t>
  </si>
  <si>
    <t>丢弃所有手牌。 每丢弃一张牌，就将一张小刀添加至你的手牌。</t>
  </si>
  <si>
    <t>silent_strangle</t>
  </si>
  <si>
    <t>紧勒</t>
  </si>
  <si>
    <t>Strangle</t>
  </si>
  <si>
    <t>造成8点伤害。 你在这个回合内每出一张牌，该名敌人都会失去2点生命。</t>
  </si>
  <si>
    <t>silent_strike</t>
  </si>
  <si>
    <t>silent_sucker_punch</t>
  </si>
  <si>
    <t>突然一拳</t>
  </si>
  <si>
    <t>Sucker Punch</t>
  </si>
  <si>
    <t>造成8点伤害。 给予1层虚弱。</t>
  </si>
  <si>
    <t>silent_suppress</t>
  </si>
  <si>
    <t>压制</t>
  </si>
  <si>
    <t>Suppress</t>
  </si>
  <si>
    <t>造成11点伤害。 给予3层虚弱。</t>
  </si>
  <si>
    <t>silent_survivor</t>
  </si>
  <si>
    <t>生存者</t>
  </si>
  <si>
    <t>Survivor</t>
  </si>
  <si>
    <t>获得8点格挡。 丢弃1张牌。</t>
  </si>
  <si>
    <t>defect_adaptive_strike</t>
  </si>
  <si>
    <t>故障机器人</t>
  </si>
  <si>
    <t>适应打击</t>
  </si>
  <si>
    <t>Adaptive Strike</t>
  </si>
  <si>
    <t>造成18点伤害。 将这张牌的一张0费复制品添加到你的弃牌堆。</t>
  </si>
  <si>
    <t>defect_all_for_one</t>
  </si>
  <si>
    <t>万物一心</t>
  </si>
  <si>
    <t>All for One</t>
  </si>
  <si>
    <t>造成10点伤害。 将你弃牌堆中的所有0费牌放入你的手牌。</t>
  </si>
  <si>
    <t>defect_ball_lightning</t>
  </si>
  <si>
    <t>球状闪电</t>
  </si>
  <si>
    <t>Ball Lightning</t>
  </si>
  <si>
    <t>造成7点伤害。 生成1个闪电充能球。</t>
  </si>
  <si>
    <t>defect_barrage</t>
  </si>
  <si>
    <t>弹幕齐射</t>
  </si>
  <si>
    <t>Barrage</t>
  </si>
  <si>
    <t>当前每有一个充能球，造成5点伤害。</t>
  </si>
  <si>
    <t>defect_beam_cell</t>
  </si>
  <si>
    <t>光束射线</t>
  </si>
  <si>
    <t>Beam Cell</t>
  </si>
  <si>
    <t>造成3点伤害。 给予1层易伤。</t>
  </si>
  <si>
    <t>defect_biased_cognition</t>
  </si>
  <si>
    <t>偏差认知</t>
  </si>
  <si>
    <t>Biased Cognition</t>
  </si>
  <si>
    <t>获得5点集中。 在你的回合开始时，失去1点集中。</t>
  </si>
  <si>
    <t>defect_boost_away</t>
  </si>
  <si>
    <t>高速脱离</t>
  </si>
  <si>
    <t>Boost Away</t>
  </si>
  <si>
    <t>获得6点格挡。 将一张晕眩添加到你的弃牌堆中。</t>
  </si>
  <si>
    <t>defect_boot_sequence</t>
  </si>
  <si>
    <t>启动流程</t>
  </si>
  <si>
    <t>Boot Sequence</t>
  </si>
  <si>
    <t>获得10点格挡。</t>
  </si>
  <si>
    <t>defect_buffer</t>
  </si>
  <si>
    <t>缓冲</t>
  </si>
  <si>
    <t>Buffer</t>
  </si>
  <si>
    <t>阻止下1次你受到的生命值损伤。</t>
  </si>
  <si>
    <t>defect_bulk_up</t>
  </si>
  <si>
    <t>暴涨</t>
  </si>
  <si>
    <t>Bulk Up</t>
  </si>
  <si>
    <t>失去1个充能球栏位。 获得2点力量。 获得2点敏捷。</t>
  </si>
  <si>
    <t>defect_capacitor</t>
  </si>
  <si>
    <t>扩容</t>
  </si>
  <si>
    <t>Capacitor</t>
  </si>
  <si>
    <t>获得2个充能球栏位。</t>
  </si>
  <si>
    <t>defect_chaos</t>
  </si>
  <si>
    <t>混沌</t>
  </si>
  <si>
    <t>Chaos</t>
  </si>
  <si>
    <t>生成1个随机充能球。</t>
  </si>
  <si>
    <t>defect_charge_battery</t>
  </si>
  <si>
    <t>充电</t>
  </si>
  <si>
    <t>Charge Battery</t>
  </si>
  <si>
    <t>获得7点格挡。 在下个回合获得1点能量。</t>
  </si>
  <si>
    <t>defect_chill</t>
  </si>
  <si>
    <t>冰寒</t>
  </si>
  <si>
    <t>Chill</t>
  </si>
  <si>
    <t>当前每有一名敌人，就生成1个冰霜充能球。</t>
  </si>
  <si>
    <t>defect_claw</t>
  </si>
  <si>
    <t>爪击</t>
  </si>
  <si>
    <t>Claw</t>
  </si>
  <si>
    <t>造成3点伤害。 本场战斗中所有爪击卡牌的伤害增加2点。</t>
  </si>
  <si>
    <t>defect_cold_snap</t>
  </si>
  <si>
    <t>寒流</t>
  </si>
  <si>
    <t>Cold Snap</t>
  </si>
  <si>
    <t>造成6点伤害。 生成1个冰霜充能球。</t>
  </si>
  <si>
    <t>defect_compact</t>
  </si>
  <si>
    <t>压缩</t>
  </si>
  <si>
    <t>Compact</t>
  </si>
  <si>
    <t>获得6点格挡。 将你手牌中的全部状态牌变化为燃料。</t>
  </si>
  <si>
    <t>defect_compile_driver</t>
  </si>
  <si>
    <t>编译冲击</t>
  </si>
  <si>
    <t>Compile Driver</t>
  </si>
  <si>
    <t>造成7点伤害。 你每有一种不同的充能球，就抽一张牌。</t>
  </si>
  <si>
    <t>defect_consuming_shadow</t>
  </si>
  <si>
    <t>吞噬暗影</t>
  </si>
  <si>
    <t>Consuming Shadow</t>
  </si>
  <si>
    <t>生成2个黑暗充能球。 在你的回合结束时，激发你最左侧的充能球。</t>
  </si>
  <si>
    <t>defect_coolant</t>
  </si>
  <si>
    <t>冷却剂</t>
  </si>
  <si>
    <t>Coolant</t>
  </si>
  <si>
    <t>在你的回合开始时，你每有一种不同的充能球，就获得2点格挡。</t>
  </si>
  <si>
    <t>defect_coolheaded</t>
  </si>
  <si>
    <t>冷静头脑</t>
  </si>
  <si>
    <t>Coolheaded</t>
  </si>
  <si>
    <t>生成1个冰霜充能球。 抽1张牌。</t>
  </si>
  <si>
    <t>defect_creative_ai</t>
  </si>
  <si>
    <t>创造性AI</t>
  </si>
  <si>
    <t>Creative AI</t>
  </si>
  <si>
    <t>在你的回合开始时，将一张随机能力牌加入你的手牌。</t>
  </si>
  <si>
    <t>defect_darkness</t>
  </si>
  <si>
    <t>漆黑</t>
  </si>
  <si>
    <t>Darkness</t>
  </si>
  <si>
    <t>生成1黑暗充能球。 触发所有黑暗充能球的被动。</t>
  </si>
  <si>
    <t>defect_defend</t>
  </si>
  <si>
    <t>defect_defragment</t>
  </si>
  <si>
    <t>碎片整理</t>
  </si>
  <si>
    <t>Defragment</t>
  </si>
  <si>
    <t>获得1点集中。</t>
  </si>
  <si>
    <t>defect_double_energy</t>
  </si>
  <si>
    <t>双倍能量</t>
  </si>
  <si>
    <t>Double Energy</t>
  </si>
  <si>
    <t>将你的能量翻倍。</t>
  </si>
  <si>
    <t>defect_dualcast</t>
  </si>
  <si>
    <t>双重释放</t>
  </si>
  <si>
    <t>Dualcast</t>
  </si>
  <si>
    <t>激发你最右侧的充能球两次。</t>
  </si>
  <si>
    <t>defect_echo_form</t>
  </si>
  <si>
    <t>回响形态</t>
  </si>
  <si>
    <t>Echo Form</t>
  </si>
  <si>
    <t>你每回合打出的第一张牌会被打出两次。</t>
  </si>
  <si>
    <t>defect_energy_surge</t>
  </si>
  <si>
    <t>能量涌动</t>
  </si>
  <si>
    <t>Energy Surge</t>
  </si>
  <si>
    <t>所有玩家获得2点能量。</t>
  </si>
  <si>
    <t>defect_feral</t>
  </si>
  <si>
    <t>野性</t>
  </si>
  <si>
    <t>Feral</t>
  </si>
  <si>
    <t>你每回合打出的第一张 耗能为0Energy的攻击牌， 会放回你的手牌。</t>
  </si>
  <si>
    <t>defect_fight_through</t>
  </si>
  <si>
    <t>强撑</t>
  </si>
  <si>
    <t>Fight Through</t>
  </si>
  <si>
    <t>获得13点格挡。 将2张伤口加入你的弃牌堆。</t>
  </si>
  <si>
    <t>defect_flak_cannon</t>
  </si>
  <si>
    <t>散射炮</t>
  </si>
  <si>
    <t>Flak Cannon</t>
  </si>
  <si>
    <t>消耗你所有的状态牌。 每有一张被消耗的牌，就随机对敌人造成8点伤害。</t>
  </si>
  <si>
    <t>defect_focused_strike</t>
  </si>
  <si>
    <t>集中打击</t>
  </si>
  <si>
    <t>Focused Strike</t>
  </si>
  <si>
    <t>造成9点伤害。 在本回合获得1点集中。</t>
  </si>
  <si>
    <t>defect_ftl</t>
  </si>
  <si>
    <t>超光速</t>
  </si>
  <si>
    <t>FTL</t>
  </si>
  <si>
    <t>造成5点伤害。 如果你在这回合打出的牌数小于张，抽1张牌。</t>
  </si>
  <si>
    <t>defect_fusion</t>
  </si>
  <si>
    <t>聚变</t>
  </si>
  <si>
    <t>Fusion</t>
  </si>
  <si>
    <t>生成1个等离子充能球。</t>
  </si>
  <si>
    <t>defect_genetic_algorithm</t>
  </si>
  <si>
    <t>遗传算法</t>
  </si>
  <si>
    <t>Genetic Algorithm</t>
  </si>
  <si>
    <t>获得3点格挡。 每打出一次，这张牌在本局游戏中的格挡值永久增加3点。</t>
  </si>
  <si>
    <t>defect_glacier</t>
  </si>
  <si>
    <t>冰川</t>
  </si>
  <si>
    <t>Glacier</t>
  </si>
  <si>
    <t>获得6点格挡。 生成2个冰霜充能球。</t>
  </si>
  <si>
    <t>defect_glasswork</t>
  </si>
  <si>
    <t>玻璃工艺</t>
  </si>
  <si>
    <t>Glasswork</t>
  </si>
  <si>
    <t>获得5点格挡。 生成1个玻璃充能球。</t>
  </si>
  <si>
    <t>defect_go_for_the_eyes</t>
  </si>
  <si>
    <t>眼部攻击</t>
  </si>
  <si>
    <t>Go for the Eyes</t>
  </si>
  <si>
    <t>造成3点伤害。 如果敌人的意图是攻击，则给予1层虚弱。</t>
  </si>
  <si>
    <t>defect_gunk_up</t>
  </si>
  <si>
    <t>污秽攻击</t>
  </si>
  <si>
    <t>Gunk Up</t>
  </si>
  <si>
    <t>造成4点伤害3次。 在你的弃牌堆中加入一张黏液。</t>
  </si>
  <si>
    <t>defect_hailstorm</t>
  </si>
  <si>
    <t>冰雹风暴</t>
  </si>
  <si>
    <t>Hailstorm</t>
  </si>
  <si>
    <t>在你的回合结束时，如果你有冰霜充能球，则对所有敌人造成6点伤害。</t>
  </si>
  <si>
    <t>defect_helix_drill</t>
  </si>
  <si>
    <t>螺旋钻击</t>
  </si>
  <si>
    <t>Helix Drill</t>
  </si>
  <si>
    <t>在本回合中，每个被使用的能量，都会使此牌造成3点伤害一次。</t>
  </si>
  <si>
    <t>defect_hologram</t>
  </si>
  <si>
    <t>全息影像</t>
  </si>
  <si>
    <t>Hologram</t>
  </si>
  <si>
    <t>获得3点格挡。 将弃牌堆中的一张牌放入你的手牌。</t>
  </si>
  <si>
    <t>defect_hotfix</t>
  </si>
  <si>
    <t>热修复</t>
  </si>
  <si>
    <t>Hotfix</t>
  </si>
  <si>
    <t>在本回合获得2点集中。</t>
  </si>
  <si>
    <t>defect_hyperbeam</t>
  </si>
  <si>
    <t>超能光束</t>
  </si>
  <si>
    <t>Hyperbeam</t>
  </si>
  <si>
    <t>对所有敌人造成28点伤害。 失去3点集中。</t>
  </si>
  <si>
    <t>defect_ice_lance</t>
  </si>
  <si>
    <t>冰之长枪</t>
  </si>
  <si>
    <t>Ice Lance</t>
  </si>
  <si>
    <t>造成19点伤害。 生成3个冰霜充能球。</t>
  </si>
  <si>
    <t>defect_ignition</t>
  </si>
  <si>
    <t>引火</t>
  </si>
  <si>
    <t>Ignition</t>
  </si>
  <si>
    <t>使另一名玩家生成等离子充能球。</t>
  </si>
  <si>
    <t>defect_iteration</t>
  </si>
  <si>
    <t>迭代</t>
  </si>
  <si>
    <t>Iteration</t>
  </si>
  <si>
    <t>每回合你第一次抽到状态牌时，抽2张牌。</t>
  </si>
  <si>
    <t>defect_leap</t>
  </si>
  <si>
    <t>飞跃</t>
  </si>
  <si>
    <t>Leap</t>
  </si>
  <si>
    <t>获得9点格挡。</t>
  </si>
  <si>
    <t>defect_lightning_rod</t>
  </si>
  <si>
    <t>引雷针</t>
  </si>
  <si>
    <t>Lightning Rod</t>
  </si>
  <si>
    <t>获得4点格挡。 在下2个回合开始时,生成1个闪电充能球。</t>
  </si>
  <si>
    <t>defect_loop</t>
  </si>
  <si>
    <t>循环</t>
  </si>
  <si>
    <t>Loop</t>
  </si>
  <si>
    <t>在你的回合开始时，触发你最右侧的一个充能球的被动能力。</t>
  </si>
  <si>
    <t>defect_machine_learning</t>
  </si>
  <si>
    <t>机器学习</t>
  </si>
  <si>
    <t>Machine Learning</t>
  </si>
  <si>
    <t>在你的回合开始时，额外抽1张牌。</t>
  </si>
  <si>
    <t>defect_meteor_strike</t>
  </si>
  <si>
    <t>陨石打击</t>
  </si>
  <si>
    <t>Meteor Strike</t>
  </si>
  <si>
    <t>造成24点伤害。 生成3个等离子充能球。</t>
  </si>
  <si>
    <t>defect_modded</t>
  </si>
  <si>
    <t>模组改造</t>
  </si>
  <si>
    <t>Modded</t>
  </si>
  <si>
    <t>获得1个充能球栏位。 抽1张牌。这张牌的耗能加1。</t>
  </si>
  <si>
    <t>defect_momentum_strike</t>
  </si>
  <si>
    <t>趁势打击</t>
  </si>
  <si>
    <t>Momentum Strike</t>
  </si>
  <si>
    <t>造成10点伤害。 这张牌的耗能降为0</t>
  </si>
  <si>
    <t>defect_multi_cast</t>
  </si>
  <si>
    <t>多重释放</t>
  </si>
  <si>
    <t>Multi-Cast</t>
  </si>
  <si>
    <t>激发你最右侧的充能球X次。</t>
  </si>
  <si>
    <t>defect_null</t>
  </si>
  <si>
    <t>空值</t>
  </si>
  <si>
    <t>Null</t>
  </si>
  <si>
    <t>造成10点伤害。 给予2层虚弱。 生成1个黑暗充能球。</t>
  </si>
  <si>
    <t>defect_overclock</t>
  </si>
  <si>
    <t>超频</t>
  </si>
  <si>
    <t>Overclock</t>
  </si>
  <si>
    <t>抽2张牌。 将一张灼伤加入你的弃牌堆。</t>
  </si>
  <si>
    <t>defect_quadcast</t>
  </si>
  <si>
    <t>四重释放</t>
  </si>
  <si>
    <t>Quadcast</t>
  </si>
  <si>
    <t>激发你最右侧的充能球4次。</t>
  </si>
  <si>
    <t>defect_rainbow</t>
  </si>
  <si>
    <t>彩虹</t>
  </si>
  <si>
    <t>Rainbow</t>
  </si>
  <si>
    <t>生成1个闪电充能球。 生成1个冰霜充能球。 生成1个黑暗充能球。</t>
  </si>
  <si>
    <t>defect_reboot</t>
  </si>
  <si>
    <t>重启</t>
  </si>
  <si>
    <t>Reboot</t>
  </si>
  <si>
    <t>将你的所有未消耗的卡牌重新洗牌放入抽牌堆。 抽4张牌。</t>
  </si>
  <si>
    <t>defect_refract</t>
  </si>
  <si>
    <t>折射</t>
  </si>
  <si>
    <t>Refract</t>
  </si>
  <si>
    <t>造成10点伤害两次。 生成2个玻璃充能球。</t>
  </si>
  <si>
    <t>defect_rocket_punch</t>
  </si>
  <si>
    <t>火箭飞拳</t>
  </si>
  <si>
    <t>Rocket Punch</t>
  </si>
  <si>
    <t>造成13点伤害。 抽1张牌。 每当你生成状态牌时，此牌的耗能将在下一次打出前减少1点能量。</t>
  </si>
  <si>
    <t>defect_scavenge</t>
  </si>
  <si>
    <t>内存清理</t>
  </si>
  <si>
    <t>Scavenge</t>
  </si>
  <si>
    <t>消耗一张牌。 在下个回合获得2点能量</t>
  </si>
  <si>
    <t>defect_scrape</t>
  </si>
  <si>
    <t>刮削</t>
  </si>
  <si>
    <t>Scrape</t>
  </si>
  <si>
    <t>造成7点伤害。 抽4张牌。 丢弃抽到的牌中耗能不为0费的牌。</t>
  </si>
  <si>
    <t>defect_shadow_shield</t>
  </si>
  <si>
    <t>暗影之盾</t>
  </si>
  <si>
    <t>Shadow Shield</t>
  </si>
  <si>
    <t>获得11点格挡。 生成1个黑暗充能球。</t>
  </si>
  <si>
    <t>defect_shatter</t>
  </si>
  <si>
    <t>打碎</t>
  </si>
  <si>
    <t>Shatter</t>
  </si>
  <si>
    <t>对所有敌人造成7点伤害。 激发你的所有充能球两次。</t>
  </si>
  <si>
    <t>defect_signal_boost</t>
  </si>
  <si>
    <t>信号增强</t>
  </si>
  <si>
    <t>Signal Boost</t>
  </si>
  <si>
    <t>你的下一张能力牌会额外打出一次。</t>
  </si>
  <si>
    <t>defect_skim</t>
  </si>
  <si>
    <t>快速检索</t>
  </si>
  <si>
    <t>Skim</t>
  </si>
  <si>
    <t>抽3张牌。</t>
  </si>
  <si>
    <t>defect_smokestack</t>
  </si>
  <si>
    <t>烟囱</t>
  </si>
  <si>
    <t>Smokestack</t>
  </si>
  <si>
    <t>每当你生成一张状态牌时，对所有敌人造成5点伤害。</t>
  </si>
  <si>
    <t>defect_spinner</t>
  </si>
  <si>
    <t>旋转工艺</t>
  </si>
  <si>
    <t>Spinner</t>
  </si>
  <si>
    <t>在你的回合开始时，生成1个玻璃充能球。</t>
  </si>
  <si>
    <t>defect_storm</t>
  </si>
  <si>
    <t>雷暴</t>
  </si>
  <si>
    <t>Storm</t>
  </si>
  <si>
    <t>每当你打出一张能力牌时，生成1个闪电充能球。</t>
  </si>
  <si>
    <t>defect_strike</t>
  </si>
  <si>
    <t>造成六点伤害。</t>
  </si>
  <si>
    <t>defect_subroutine</t>
  </si>
  <si>
    <t>子程序</t>
  </si>
  <si>
    <t>Subroutine</t>
  </si>
  <si>
    <t>当你打出一张能力牌时，获得1点能量。</t>
  </si>
  <si>
    <t>defect_sunder</t>
  </si>
  <si>
    <t>分离</t>
  </si>
  <si>
    <t>Sunder</t>
  </si>
  <si>
    <t>造成24点伤害。 如果这张牌击杀了敌人，则获得3点能量。</t>
  </si>
  <si>
    <t>defect_supercritical</t>
  </si>
  <si>
    <t>超临界态</t>
  </si>
  <si>
    <t>Supercritical</t>
  </si>
  <si>
    <t>获得4点能量。</t>
  </si>
  <si>
    <t>defect_sweeping_beam</t>
  </si>
  <si>
    <t>扫荡射线</t>
  </si>
  <si>
    <t>Sweeping Beam</t>
  </si>
  <si>
    <t>对所有敌人造成6点伤害。 抽1张牌。</t>
  </si>
  <si>
    <t>defect_synchronize</t>
  </si>
  <si>
    <t>同步</t>
  </si>
  <si>
    <t>Synchronize</t>
  </si>
  <si>
    <t>你每有一种不同的充能球，就在本回合获得2点集中。</t>
  </si>
  <si>
    <t>defect_synthesis</t>
  </si>
  <si>
    <t>合成</t>
  </si>
  <si>
    <t>Synthesis</t>
  </si>
  <si>
    <t>造成12点伤害。 你打出的下一张能力牌耗能变为0费。</t>
  </si>
  <si>
    <t>defect_tempest</t>
  </si>
  <si>
    <t>暴风雨</t>
  </si>
  <si>
    <t>Tempest</t>
  </si>
  <si>
    <t>生成X个闪电充能球。</t>
  </si>
  <si>
    <t>regent_alignment</t>
  </si>
  <si>
    <t>储君</t>
  </si>
  <si>
    <t>星位序列</t>
  </si>
  <si>
    <t>Alignment</t>
  </si>
  <si>
    <t>获得2点能量。</t>
  </si>
  <si>
    <t>regent_arsenal</t>
  </si>
  <si>
    <t>武器库</t>
  </si>
  <si>
    <t>Arsenal</t>
  </si>
  <si>
    <t>每当你生成一张牌，就获得1点力量。</t>
  </si>
  <si>
    <t>regent_astral_pulse</t>
  </si>
  <si>
    <t>星界脉冲</t>
  </si>
  <si>
    <t>Astral Pulse</t>
  </si>
  <si>
    <t>对所有敌人造成14点伤害。</t>
  </si>
  <si>
    <t>regent_beat_into_shape</t>
  </si>
  <si>
    <t>锻打成型</t>
  </si>
  <si>
    <t>Beat into Shape</t>
  </si>
  <si>
    <t>造成5点伤害。 铸造5。 本回合内，你此前每击中过该敌人一次，这张牌就额外铸造5点。</t>
  </si>
  <si>
    <t>regent_begone</t>
  </si>
  <si>
    <t>下去！</t>
  </si>
  <si>
    <t>BEGONE!</t>
  </si>
  <si>
    <t>选择你手牌中的一张牌，将其变化为仆从打击。</t>
  </si>
  <si>
    <t>regent_big_bang</t>
  </si>
  <si>
    <t>大爆炸</t>
  </si>
  <si>
    <t>Big Bang</t>
  </si>
  <si>
    <t>抽1张牌。 获得1点能量。 获得1点星辉。 铸造5。</t>
  </si>
  <si>
    <t>regent_black_hole</t>
  </si>
  <si>
    <t>黑洞</t>
  </si>
  <si>
    <t>Black Hole</t>
  </si>
  <si>
    <t>每当你花费或获得星辉时，对所有敌人造成3点伤害。</t>
  </si>
  <si>
    <t>regent_bombardment</t>
  </si>
  <si>
    <t>轰击</t>
  </si>
  <si>
    <t>Bombardment</t>
  </si>
  <si>
    <t>造成18点伤害。 你的回合开始时，如果这张牌在你的消耗牌堆中，则将其打出。</t>
  </si>
  <si>
    <t>regent_bulwark</t>
  </si>
  <si>
    <t>Bulwark</t>
  </si>
  <si>
    <t>获得12点格挡。 铸造10。</t>
  </si>
  <si>
    <t>regent_bundle_of_joy</t>
  </si>
  <si>
    <t>新生之喜</t>
  </si>
  <si>
    <t>Bundle of Joy</t>
  </si>
  <si>
    <t>将3张随机无色牌添加到你的手牌。</t>
  </si>
  <si>
    <t>regent_celestial_might</t>
  </si>
  <si>
    <t>天穹之力</t>
  </si>
  <si>
    <t>Celestial Might</t>
  </si>
  <si>
    <t>造成6点伤害3次。</t>
  </si>
  <si>
    <t>regent_charge</t>
  </si>
  <si>
    <t>冲锋！！</t>
  </si>
  <si>
    <t>CHARGE!!</t>
  </si>
  <si>
    <t>选择你抽牌堆中的2张牌，将其变化为 仆从俯冲。</t>
  </si>
  <si>
    <t>regent_child_of_the_stars</t>
  </si>
  <si>
    <t>群星之子</t>
  </si>
  <si>
    <t>Child of the Stars</t>
  </si>
  <si>
    <t>每当你花费星辉时，每花费一点星辉，获得2点格挡。</t>
  </si>
  <si>
    <t>regent_cloak_of_stars</t>
  </si>
  <si>
    <t>群星斗篷</t>
  </si>
  <si>
    <t>Cloak of Stars</t>
  </si>
  <si>
    <t>获得7点格挡。</t>
  </si>
  <si>
    <t>regent_collision_course</t>
  </si>
  <si>
    <t>碰撞轨迹</t>
  </si>
  <si>
    <t>Collision Course</t>
  </si>
  <si>
    <t>造成11点伤害。 将一张碎屑添加至你的手牌。</t>
  </si>
  <si>
    <t>regent_comet</t>
  </si>
  <si>
    <t>彗星</t>
  </si>
  <si>
    <t>Comet</t>
  </si>
  <si>
    <t>造成33点伤害。 给予3层虚弱。 给予3层易伤。</t>
  </si>
  <si>
    <t>regent_conqueror</t>
  </si>
  <si>
    <t>征服者</t>
  </si>
  <si>
    <t>Conqueror</t>
  </si>
  <si>
    <t>铸造3。 君王之剑在本回合对敌人造成双倍伤害。</t>
  </si>
  <si>
    <t>regent_convergence</t>
  </si>
  <si>
    <t>汇流</t>
  </si>
  <si>
    <t>Convergence</t>
  </si>
  <si>
    <t>在本回合保留你的手牌。 在下个回合，获得能量与星辉。</t>
  </si>
  <si>
    <t>regent_cosmic_indifference</t>
  </si>
  <si>
    <t>宇宙冷漠</t>
  </si>
  <si>
    <t>Cosmic Indifference</t>
  </si>
  <si>
    <t>获得6点格挡。 将弃牌堆中的一张牌放到你的抽牌堆的顶部。</t>
  </si>
  <si>
    <t>regent_crash_landing</t>
  </si>
  <si>
    <t>坠落</t>
  </si>
  <si>
    <t>Crash Landing</t>
  </si>
  <si>
    <t>对所有敌人造成21点伤害。 用碎屑填满你的手牌。</t>
  </si>
  <si>
    <t>regent_crescent_spear</t>
  </si>
  <si>
    <t>新月长矛</t>
  </si>
  <si>
    <t>Crescent Spear</t>
  </si>
  <si>
    <t>造成8点伤害。 你每有一张拥有星辉耗能的卡牌，这张牌就额外造成2点伤害。</t>
  </si>
  <si>
    <t>regent_crush_under</t>
  </si>
  <si>
    <t>下砸</t>
  </si>
  <si>
    <t>Crush Under</t>
  </si>
  <si>
    <t>对所有敌人造成8点伤害。所有敌人在本回合失去1点力量。</t>
  </si>
  <si>
    <t>减敌方力量1(本回合)</t>
  </si>
  <si>
    <t>regent_decisions_decisions</t>
  </si>
  <si>
    <t>抉择</t>
  </si>
  <si>
    <t>Decisions, Decisions</t>
  </si>
  <si>
    <t>抽3张牌。 选择你手牌中的一张技能牌，并将其打出3次。</t>
  </si>
  <si>
    <t>regent_defend</t>
  </si>
  <si>
    <t>regent_devastate</t>
  </si>
  <si>
    <t>葬送</t>
  </si>
  <si>
    <t>Devastate</t>
  </si>
  <si>
    <t>造成30点伤害。</t>
  </si>
  <si>
    <t>regent_dying_star</t>
  </si>
  <si>
    <t>星灭</t>
  </si>
  <si>
    <t>Dying Star</t>
  </si>
  <si>
    <t>对所有敌人造成9点伤害。所有敌人在本回合中失去9点力量。</t>
  </si>
  <si>
    <t>减敌方力量9(本回合)</t>
  </si>
  <si>
    <t>regent_falling_star</t>
  </si>
  <si>
    <t>陨星</t>
  </si>
  <si>
    <t>Falling Star</t>
  </si>
  <si>
    <t>造成8点伤害。 给予1层虚弱。 给予1层易伤。</t>
  </si>
  <si>
    <t>regent_foregone_conclusion</t>
  </si>
  <si>
    <t>既定事项</t>
  </si>
  <si>
    <t>Foregone Conclusion</t>
  </si>
  <si>
    <t>在下个回合，从你的抽牌堆中选择2张牌放入你的手牌。</t>
  </si>
  <si>
    <t>regent_furnace</t>
  </si>
  <si>
    <t>熔炉</t>
  </si>
  <si>
    <t>Furnace</t>
  </si>
  <si>
    <t>在你的回合开始时，铸造4。</t>
  </si>
  <si>
    <t>regent_gamma_blast</t>
  </si>
  <si>
    <t>伽马爆破</t>
  </si>
  <si>
    <t>Gamma Blast</t>
  </si>
  <si>
    <t>造成13点伤害。 给予2层虚弱。 给予2层易伤。</t>
  </si>
  <si>
    <t>regent_gather_light</t>
  </si>
  <si>
    <t>收集光辉</t>
  </si>
  <si>
    <t>Gather Light</t>
  </si>
  <si>
    <t>获得8点格挡。 获得1点星辉。</t>
  </si>
  <si>
    <t>regent_genesis</t>
  </si>
  <si>
    <t>创世纪</t>
  </si>
  <si>
    <t>Genesis</t>
  </si>
  <si>
    <t>在你的回合开始时，获得2点星辉。</t>
  </si>
  <si>
    <t>regent_glimmer</t>
  </si>
  <si>
    <t>微光</t>
  </si>
  <si>
    <t>Glimmer</t>
  </si>
  <si>
    <t>抽3张牌。 将你手牌中的张牌放到抽牌堆顶部。</t>
  </si>
  <si>
    <t>regent_glitterstream</t>
  </si>
  <si>
    <t>流光溢彩</t>
  </si>
  <si>
    <t>Glitterstream</t>
  </si>
  <si>
    <t>获得11点格挡。 在下一回合获得7点格挡。</t>
  </si>
  <si>
    <t>regent_glow</t>
  </si>
  <si>
    <t>辉光</t>
  </si>
  <si>
    <t>Glow</t>
  </si>
  <si>
    <t>获得1点星辉。 抽1张牌。 下一回合抽1张牌。</t>
  </si>
  <si>
    <t>regent_guards</t>
  </si>
  <si>
    <t>护驾！！！</t>
  </si>
  <si>
    <t>GUARDS!!!</t>
  </si>
  <si>
    <t>将你手牌中的任意张牌变化为仆从捐躯。</t>
  </si>
  <si>
    <t>regent_guiding_star</t>
  </si>
  <si>
    <t>引导之星</t>
  </si>
  <si>
    <t>Guiding Star</t>
  </si>
  <si>
    <t>造成12点伤害。 抽2张牌。</t>
  </si>
  <si>
    <t>regent_hammer_time</t>
  </si>
  <si>
    <t>锤子时间</t>
  </si>
  <si>
    <t>Hammer Time</t>
  </si>
  <si>
    <t>每当你铸造时，所有盟友也都铸造相同的数值。</t>
  </si>
  <si>
    <t>regent_heavenly_drill</t>
  </si>
  <si>
    <t>天际钻头</t>
  </si>
  <si>
    <t>Heavenly Drill</t>
  </si>
  <si>
    <t>造成8点伤害X次。 如果X的最终数值为4或以上，则将X的数值翻倍。</t>
  </si>
  <si>
    <t>regent_hegemony</t>
  </si>
  <si>
    <t>霸权</t>
  </si>
  <si>
    <t>Hegemony</t>
  </si>
  <si>
    <t>造成15点伤害。 在下个回合获得2点能量。</t>
  </si>
  <si>
    <t>regent_heirloom_hammer</t>
  </si>
  <si>
    <t>传承之锤</t>
  </si>
  <si>
    <t>Heirloom Hammer</t>
  </si>
  <si>
    <t>造成20点伤害。 选择你手牌中的一张无色牌。将这张牌的一张复制品放入你的手牌。</t>
  </si>
  <si>
    <t>regent_hidden_cache</t>
  </si>
  <si>
    <t>隐秘藏品</t>
  </si>
  <si>
    <t>Hidden Cache</t>
  </si>
  <si>
    <t>获得星辉。 在下个回合获得3点星辉。</t>
  </si>
  <si>
    <t>regent_i_am_invincible</t>
  </si>
  <si>
    <t>所向无敌</t>
  </si>
  <si>
    <t>I Am Invincible</t>
  </si>
  <si>
    <t>获得10点格挡。 在你的回合结束时，如果这张牌位于抽牌堆顶部，则将其打出。</t>
  </si>
  <si>
    <t>regent_kingly_kick</t>
  </si>
  <si>
    <t>王者之踢</t>
  </si>
  <si>
    <t>Kingly Kick</t>
  </si>
  <si>
    <t>造成27点伤害。 每当你抽到这张牌时，这张牌的耗能减少1。</t>
  </si>
  <si>
    <t>regent_kingly_punch</t>
  </si>
  <si>
    <t>王者之拳</t>
  </si>
  <si>
    <t>Kingly Punch</t>
  </si>
  <si>
    <t>造成8点伤害。 每当你抽到这张牌时，在这场战斗中其伤害增加。</t>
  </si>
  <si>
    <t>regent_knockout_blow</t>
  </si>
  <si>
    <t>决胜一击</t>
  </si>
  <si>
    <t>Knockout Blow</t>
  </si>
  <si>
    <t>造成30点伤害。 如果此牌击杀了敌人，获得5点能量。</t>
  </si>
  <si>
    <t>regent_know_thy_place</t>
  </si>
  <si>
    <t>何人僭越</t>
  </si>
  <si>
    <t>Know Thy Place</t>
  </si>
  <si>
    <t>给予1层虚弱。 给予1层易伤。</t>
  </si>
  <si>
    <t>regent_largesse</t>
  </si>
  <si>
    <t>慷慨捐助</t>
  </si>
  <si>
    <t>Largesse</t>
  </si>
  <si>
    <t>将一张随机的无色牌添加至一位其他玩家的手牌中。</t>
  </si>
  <si>
    <t>regent_lunar_blast</t>
  </si>
  <si>
    <t>月面射击</t>
  </si>
  <si>
    <t>Lunar Blast</t>
  </si>
  <si>
    <t>本回合中每打出过一张技能牌，此牌额外造成4点伤害一次。</t>
  </si>
  <si>
    <t>regent_make_it_so</t>
  </si>
  <si>
    <t>如此甚好</t>
  </si>
  <si>
    <t>Make It So</t>
  </si>
  <si>
    <t>造成6点伤害。 你每在一回合内打出3张技能牌，就将这张牌放入你的手牌。</t>
  </si>
  <si>
    <t>regent_manifest_authority</t>
  </si>
  <si>
    <t>君权自授</t>
  </si>
  <si>
    <t>Manifest Authority</t>
  </si>
  <si>
    <t>获得7点格挡。 将一张随机无色牌加入你的手牌。</t>
  </si>
  <si>
    <t>regent_meteor_shower</t>
  </si>
  <si>
    <t>流星雨</t>
  </si>
  <si>
    <t>Meteor Shower</t>
  </si>
  <si>
    <t>对所有敌人造成14点伤害。 给予所有敌人2层虚弱和易伤。</t>
  </si>
  <si>
    <t>regent_monarch_s_gaze</t>
  </si>
  <si>
    <t>王之凝视</t>
  </si>
  <si>
    <t>Monarch's Gaze</t>
  </si>
  <si>
    <t>每次攻击减少敌人一点攻击力。</t>
  </si>
  <si>
    <t>本回合，能力</t>
  </si>
  <si>
    <t>regent_monologue</t>
  </si>
  <si>
    <t>独白</t>
  </si>
  <si>
    <t>Monologue</t>
  </si>
  <si>
    <t>每当你在本回合打出卡牌时，在本回合获得1点力量。</t>
  </si>
  <si>
    <t>regent_neutron_aegis</t>
  </si>
  <si>
    <t>中子护盾</t>
  </si>
  <si>
    <t>Neutron Aegis</t>
  </si>
  <si>
    <t>获得8层覆甲。</t>
  </si>
  <si>
    <t>regent_orbit</t>
  </si>
  <si>
    <t>环绕轨道</t>
  </si>
  <si>
    <t>Orbit</t>
  </si>
  <si>
    <t>你每花费4能量， 就获得1能量。</t>
  </si>
  <si>
    <t>regent_pale_blue_dot</t>
  </si>
  <si>
    <t>暗淡蓝点</t>
  </si>
  <si>
    <t>Pale Blue Dot</t>
  </si>
  <si>
    <t>如果你在一回合内打出了大于等于5张牌，在下个回合开始时抽1张牌。</t>
  </si>
  <si>
    <t>regent_parry</t>
  </si>
  <si>
    <t>招架</t>
  </si>
  <si>
    <t>Parry</t>
  </si>
  <si>
    <t>君王之剑现在能让你获得10点格挡。</t>
  </si>
  <si>
    <t>regent_particle_wall</t>
  </si>
  <si>
    <t>粒子墙</t>
  </si>
  <si>
    <t>Particle Wall</t>
  </si>
  <si>
    <t>获得9点格挡。 将此牌返回你的手牌。</t>
  </si>
  <si>
    <t>regent_patter</t>
  </si>
  <si>
    <t>星星点点</t>
  </si>
  <si>
    <t>Patter</t>
  </si>
  <si>
    <t>获得8点格挡。 获得2点活力。</t>
  </si>
  <si>
    <t>regent_photon_cut</t>
  </si>
  <si>
    <t>光子切割</t>
  </si>
  <si>
    <t>Photon Cut</t>
  </si>
  <si>
    <t>造成10点伤害。 抽1张牌。 将手牌中的一张牌放到抽牌堆顶部。</t>
  </si>
  <si>
    <t>regent_pillar_of_creation</t>
  </si>
  <si>
    <t>创世之柱</t>
  </si>
  <si>
    <t>Pillar of Creation</t>
  </si>
  <si>
    <t>你每次生成卡牌时，获得2点格挡。</t>
  </si>
  <si>
    <t>regent_prophesize</t>
  </si>
  <si>
    <t>预言</t>
  </si>
  <si>
    <t>Prophesize</t>
  </si>
  <si>
    <t>抽6张牌。</t>
  </si>
  <si>
    <t>regent_quasar</t>
  </si>
  <si>
    <t>类星体</t>
  </si>
  <si>
    <t>Quasar</t>
  </si>
  <si>
    <t>从3张随机无色牌中选择1张加入你的手牌。</t>
  </si>
  <si>
    <t>regent_radiate</t>
  </si>
  <si>
    <t>辐射</t>
  </si>
  <si>
    <t>Radiate</t>
  </si>
  <si>
    <t>你在本回合每获得一点星辉，此牌就对所有敌人造成3点伤害一次。</t>
  </si>
  <si>
    <t>regent_refine_blade</t>
  </si>
  <si>
    <t>淬炼刀刃</t>
  </si>
  <si>
    <t>Refine Blade</t>
  </si>
  <si>
    <t>铸造9。 在下个回合获得1点能量。</t>
  </si>
  <si>
    <t>regent_reflect</t>
  </si>
  <si>
    <t>倒映</t>
  </si>
  <si>
    <t>Reflect</t>
  </si>
  <si>
    <t>获得15格挡，反弹护盾阻挡的伤害。</t>
  </si>
  <si>
    <t>regent_resonance</t>
  </si>
  <si>
    <t>共鸣</t>
  </si>
  <si>
    <t>Resonance</t>
  </si>
  <si>
    <t>获得1点力量。所有敌人失去1点力量。</t>
  </si>
  <si>
    <t>减敌方力量1</t>
  </si>
  <si>
    <t>regent_royal_gamble</t>
  </si>
  <si>
    <t>胜券在王</t>
  </si>
  <si>
    <t>Royal Gamble</t>
  </si>
  <si>
    <t>获得9点星辉。</t>
  </si>
  <si>
    <t>regent_royalties</t>
  </si>
  <si>
    <t>王国资产</t>
  </si>
  <si>
    <t>Royalties</t>
  </si>
  <si>
    <t>在战斗结束时，获得30金币。</t>
  </si>
  <si>
    <t>regent_seeking_edge</t>
  </si>
  <si>
    <t>追踪之刃</t>
  </si>
  <si>
    <t>Seeking Edge</t>
  </si>
  <si>
    <t>铸造7。 君王之剑现在会对所有敌人造成伤害。</t>
  </si>
  <si>
    <t>regent_seven_stars</t>
  </si>
  <si>
    <t>七星</t>
  </si>
  <si>
    <t>Seven Stars</t>
  </si>
  <si>
    <t>对所有敌人造成7点伤害7次。</t>
  </si>
  <si>
    <t>regent_shining_strike</t>
  </si>
  <si>
    <t>明耀打击</t>
  </si>
  <si>
    <t>Shining Strike</t>
  </si>
  <si>
    <t>造成8点伤害。 获得星辉。 将这张牌放置于你的抽牌堆顶部。</t>
  </si>
  <si>
    <t>regent_solar_strike</t>
  </si>
  <si>
    <t>太阳打击</t>
  </si>
  <si>
    <t>Solar Strike</t>
  </si>
  <si>
    <t>造成9点伤害。 获得星辉。</t>
  </si>
  <si>
    <t>regent_spectrum_shift</t>
  </si>
  <si>
    <t>光谱偏移</t>
  </si>
  <si>
    <t>Spectrum Shift</t>
  </si>
  <si>
    <t>在你的回合开始时，将1张随机无色牌添加到你的手牌中。</t>
  </si>
  <si>
    <t>regent_spoils_of_battle</t>
  </si>
  <si>
    <t>战利品</t>
  </si>
  <si>
    <t>Spoils of Battle</t>
  </si>
  <si>
    <t>铸造5。 抽2张牌。</t>
  </si>
  <si>
    <t>regent_stardust</t>
  </si>
  <si>
    <t>星尘</t>
  </si>
  <si>
    <t>Stardust</t>
  </si>
  <si>
    <t>随机对敌人造成5点伤害X次。</t>
  </si>
  <si>
    <t>regent_strike</t>
  </si>
  <si>
    <t>regent_summon_forth</t>
  </si>
  <si>
    <t>征召上前</t>
  </si>
  <si>
    <t>Summon Forth</t>
  </si>
  <si>
    <t>铸造8。 不论何处，将君王之剑放入你的手牌。</t>
  </si>
  <si>
    <t>regent_supermassive</t>
  </si>
  <si>
    <t>超质量体</t>
  </si>
  <si>
    <t>Supermassive</t>
  </si>
  <si>
    <t>造成5点伤害。 你在本场战斗中每生成过一张牌，这张牌就额外造成3点伤害。</t>
  </si>
  <si>
    <t>necrobinder_afterlife</t>
  </si>
  <si>
    <t>亡灵契约师</t>
  </si>
  <si>
    <t>来生</t>
  </si>
  <si>
    <t>Afterlife</t>
  </si>
  <si>
    <t>召唤6。</t>
  </si>
  <si>
    <t>necrobinder_banshee_s_cry</t>
  </si>
  <si>
    <t>女妖之嚎</t>
  </si>
  <si>
    <t>Banshee's Cry</t>
  </si>
  <si>
    <t>对所有敌人造成33点伤害。 本场战斗中每打出过一张虚无牌，此牌的耗能就减少2点。</t>
  </si>
  <si>
    <t>necrobinder_blight_strike</t>
  </si>
  <si>
    <t>荒疫打击</t>
  </si>
  <si>
    <t>Blight Strike</t>
  </si>
  <si>
    <t>造成8点伤害。 给予等量于所造成伤害的灾厄。</t>
  </si>
  <si>
    <t>necrobinder_bodyguard</t>
  </si>
  <si>
    <t>护卫</t>
  </si>
  <si>
    <t>Bodyguard</t>
  </si>
  <si>
    <t>召唤5。</t>
  </si>
  <si>
    <t>necrobinder_bone_shards</t>
  </si>
  <si>
    <t>碎骨</t>
  </si>
  <si>
    <t>Bone Shards</t>
  </si>
  <si>
    <t>如果奥斯提存活，则他对所有敌人造成9点伤害并且你获得9点格挡。 然后奥斯提死去。</t>
  </si>
  <si>
    <t>necrobinder_borrowed_time</t>
  </si>
  <si>
    <t>预借时间</t>
  </si>
  <si>
    <t>Borrowed Time</t>
  </si>
  <si>
    <t>获得4点能量。 卡牌在本回合耗能增加一点。</t>
  </si>
  <si>
    <t>necrobinder_bury</t>
  </si>
  <si>
    <t>埋葬</t>
  </si>
  <si>
    <t>Bury</t>
  </si>
  <si>
    <t>造成52点伤害。</t>
  </si>
  <si>
    <t>necrobinder_calcify</t>
  </si>
  <si>
    <t>钙化</t>
  </si>
  <si>
    <t>Calcify</t>
  </si>
  <si>
    <t>奥斯提的攻击额外造成4点伤害。</t>
  </si>
  <si>
    <t>necrobinder_call_of_the_void</t>
  </si>
  <si>
    <t>虚空之唤</t>
  </si>
  <si>
    <t>Call of the Void</t>
  </si>
  <si>
    <t>在你的回合开始时，将1张随机牌添加到你的手牌中。添加的牌会获得虚无。</t>
  </si>
  <si>
    <t>necrobinder_capture_spirit</t>
  </si>
  <si>
    <t>捕捉灵魂</t>
  </si>
  <si>
    <t>Capture Spirit</t>
  </si>
  <si>
    <t>敌人失去3点生命。 将3张灵魂加入你的抽牌堆。</t>
  </si>
  <si>
    <t>necrobinder_cleanse</t>
  </si>
  <si>
    <t>洁净</t>
  </si>
  <si>
    <t>Cleanse</t>
  </si>
  <si>
    <t>召唤3。 从你的抽牌堆中选择一张牌将其消耗。</t>
  </si>
  <si>
    <t>necrobinder_countdown</t>
  </si>
  <si>
    <t>倒数计时</t>
  </si>
  <si>
    <t>Countdown</t>
  </si>
  <si>
    <t>在你的回合开始时，给予随机敌人6层灾厄。</t>
  </si>
  <si>
    <t>necrobinder_danse_macabre</t>
  </si>
  <si>
    <t>死亡之舞</t>
  </si>
  <si>
    <t>Danse Macabre</t>
  </si>
  <si>
    <t>每当你打出一张耗能大于等于2点能量的牌时，获得4点格挡。</t>
  </si>
  <si>
    <t>necrobinder_death_march</t>
  </si>
  <si>
    <t>死亡行军</t>
  </si>
  <si>
    <t>Death March</t>
  </si>
  <si>
    <t>造成8点伤害。 你在回合进行中每抽到一张牌，都会使其额外造成3点伤害。</t>
  </si>
  <si>
    <t>necrobinder_deathbringer</t>
  </si>
  <si>
    <t>死亡使者</t>
  </si>
  <si>
    <t>Deathbringer</t>
  </si>
  <si>
    <t>给予所有敌人21层灾厄和1层虚弱。</t>
  </si>
  <si>
    <t>necrobinder_death_s_door</t>
  </si>
  <si>
    <t>死亡之门</t>
  </si>
  <si>
    <t>Death's Door</t>
  </si>
  <si>
    <t>获得6点格挡。 如果你在本回合中曾给予过灾厄，则额外获得2次格挡。</t>
  </si>
  <si>
    <t>necrobinder_debilitate</t>
  </si>
  <si>
    <t>摧残</t>
  </si>
  <si>
    <t>Debilitate</t>
  </si>
  <si>
    <t>造成10点伤害。 在接下来的3回合内，该敌人身上的易伤与虚弱效果翻倍。</t>
  </si>
  <si>
    <t>此处近似于额外3回合虚弱与易伤</t>
  </si>
  <si>
    <t>necrobinder_defend</t>
  </si>
  <si>
    <t>necrobinder_defile</t>
  </si>
  <si>
    <t>玷污</t>
  </si>
  <si>
    <t>Defile</t>
  </si>
  <si>
    <t>造成13点伤害。</t>
  </si>
  <si>
    <t>necrobinder_defy</t>
  </si>
  <si>
    <t>违逆</t>
  </si>
  <si>
    <t>Defy</t>
  </si>
  <si>
    <t>获得6点格挡。 给予1层虚弱。</t>
  </si>
  <si>
    <t>necrobinder_delay</t>
  </si>
  <si>
    <t>延迟</t>
  </si>
  <si>
    <t>Delay</t>
  </si>
  <si>
    <t>获得11点格挡。 在下个回合，获得能量。</t>
  </si>
  <si>
    <t>necrobinder_demesne</t>
  </si>
  <si>
    <t>领地</t>
  </si>
  <si>
    <t>Demesne</t>
  </si>
  <si>
    <t>在你的回合开始时，获得能量并额外多抽1张牌。</t>
  </si>
  <si>
    <t>necrobinder_devour_life</t>
  </si>
  <si>
    <t>吞噬生命</t>
  </si>
  <si>
    <t>Devour Life</t>
  </si>
  <si>
    <t>每当你打出一张灵魂时，召唤1。</t>
  </si>
  <si>
    <t>necrobinder_dirge</t>
  </si>
  <si>
    <t>挽歌</t>
  </si>
  <si>
    <t>Dirge</t>
  </si>
  <si>
    <t>召唤3X次。 将X张灵魂添加到你的抽牌堆中。</t>
  </si>
  <si>
    <t>3X</t>
  </si>
  <si>
    <t>necrobinder_drain_power</t>
  </si>
  <si>
    <t>汲取力量</t>
  </si>
  <si>
    <t>Drain Power</t>
  </si>
  <si>
    <t>造成10点伤害。 随机升级你弃牌堆中的2张牌。</t>
  </si>
  <si>
    <t>necrobinder_dredge</t>
  </si>
  <si>
    <t>清淤</t>
  </si>
  <si>
    <t>Dredge</t>
  </si>
  <si>
    <t>将3张牌从弃牌堆加入你的手牌。</t>
  </si>
  <si>
    <t>necrobinder_eidolon</t>
  </si>
  <si>
    <t>幻景</t>
  </si>
  <si>
    <t>Eidolon</t>
  </si>
  <si>
    <t>打出你消耗牌堆中的所有虚无牌。</t>
  </si>
  <si>
    <t>necrobinder_end_of_days</t>
  </si>
  <si>
    <t>末日降临</t>
  </si>
  <si>
    <t>End of Days</t>
  </si>
  <si>
    <t>给予所有敌人29层灾厄。 杀死所有灾厄大于等于当前生命值的敌人。</t>
  </si>
  <si>
    <t>necrobinder_enfeebling_touch</t>
  </si>
  <si>
    <t>弱化之触</t>
  </si>
  <si>
    <t>Enfeebling Touch</t>
  </si>
  <si>
    <t>让一名敌人在本回合内失去点力量。</t>
  </si>
  <si>
    <t>减敌方力量8(本回合)</t>
  </si>
  <si>
    <t>necrobinder_eradicate</t>
  </si>
  <si>
    <t>根除</t>
  </si>
  <si>
    <t>Eradicate</t>
  </si>
  <si>
    <t>造成11点伤害X次。</t>
  </si>
  <si>
    <t>necrobinder_fear</t>
  </si>
  <si>
    <t>恐惧</t>
  </si>
  <si>
    <t>Fear</t>
  </si>
  <si>
    <t>造成7点伤害。 给予1层易伤。</t>
  </si>
  <si>
    <t>necrobinder_fetch</t>
  </si>
  <si>
    <t>取回</t>
  </si>
  <si>
    <t>Fetch</t>
  </si>
  <si>
    <t>奥斯提造成3点伤害。 如果这是这张牌第一次在本回合被打出，则抽1张牌。</t>
  </si>
  <si>
    <t>necrobinder_flatten</t>
  </si>
  <si>
    <t>压扁</t>
  </si>
  <si>
    <t>Flatten</t>
  </si>
  <si>
    <t>奥斯提造成12点伤害。 如果奥斯提本回合攻击过，则这张牌的耗能变为0费。</t>
  </si>
  <si>
    <t>necrobinder_forbidden_grimoire</t>
  </si>
  <si>
    <t>禁忌魔典</t>
  </si>
  <si>
    <t>Forbidden Grimoire</t>
  </si>
  <si>
    <t>在战斗结束时，你可以从你的牌组中选一张牌移除。</t>
  </si>
  <si>
    <t>necrobinder_friendship</t>
  </si>
  <si>
    <t>友谊</t>
  </si>
  <si>
    <t>Friendship</t>
  </si>
  <si>
    <t>失去2点力量。 在每个回合开始时获得1点能量。</t>
  </si>
  <si>
    <t>necrobinder_glimpse_beyond</t>
  </si>
  <si>
    <t>彼岸一瞥</t>
  </si>
  <si>
    <t>Glimpse Beyond</t>
  </si>
  <si>
    <t>在所有玩家的抽牌堆中加入3张灵魂。</t>
  </si>
  <si>
    <t>necrobinder_grave_warden</t>
  </si>
  <si>
    <t>守墓人</t>
  </si>
  <si>
    <t>Grave Warden</t>
  </si>
  <si>
    <t>获得8点格挡。 将一张灵魂放入你的抽牌堆中。</t>
  </si>
  <si>
    <t>necrobinder_graveblast</t>
  </si>
  <si>
    <t>坟冢爆射</t>
  </si>
  <si>
    <t>Graveblast</t>
  </si>
  <si>
    <t>造成4点伤害。 将弃牌堆中的一张牌放入你的手牌。</t>
  </si>
  <si>
    <t>necrobinder_hang</t>
  </si>
  <si>
    <t>绞杀</t>
  </si>
  <si>
    <t>Hang</t>
  </si>
  <si>
    <t>造成10点伤害。 让所有“吊杀”牌对这名敌人造成的伤害翻倍。</t>
  </si>
  <si>
    <t>necrobinder_haunt</t>
  </si>
  <si>
    <t>纠缠</t>
  </si>
  <si>
    <t>Haunt</t>
  </si>
  <si>
    <t>每当你打出一张灵魂时，随机一名敌人失去6点生命。</t>
  </si>
  <si>
    <t>necrobinder_high_five</t>
  </si>
  <si>
    <t>击掌</t>
  </si>
  <si>
    <t>High Five</t>
  </si>
  <si>
    <t>奥斯提对所有敌人 造成11点伤害并给予它们 2层易伤。</t>
  </si>
  <si>
    <t>necrobinder_invoke</t>
  </si>
  <si>
    <t>唤起</t>
  </si>
  <si>
    <t>Invoke</t>
  </si>
  <si>
    <t>在下个回合召唤2并获得2费。</t>
  </si>
  <si>
    <t>necrobinder_legion_of_bone</t>
  </si>
  <si>
    <t>骸骨军团</t>
  </si>
  <si>
    <t>Legion of Bone</t>
  </si>
  <si>
    <t>所有玩家召唤6。</t>
  </si>
  <si>
    <t>player_all</t>
  </si>
  <si>
    <t>necrobinder_lethality</t>
  </si>
  <si>
    <t>致死性</t>
  </si>
  <si>
    <t>Lethality</t>
  </si>
  <si>
    <t>每回合的第一张攻击牌会造成50%额外伤害。</t>
  </si>
  <si>
    <t>necrobinder_melancholy</t>
  </si>
  <si>
    <t>忧郁</t>
  </si>
  <si>
    <t>Melancholy</t>
  </si>
  <si>
    <t>获得13点格挡。 每当有任何生物死亡时，这张牌的耗能减少1点。</t>
  </si>
  <si>
    <t>necrobinder_misery</t>
  </si>
  <si>
    <t>苦难</t>
  </si>
  <si>
    <t>Misery</t>
  </si>
  <si>
    <t>造成7点伤害。 给予其他敌人该名敌人身上的所有负面效果。</t>
  </si>
  <si>
    <t>necrobinder_necro_mastery</t>
  </si>
  <si>
    <t>亡灵精通</t>
  </si>
  <si>
    <t>Necro Mastery</t>
  </si>
  <si>
    <t>召唤5。 每当奥斯提失去生命值时， 所有敌人失去等量生命值。</t>
  </si>
  <si>
    <t>necrobinder_negative_pulse</t>
  </si>
  <si>
    <t>负面脉冲</t>
  </si>
  <si>
    <t>Negative Pulse</t>
  </si>
  <si>
    <t>获得5点格挡。 给予所有敌人7层灾厄。</t>
  </si>
  <si>
    <t>necrobinder_neurosurge</t>
  </si>
  <si>
    <t>神经涌动</t>
  </si>
  <si>
    <t>Neurosurge</t>
  </si>
  <si>
    <t>获得3点能量。 抽2张牌。 在你的回合开始时，给予自身3层灾厄。</t>
  </si>
  <si>
    <t>necrobinder_no_escape</t>
  </si>
  <si>
    <t>无处可逃</t>
  </si>
  <si>
    <t>No Escape</t>
  </si>
  <si>
    <t>给予10层灾厄，敌人身上每有层灾厄，则额外给予这名敌人5层灾厄。</t>
  </si>
  <si>
    <t>necrobinder_oblivion</t>
  </si>
  <si>
    <t>湮灭</t>
  </si>
  <si>
    <t>Oblivion</t>
  </si>
  <si>
    <t>打出此牌后，你在本回合内每打出一张牌，就给予该敌人3层灾厄。</t>
  </si>
  <si>
    <t>necrobinder_pagestorm</t>
  </si>
  <si>
    <t>书页风暴</t>
  </si>
  <si>
    <t>Pagestorm</t>
  </si>
  <si>
    <t>每当你抽到一张虚无牌时, 抽1张牌。</t>
  </si>
  <si>
    <t>necrobinder_parse</t>
  </si>
  <si>
    <t>领会</t>
  </si>
  <si>
    <t>Parse</t>
  </si>
  <si>
    <t>necrobinder_poke</t>
  </si>
  <si>
    <t>戳击</t>
  </si>
  <si>
    <t>Poke</t>
  </si>
  <si>
    <t>奥斯提造成6点伤害。</t>
  </si>
  <si>
    <t>necrobinder_protector</t>
  </si>
  <si>
    <t>守护者</t>
  </si>
  <si>
    <t>Protector</t>
  </si>
  <si>
    <t>奥斯提造成10点伤害。 额外造成等量于奥斯提最大生命值的伤害。</t>
  </si>
  <si>
    <t>necrobinder_pull_aggro</t>
  </si>
  <si>
    <t>吸引仇恨</t>
  </si>
  <si>
    <t>Pull Aggro</t>
  </si>
  <si>
    <t>召唤4。 获得7点格挡。</t>
  </si>
  <si>
    <t>necrobinder_pull_from_below</t>
  </si>
  <si>
    <t>亡魂牵引</t>
  </si>
  <si>
    <t>Pull from Below</t>
  </si>
  <si>
    <t>本场战斗中每打出过一张虚无牌，此牌就造成5点伤害一次。</t>
  </si>
  <si>
    <t>necrobinder_putrefy</t>
  </si>
  <si>
    <t>腐败</t>
  </si>
  <si>
    <t>Putrefy</t>
  </si>
  <si>
    <t>necrobinder_rattle</t>
  </si>
  <si>
    <t>猛晃</t>
  </si>
  <si>
    <t>Rattle</t>
  </si>
  <si>
    <t>奥斯提造成7点伤害。 本回合每使用过一次奥斯提攻击牌，此牌就额外造成一次伤害。</t>
  </si>
  <si>
    <t>necrobinder_reanimate</t>
  </si>
  <si>
    <t>死者苏生</t>
  </si>
  <si>
    <t>Reanimate</t>
  </si>
  <si>
    <t>召唤20。</t>
  </si>
  <si>
    <t>necrobinder_reap</t>
  </si>
  <si>
    <t>Reap</t>
  </si>
  <si>
    <t>造成27点伤害。</t>
  </si>
  <si>
    <t>necrobinder_reaper_form</t>
  </si>
  <si>
    <t>死神形态</t>
  </si>
  <si>
    <t>Reaper Form</t>
  </si>
  <si>
    <t>每当你的攻击造成伤害时，同时给予等量的灾厄。</t>
  </si>
  <si>
    <t>necrobinder_reave</t>
  </si>
  <si>
    <t>剥夺</t>
  </si>
  <si>
    <t>Reave</t>
  </si>
  <si>
    <t>造成9点伤害。 将一张灵魂加入你的抽牌堆。</t>
  </si>
  <si>
    <t>necrobinder_right_hand_hand</t>
  </si>
  <si>
    <t>得力助手</t>
  </si>
  <si>
    <t>Right Hand Hand</t>
  </si>
  <si>
    <t>奥斯提造成4点伤害。 每当你打出耗能为2点能量或以上的牌，将此牌从弃牌堆放回你的手牌。</t>
  </si>
  <si>
    <t>necrobinder_sacrifice</t>
  </si>
  <si>
    <t>牺牲</t>
  </si>
  <si>
    <t>Sacrifice</t>
  </si>
  <si>
    <t>如果奥斯提存活，则他死去，然后你获得等量于其最大生命值三倍的格挡。</t>
  </si>
  <si>
    <t>necrobinder_scourge</t>
  </si>
  <si>
    <t>鞭打</t>
  </si>
  <si>
    <t>Scourge</t>
  </si>
  <si>
    <t>给予13层灾厄。 抽1张牌。</t>
  </si>
  <si>
    <t>necrobinder_sculpting_strike</t>
  </si>
  <si>
    <t>雕琢打击</t>
  </si>
  <si>
    <t>Sculpting Strike</t>
  </si>
  <si>
    <t>造成9点伤害。 为一张手牌添加虚无。</t>
  </si>
  <si>
    <t>necrobinder_seance</t>
  </si>
  <si>
    <t>降灵</t>
  </si>
  <si>
    <t>Seance</t>
  </si>
  <si>
    <t>将你抽牌堆中的一张牌变化为灵魂。</t>
  </si>
  <si>
    <t>necrobinder_sentry_mode</t>
  </si>
  <si>
    <t>哨兵模式</t>
  </si>
  <si>
    <t>Sentry Mode</t>
  </si>
  <si>
    <t>在你的回合开始时，将1张扫荡凝视加入你的手牌。</t>
  </si>
  <si>
    <t>necrobinder_severance</t>
  </si>
  <si>
    <t>切断</t>
  </si>
  <si>
    <t>Severance</t>
  </si>
  <si>
    <t>造成13点伤害。 将一张灵魂分别加入你的抽牌堆，手牌和弃牌堆中。</t>
  </si>
  <si>
    <t>necrobinder_shared_fate</t>
  </si>
  <si>
    <t>命运同担</t>
  </si>
  <si>
    <t>Shared Fate</t>
  </si>
  <si>
    <t>失去2点力量。 敌人失去2点力量。</t>
  </si>
  <si>
    <t>necrobinder_shroud</t>
  </si>
  <si>
    <t>厄运之衣</t>
  </si>
  <si>
    <t>Shroud</t>
  </si>
  <si>
    <t>每当你给予灾厄时，获得2点格挡。</t>
  </si>
  <si>
    <t>necrobinder_sic_em</t>
  </si>
  <si>
    <t>紧追不放</t>
  </si>
  <si>
    <t>Sic 'Em</t>
  </si>
  <si>
    <t>奥斯提造成5点伤害，本回合内每当奥斯提攻击这名敌人时，召唤3。</t>
  </si>
  <si>
    <t>necrobinder_sleight_of_flesh</t>
  </si>
  <si>
    <t>血肉戏法</t>
  </si>
  <si>
    <t>Sleight of Flesh</t>
  </si>
  <si>
    <t>每当你给予一个敌人负面状态时，使其受到9点伤害。</t>
  </si>
  <si>
    <t>necrobinder_snap</t>
  </si>
  <si>
    <t>响指</t>
  </si>
  <si>
    <t>Snap</t>
  </si>
  <si>
    <t>奥斯提造成7点伤害。 给手牌中的一张牌添加保留。</t>
  </si>
  <si>
    <t>necrobinder_soul_storm</t>
  </si>
  <si>
    <t>灵魂风暴</t>
  </si>
  <si>
    <t>Soul Storm</t>
  </si>
  <si>
    <t>造成9点伤害。 你的消耗牌堆中每有一张灵魂，伤害增加2。</t>
  </si>
  <si>
    <t>necrobinder_sow</t>
  </si>
  <si>
    <t>播种</t>
  </si>
  <si>
    <t>Sow</t>
  </si>
  <si>
    <t>对所有敌人造成8点伤害。</t>
  </si>
  <si>
    <t>necrobinder_spirit_of_ash</t>
  </si>
  <si>
    <t>灰烬之灵</t>
  </si>
  <si>
    <t>Spirit of Ash</t>
  </si>
  <si>
    <t>每当你打出一张虚无牌时，获得4点格挡。</t>
  </si>
  <si>
    <t>necrobinder_spur</t>
  </si>
  <si>
    <t>增生</t>
  </si>
  <si>
    <t>Spur</t>
  </si>
  <si>
    <t>召唤3。 奥斯提回复5点生命。</t>
  </si>
  <si>
    <t>necrobinder_squeeze</t>
  </si>
  <si>
    <t>榨取</t>
  </si>
  <si>
    <t>Squeeze</t>
  </si>
  <si>
    <t>奥斯提造成25点伤害。 你每有一张奥斯提的攻击牌，这张牌就额外造成5点伤害。</t>
  </si>
  <si>
    <t>行号</t>
  </si>
  <si>
    <t>是否保留持续</t>
  </si>
  <si>
    <t>核心标签</t>
  </si>
  <si>
    <t>等效费基础</t>
  </si>
  <si>
    <t>等效费升级</t>
  </si>
  <si>
    <t>即时价值基础（攻击/技能用）</t>
  </si>
  <si>
    <t>持续价值基础（能力持续用）</t>
  </si>
  <si>
    <t>资源总价值基础</t>
  </si>
  <si>
    <t>即时价值升级</t>
  </si>
  <si>
    <t>持续价值升级</t>
  </si>
  <si>
    <t>资源总价值升级</t>
  </si>
  <si>
    <t>牌效分基础</t>
  </si>
  <si>
    <t>牌效分升级</t>
  </si>
  <si>
    <t>备注</t>
  </si>
  <si>
    <t>参数</t>
  </si>
  <si>
    <t>当前值</t>
  </si>
  <si>
    <t>含义</t>
  </si>
  <si>
    <t>持续回合基数</t>
  </si>
  <si>
    <t>假设能力持续牌平均生效约4回合</t>
  </si>
  <si>
    <t>能力复用系数(持续每回合)</t>
  </si>
  <si>
    <t>能力持续牌的额外每回合复用价值系数,卡牌总表AY/牌效I/L已引用</t>
  </si>
  <si>
    <t>假设平均手牌攻击牌数量</t>
  </si>
  <si>
    <t>伤害系数</t>
  </si>
  <si>
    <t>1点伤害 = 1价值，伤害重要但是高数值的防御更加难得</t>
  </si>
  <si>
    <t>格挡系数</t>
  </si>
  <si>
    <t>格挡系数(略降,1格挡≈1伤害减免) [原值1.1]</t>
  </si>
  <si>
    <t>抽牌系数</t>
  </si>
  <si>
    <t>1抽牌 = 0.7价值，过牌有价值但不直接解决场面/血量</t>
  </si>
  <si>
    <t>能量资源系数</t>
  </si>
  <si>
    <t>能量资源系数(1能量≈3价值,原5过高) [原值3]</t>
  </si>
  <si>
    <t>生命护甲系数</t>
  </si>
  <si>
    <t>生命/护甲类回复或获得按高价值折算，防止低估生存</t>
  </si>
  <si>
    <t>费用或减益折算系数</t>
  </si>
  <si>
    <t>费用或减益折算系数(与能量对齐) [原值3]</t>
  </si>
  <si>
    <t>易伤强化输出系数</t>
  </si>
  <si>
    <t>易伤/强化输出类增益比普通伤害更有放大价值</t>
  </si>
  <si>
    <t>能力增益系数</t>
  </si>
  <si>
    <t>能力增益系数(力量每层×1.2,原1.5过高) [原值1.2]</t>
  </si>
  <si>
    <t>负面减益系数</t>
  </si>
  <si>
    <t>负面减益系数(虚弱/易伤每层1.5,原2过高) [原值1.5]</t>
  </si>
  <si>
    <t>弃牌代价扣除系数(正值)</t>
  </si>
  <si>
    <t>弃牌的代价系数,直接用正值,公式里前置"-"),原-0.3符号错误</t>
  </si>
  <si>
    <t>临时升级单张基础当量</t>
  </si>
  <si>
    <t>临时升级单张升级当量</t>
  </si>
  <si>
    <t>递减收益阈值</t>
  </si>
  <si>
    <t>递减收益阈值(产出&gt;10即递减,原15太高导致中高牌堆积) [原值10]</t>
  </si>
  <si>
    <t>递减收益系数</t>
  </si>
  <si>
    <t>递减收益系数(递减更平缓,原2太陡) [原值1.5]</t>
  </si>
  <si>
    <t>迫降平均生成状态数</t>
  </si>
  <si>
    <t>假设卡组有x张星辉牌</t>
  </si>
  <si>
    <t>平均打出技能牌</t>
  </si>
  <si>
    <t>平均打出攻击牌</t>
  </si>
  <si>
    <t>平均出牌</t>
  </si>
  <si>
    <t>假设每回合能量</t>
  </si>
  <si>
    <t>一局平均创造卡牌数量</t>
  </si>
  <si>
    <t>假设平均每回合得到星辉</t>
  </si>
  <si>
    <t>平均每回合能打出大于等于2能量的牌的数量</t>
  </si>
  <si>
    <t>平均一回合抽到的牌(紫人)</t>
  </si>
  <si>
    <t>吊杀平均系数</t>
  </si>
  <si>
    <t>敌人平均灾厄水平</t>
  </si>
  <si>
    <t>虚无牌平均每回合抽到</t>
  </si>
  <si>
    <t>奥斯提平均血上限</t>
  </si>
  <si>
    <t>奥斯提每回合平均攻击次数</t>
  </si>
  <si>
    <t>敌人平均每回合被给予灾厄的次数</t>
  </si>
  <si>
    <t>敌人平均每回合被给予负面次数</t>
  </si>
  <si>
    <t>消耗堆灵魂平均数</t>
  </si>
  <si>
    <t>卡组含奥斯提平均张数</t>
  </si>
  <si>
    <t>召唤价值系数</t>
  </si>
  <si>
    <t>召唤单位的基础价值系数,卡牌总表AY列AU项/牌效计算表I列AU项已引用</t>
  </si>
  <si>
    <t>星辉价值系数</t>
  </si>
  <si>
    <t>玩家获得星辉(正数)的价值系数,与易伤B11分开,独立可调</t>
  </si>
  <si>
    <t>中毒价值系数</t>
  </si>
  <si>
    <t>中毒(每回合稳定伤害debuff)单层价值,1=等同于1点即时伤害。中毒直接扣血不衰减,实战优于灾厄,故保持1,高于灾厄(B44)</t>
  </si>
  <si>
    <t>失去生命代价系数</t>
  </si>
  <si>
    <t>玩家失去1点生命的扣分项系数,区别于最大生命提升(B9=20)</t>
  </si>
  <si>
    <t>平均消耗牌堆数量</t>
  </si>
  <si>
    <t>战斗中消耗牌堆累积的典型数量(终端牌如灰烬打击用:B42*每张加成)</t>
  </si>
  <si>
    <t>平均每回合消耗牌数</t>
  </si>
  <si>
    <t>每回合消耗的牌数(黑暗之拥/无惧疼痛等触发型能力用)</t>
  </si>
  <si>
    <t>灾厄价值系数</t>
  </si>
  <si>
    <t>充能球平均价值</t>
  </si>
  <si>
    <t>每个充能球的平均即时+被动综合价值(伤害+格挡等)</t>
  </si>
  <si>
    <t>铸造价值系数(每点)</t>
  </si>
  <si>
    <t>1点铸造的对应价值(渐进升级收益)</t>
  </si>
  <si>
    <t>变化/生成牌平均价值</t>
  </si>
  <si>
    <t>变化生成1张牌的平均价值(≈1费中等牌)</t>
  </si>
  <si>
    <t>复制/额外打出牌平均价值</t>
  </si>
  <si>
    <t>复制或额外打出1张牌的平均价值</t>
  </si>
  <si>
    <t>平均手牌数(弃牌用)</t>
  </si>
  <si>
    <t>打出牌时的平均手牌数(添柴/计算下注/暗影步等)</t>
  </si>
  <si>
    <t>产出价值 AY =  递减( Σ各效果价值 - Σ各类代价 )</t>
  </si>
  <si>
    <t>即时基础价值 = 伤害M×段数O×B5 + 格挡P×B6 + 抽牌R×B7 + 能量V×B8</t>
  </si>
  <si>
    <t>+</t>
  </si>
  <si>
    <t>正星辉X×B39 + 正力量AE×B12×回合数B2</t>
  </si>
  <si>
    <t>临时升级AQ×B15 + 易伤AB×B11</t>
  </si>
  <si>
    <t>中毒AF×B40(1)×B2 + 灾厄AG×B44(0.7)×B2  (灾厄实战弱,系数低于中毒)</t>
  </si>
  <si>
    <t>敏捷AH×B6×B2 + 集中AI×B39×B2</t>
  </si>
  <si>
    <t>覆甲AJ×B6×B2</t>
  </si>
  <si>
    <t>虚弱Z×B13 + 召唤AU×B38</t>
  </si>
  <si>
    <t>系数</t>
  </si>
  <si>
    <t>值</t>
  </si>
  <si>
    <t xml:space="preserve">B5=1 </t>
  </si>
  <si>
    <t xml:space="preserve">伤害系数 </t>
  </si>
  <si>
    <t>1伤≈1价值(基准锚点)</t>
  </si>
  <si>
    <t>B6=1.1</t>
  </si>
  <si>
    <t>格挡略&gt;伤害(1格挡稳定减免1伤)</t>
  </si>
  <si>
    <t>B7=0.7</t>
  </si>
  <si>
    <t>抽1张≈0.7费价值</t>
  </si>
  <si>
    <t>B8=3</t>
  </si>
  <si>
    <t>能量系数</t>
  </si>
  <si>
    <t>1能量≈3价值</t>
  </si>
  <si>
    <t>B39=1.3</t>
  </si>
  <si>
    <t>星辉系数</t>
  </si>
  <si>
    <t>星辉&gt;伤害(多功能资源)</t>
  </si>
  <si>
    <t>B12=1.2</t>
  </si>
  <si>
    <t>力量系数</t>
  </si>
  <si>
    <t>每回合持续,故×B2=4回合</t>
  </si>
  <si>
    <t>B40=1 / B44=0.7</t>
  </si>
  <si>
    <t>中毒1 / 灾厄0.7(灾厄弱于中毒)</t>
  </si>
  <si>
    <t>每回合持续伤害debuff</t>
  </si>
  <si>
    <t>B13=1.5</t>
  </si>
  <si>
    <t>减益系数</t>
  </si>
  <si>
    <t>虚弱/易伤给敌人,比正面debuff折损小</t>
  </si>
  <si>
    <t>B38=1</t>
  </si>
  <si>
    <t>召唤系数</t>
  </si>
  <si>
    <t>召唤物单价值</t>
  </si>
  <si>
    <t>扣分项 = - 弃牌T×B14(0.3) - 生成状态牌AD×B13(1.5)</t>
  </si>
  <si>
    <t xml:space="preserve">        - 失去生命AV×B41(3) - 消耗牌数AW×B14(0.3)</t>
  </si>
  <si>
    <t xml:space="preserve">        - 负星辉X×B13(1.5,双倍扣) - 负力量AE×B13×B2</t>
  </si>
  <si>
    <t>能力持续牌放大</t>
  </si>
  <si>
    <t>持续增益倍率 MUL = 4 (B2=4)</t>
  </si>
  <si>
    <t>固定补偿值 = (B2-1)×B3 = 3×1.2 = 3.6</t>
  </si>
  <si>
    <t>递减收益(关键平衡)</t>
  </si>
  <si>
    <t>若 原始价值 ≤ 10(B17阈值): 直接用</t>
  </si>
  <si>
    <t>若 原始价值 &gt; 10:         AY = 10 + √(原始价值-10) × 1.5(B18系数)</t>
  </si>
  <si>
    <t>实战差异:</t>
  </si>
  <si>
    <t>版本基于v0.110.1，部分能力卡不好评估</t>
    <phoneticPr fontId="1" type="noConversion"/>
  </si>
  <si>
    <t>倾泻</t>
    <phoneticPr fontId="1" type="noConversion"/>
  </si>
  <si>
    <t>领域</t>
    <phoneticPr fontId="1" type="noConversion"/>
  </si>
  <si>
    <t>拖延</t>
    <phoneticPr fontId="1" type="noConversion"/>
  </si>
  <si>
    <t>灾厄(每回合伤害debuff)单层价值系数。灾厄面板数值通常高但实战: 触发比中毒晚/结算复杂 降为0.7(低于中毒B40=1,更低于直接伤害1),有"不如直接出伤"的实际体感</t>
    <phoneticPr fontId="1" type="noConversion"/>
  </si>
  <si>
    <t>毒/灾厄区分说明</t>
    <phoneticPr fontId="1" type="noConversion"/>
  </si>
  <si>
    <t>灾厄 = 面板层数高但结算晚/需堆积才见效 → 系数 0.7(打折30%)</t>
    <phoneticPr fontId="1" type="noConversion"/>
  </si>
  <si>
    <t>中毒 = 直接扣血,每回合稳定,被治疗抵消少 → 系数 1(等同直接伤害)</t>
    <phoneticPr fontId="1" type="noConversion"/>
  </si>
  <si>
    <t>目的: 避免"灾厄层数高=牌效虚高"导致模型高估一堆高灾厄牌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</si>
</sst>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等线"/>
      <charset val="134"/>
    </font>
    <font>
      <i/>
      <sz val="11"/>
      <color rgb="FF666666"/>
      <name val="等线"/>
      <charset val="134"/>
    </font>
    <font>
      <b/>
      <sz val="11"/>
      <color rgb="FFCC0000"/>
      <name val="等线"/>
      <charset val="134"/>
    </font>
    <font>
      <b/>
      <sz val="11"/>
      <name val="等线"/>
      <charset val="134"/>
    </font>
    <font>
      <b/>
      <sz val="11"/>
      <color rgb="FF0066CC"/>
      <name val="等线"/>
      <charset val="134"/>
    </font>
    <font>
      <i/>
      <sz val="11"/>
      <color rgb="FF555555"/>
      <name val="等线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0F8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A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10" borderId="1" xfId="0" applyFont="1" applyFill="1" applyBorder="1"/>
    <xf numFmtId="0" fontId="6" fillId="10" borderId="1" xfId="0" applyFont="1" applyFill="1" applyBorder="1"/>
    <xf numFmtId="0" fontId="0" fillId="10" borderId="1" xfId="0" applyFill="1" applyBorder="1"/>
    <xf numFmtId="0" fontId="4" fillId="0" borderId="0" xfId="0" applyFont="1"/>
    <xf numFmtId="0" fontId="0" fillId="0" borderId="0" xfId="0"/>
    <xf numFmtId="0" fontId="5" fillId="11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AC99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01"/>
  <sheetViews>
    <sheetView topLeftCell="A307" zoomScaleNormal="100" workbookViewId="0">
      <selection activeCell="I11" sqref="I11"/>
    </sheetView>
  </sheetViews>
  <sheetFormatPr defaultRowHeight="14" x14ac:dyDescent="0.3"/>
  <cols>
    <col min="1" max="1" width="5.08203125" bestFit="1" customWidth="1"/>
    <col min="2" max="2" width="18.25" bestFit="1" customWidth="1"/>
    <col min="3" max="4" width="10.4140625" bestFit="1" customWidth="1"/>
    <col min="5" max="5" width="18.5" bestFit="1" customWidth="1"/>
    <col min="6" max="6" width="5.08203125" bestFit="1" customWidth="1"/>
    <col min="7" max="7" width="6.9140625" bestFit="1" customWidth="1"/>
    <col min="8" max="8" width="8.83203125" bestFit="1" customWidth="1"/>
    <col min="9" max="9" width="11.6640625" bestFit="1" customWidth="1"/>
    <col min="10" max="10" width="60.9140625" customWidth="1"/>
    <col min="11" max="11" width="31" bestFit="1" customWidth="1"/>
    <col min="12" max="12" width="13.6640625" bestFit="1" customWidth="1"/>
    <col min="13" max="17" width="8.83203125" bestFit="1" customWidth="1"/>
    <col min="18" max="21" width="10.75" bestFit="1" customWidth="1"/>
    <col min="22" max="23" width="14.75" bestFit="1" customWidth="1"/>
    <col min="24" max="24" width="8.83203125" bestFit="1" customWidth="1"/>
    <col min="25" max="25" width="12.75" bestFit="1" customWidth="1"/>
    <col min="26" max="26" width="16.83203125" bestFit="1" customWidth="1"/>
    <col min="27" max="27" width="12.75" bestFit="1" customWidth="1"/>
    <col min="28" max="28" width="16.83203125" bestFit="1" customWidth="1"/>
    <col min="29" max="29" width="12.75" bestFit="1" customWidth="1"/>
    <col min="30" max="30" width="10.75" bestFit="1" customWidth="1"/>
    <col min="31" max="37" width="8.83203125" bestFit="1" customWidth="1"/>
    <col min="38" max="38" width="13.5" bestFit="1" customWidth="1"/>
    <col min="39" max="39" width="9.1640625" bestFit="1" customWidth="1"/>
    <col min="40" max="40" width="31" bestFit="1" customWidth="1"/>
    <col min="41" max="41" width="35.9140625" bestFit="1" customWidth="1"/>
    <col min="42" max="42" width="14.75" bestFit="1" customWidth="1"/>
    <col min="43" max="44" width="16.83203125" bestFit="1" customWidth="1"/>
    <col min="45" max="45" width="5.08203125" bestFit="1" customWidth="1"/>
    <col min="46" max="46" width="15.1640625" bestFit="1" customWidth="1"/>
    <col min="51" max="51" width="15" bestFit="1" customWidth="1"/>
    <col min="52" max="52" width="16.25" bestFit="1" customWidth="1"/>
    <col min="53" max="53" width="12.33203125" bestFit="1" customWidth="1"/>
  </cols>
  <sheetData>
    <row r="1" spans="1:53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3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Y1" t="s">
        <v>101</v>
      </c>
      <c r="AZ1" t="s">
        <v>102</v>
      </c>
      <c r="BA1" t="s">
        <v>103</v>
      </c>
    </row>
    <row r="2" spans="1:53" s="14" customFormat="1" x14ac:dyDescent="0.3">
      <c r="A2" s="14">
        <v>1</v>
      </c>
      <c r="B2" s="14" t="s">
        <v>104</v>
      </c>
      <c r="C2" s="14" t="s">
        <v>105</v>
      </c>
      <c r="D2" s="14" t="s">
        <v>106</v>
      </c>
      <c r="E2" s="14" t="s">
        <v>107</v>
      </c>
      <c r="F2" s="14" t="s">
        <v>108</v>
      </c>
      <c r="G2" s="14" t="s">
        <v>8</v>
      </c>
      <c r="H2" s="14">
        <v>1</v>
      </c>
      <c r="I2" s="14">
        <v>1</v>
      </c>
      <c r="J2" s="14" t="s">
        <v>109</v>
      </c>
      <c r="K2" s="14" t="s">
        <v>110</v>
      </c>
      <c r="L2" s="14" t="s">
        <v>111</v>
      </c>
      <c r="M2" s="14">
        <v>6</v>
      </c>
      <c r="N2" s="14">
        <v>9</v>
      </c>
      <c r="O2" s="14">
        <v>1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 t="s">
        <v>112</v>
      </c>
      <c r="AL2" s="14">
        <v>0</v>
      </c>
      <c r="AO2" s="14" t="s">
        <v>1855</v>
      </c>
      <c r="AP2" s="14">
        <f t="shared" ref="AP2:AP65" si="0">IF(ISNUMBER(H2),IF(AND(H2=0,V2=0,AK2="none"),0.4,IF(AK2="exhaust",MAX(H2-V2,0.4),IF(AK2="ethereal",MAX(H2-V2,0.4),MAX(H2-V2,0.4)))),IF(AND(AK2="exhaust",OR(H2="X",H2="∞")),0.4,IF(OR(H2="X",H2="∞"),0.4,0.4)))</f>
        <v>1</v>
      </c>
      <c r="AQ2" s="14">
        <v>0</v>
      </c>
      <c r="AR2" s="14">
        <v>0</v>
      </c>
      <c r="AT2" s="14" t="s">
        <v>113</v>
      </c>
      <c r="AU2" s="14">
        <v>0</v>
      </c>
      <c r="AY2" s="14">
        <f>IFERROR(MAX(IF(IF(AND(F2="能力",AL2="能力持续"),(参数!$B$2-1)*参数!$B$3,0)+M2*O2*参数!$B$5*IF(AND(F2="能力",AL2="能力持续"),参数!$B$2,1)+P2*参数!$B$6*IF(AND(F2="能力",AL2="能力持续"),参数!$B$2,1)+R2*参数!$B$7*IF(AND(F2="能力",AL2="能力持续"),参数!$B$2,1)+V2*参数!$B$8+IF(X2&lt;0,X2*参数!$B$13,X2*参数!$B$39)+IF(AE2&lt;0,AE2*参数!$B$13,AE2*参数!$B$12)*参数!$B$2+AQ2*参数!$B$15+AB2*参数!$B$11+AF2*参数!$B$40*参数!$B$2+AG2*参数!$B$44*参数!$B$2+AH2*参数!$B$6*参数!$B$2+AI2*参数!$B$39*参数!$B$2+AJ2*参数!$B$6*参数!$B$2+Z2*参数!$B$13-T2*参数!$B$14-AD2*参数!$B$13+IF(ISNUMBER(AU2),AU2*参数!$B$38,0)-AV2*参数!$B$41-AW2*参数!$B$14&gt;参数!$B$17,参数!$B$17+SQRT(IF(AND(F2="能力",AL2="能力持续"),(参数!$B$2-1)*参数!$B$3,0)+M2*O2*参数!$B$5*IF(AND(F2="能力",AL2="能力持续"),参数!$B$2,1)+P2*参数!$B$6*IF(AND(F2="能力",AL2="能力持续"),参数!$B$2,1)+R2*参数!$B$7*IF(AND(F2="能力",AL2="能力持续"),参数!$B$2,1)+V2*参数!$B$8+IF(X2&lt;0,X2*参数!$B$13,X2*参数!$B$39)+IF(AE2&lt;0,AE2*参数!$B$13,AE2*参数!$B$12)*参数!$B$2+AQ2*参数!$B$15+AB2*参数!$B$11+AF2*参数!$B$40*参数!$B$2+AG2*参数!$B$44*参数!$B$2+AH2*参数!$B$6*参数!$B$2+AI2*参数!$B$39*参数!$B$2+AJ2*参数!$B$6*参数!$B$2+Z2*参数!$B$13-T2*参数!$B$14-AD2*参数!$B$13+IF(ISNUMBER(AU2),AU2*参数!$B$38,0)-AV2*参数!$B$41-AW2*参数!$B$14-参数!$B$17)*参数!$B$18,IF(AND(F2="能力",AL2="能力持续"),(参数!$B$2-1)*参数!$B$3,0)+M2*O2*参数!$B$5*IF(AND(F2="能力",AL2="能力持续"),参数!$B$2,1)+P2*参数!$B$6*IF(AND(F2="能力",AL2="能力持续"),参数!$B$2,1)+R2*参数!$B$7*IF(AND(F2="能力",AL2="能力持续"),参数!$B$2,1)+V2*参数!$B$8+IF(X2&lt;0,X2*参数!$B$13,X2*参数!$B$39)+IF(AE2&lt;0,AE2*参数!$B$13,AE2*参数!$B$12)*参数!$B$2+AQ2*参数!$B$15+AB2*参数!$B$11+AF2*参数!$B$40*参数!$B$2+AG2*参数!$B$44*参数!$B$2+AH2*参数!$B$6*参数!$B$2+AI2*参数!$B$39*参数!$B$2+AJ2*参数!$B$6*参数!$B$2+Z2*参数!$B$13-T2*参数!$B$14-AD2*参数!$B$13+IF(ISNUMBER(AU2),AU2*参数!$B$38,0)-AV2*参数!$B$41-AW2*参数!$B$14),0),0)</f>
        <v>6</v>
      </c>
      <c r="AZ2" s="14">
        <f>AY2-MAX(AP2,0)*参数!$B$10</f>
        <v>3</v>
      </c>
      <c r="BA2" s="14">
        <f t="shared" ref="BA2:BA65" si="1">IF(MAX(AP2,0)=0,AY2,AY2/MAX(AP2,0))</f>
        <v>6</v>
      </c>
    </row>
    <row r="3" spans="1:53" x14ac:dyDescent="0.3">
      <c r="A3">
        <v>2</v>
      </c>
      <c r="B3" t="s">
        <v>114</v>
      </c>
      <c r="C3" t="s">
        <v>105</v>
      </c>
      <c r="D3" t="s">
        <v>115</v>
      </c>
      <c r="E3" t="s">
        <v>116</v>
      </c>
      <c r="F3" t="s">
        <v>117</v>
      </c>
      <c r="G3" t="s">
        <v>8</v>
      </c>
      <c r="H3">
        <v>1</v>
      </c>
      <c r="I3">
        <v>1</v>
      </c>
      <c r="J3" t="s">
        <v>118</v>
      </c>
      <c r="K3" t="s">
        <v>119</v>
      </c>
      <c r="L3" t="s">
        <v>120</v>
      </c>
      <c r="M3">
        <v>0</v>
      </c>
      <c r="N3">
        <v>0</v>
      </c>
      <c r="O3">
        <v>1</v>
      </c>
      <c r="P3">
        <v>5</v>
      </c>
      <c r="Q3">
        <v>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t="s">
        <v>112</v>
      </c>
      <c r="AL3">
        <v>0</v>
      </c>
      <c r="AP3">
        <f t="shared" si="0"/>
        <v>1</v>
      </c>
      <c r="AQ3">
        <v>0</v>
      </c>
      <c r="AR3">
        <v>0</v>
      </c>
      <c r="AT3" t="s">
        <v>113</v>
      </c>
      <c r="AU3">
        <v>0</v>
      </c>
      <c r="AY3">
        <f>IFERROR(MAX(IF(IF(AND(F3="能力",AL3="能力持续"),(参数!$B$2-1)*参数!$B$3,0)+M3*O3*参数!$B$5*IF(AND(F3="能力",AL3="能力持续"),参数!$B$2,1)+P3*参数!$B$6*IF(AND(F3="能力",AL3="能力持续"),参数!$B$2,1)+R3*参数!$B$7*IF(AND(F3="能力",AL3="能力持续"),参数!$B$2,1)+V3*参数!$B$8+IF(X3&lt;0,X3*参数!$B$13,X3*参数!$B$39)+IF(AE3&lt;0,AE3*参数!$B$13,AE3*参数!$B$12)*参数!$B$2+AQ3*参数!$B$15+AB3*参数!$B$11+AF3*参数!$B$40*参数!$B$2+AG3*参数!$B$44*参数!$B$2+AH3*参数!$B$6*参数!$B$2+AI3*参数!$B$39*参数!$B$2+AJ3*参数!$B$6*参数!$B$2+Z3*参数!$B$13-T3*参数!$B$14-AD3*参数!$B$13+IF(ISNUMBER(AU3),AU3*参数!$B$38,0)-AV3*参数!$B$41-AW3*参数!$B$14&gt;参数!$B$17,参数!$B$17+SQRT(IF(AND(F3="能力",AL3="能力持续"),(参数!$B$2-1)*参数!$B$3,0)+M3*O3*参数!$B$5*IF(AND(F3="能力",AL3="能力持续"),参数!$B$2,1)+P3*参数!$B$6*IF(AND(F3="能力",AL3="能力持续"),参数!$B$2,1)+R3*参数!$B$7*IF(AND(F3="能力",AL3="能力持续"),参数!$B$2,1)+V3*参数!$B$8+IF(X3&lt;0,X3*参数!$B$13,X3*参数!$B$39)+IF(AE3&lt;0,AE3*参数!$B$13,AE3*参数!$B$12)*参数!$B$2+AQ3*参数!$B$15+AB3*参数!$B$11+AF3*参数!$B$40*参数!$B$2+AG3*参数!$B$44*参数!$B$2+AH3*参数!$B$6*参数!$B$2+AI3*参数!$B$39*参数!$B$2+AJ3*参数!$B$6*参数!$B$2+Z3*参数!$B$13-T3*参数!$B$14-AD3*参数!$B$13+IF(ISNUMBER(AU3),AU3*参数!$B$38,0)-AV3*参数!$B$41-AW3*参数!$B$14-参数!$B$17)*参数!$B$18,IF(AND(F3="能力",AL3="能力持续"),(参数!$B$2-1)*参数!$B$3,0)+M3*O3*参数!$B$5*IF(AND(F3="能力",AL3="能力持续"),参数!$B$2,1)+P3*参数!$B$6*IF(AND(F3="能力",AL3="能力持续"),参数!$B$2,1)+R3*参数!$B$7*IF(AND(F3="能力",AL3="能力持续"),参数!$B$2,1)+V3*参数!$B$8+IF(X3&lt;0,X3*参数!$B$13,X3*参数!$B$39)+IF(AE3&lt;0,AE3*参数!$B$13,AE3*参数!$B$12)*参数!$B$2+AQ3*参数!$B$15+AB3*参数!$B$11+AF3*参数!$B$40*参数!$B$2+AG3*参数!$B$44*参数!$B$2+AH3*参数!$B$6*参数!$B$2+AI3*参数!$B$39*参数!$B$2+AJ3*参数!$B$6*参数!$B$2+Z3*参数!$B$13-T3*参数!$B$14-AD3*参数!$B$13+IF(ISNUMBER(AU3),AU3*参数!$B$38,0)-AV3*参数!$B$41-AW3*参数!$B$14),0),0)</f>
        <v>5.5</v>
      </c>
      <c r="AZ3">
        <f>AY3-MAX(AP3,0)*参数!$B$10</f>
        <v>2.5</v>
      </c>
      <c r="BA3">
        <f t="shared" si="1"/>
        <v>5.5</v>
      </c>
    </row>
    <row r="4" spans="1:53" x14ac:dyDescent="0.3">
      <c r="A4">
        <v>3</v>
      </c>
      <c r="B4" t="s">
        <v>121</v>
      </c>
      <c r="C4" t="s">
        <v>105</v>
      </c>
      <c r="D4" t="s">
        <v>122</v>
      </c>
      <c r="E4" t="s">
        <v>123</v>
      </c>
      <c r="F4" t="s">
        <v>124</v>
      </c>
      <c r="G4" t="s">
        <v>14</v>
      </c>
      <c r="H4">
        <v>1</v>
      </c>
      <c r="I4">
        <v>1</v>
      </c>
      <c r="J4" t="s">
        <v>125</v>
      </c>
      <c r="K4" t="s">
        <v>126</v>
      </c>
      <c r="L4" t="s">
        <v>120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t="s">
        <v>112</v>
      </c>
      <c r="AL4" t="s">
        <v>127</v>
      </c>
      <c r="AN4" t="s">
        <v>128</v>
      </c>
      <c r="AO4" t="s">
        <v>129</v>
      </c>
      <c r="AP4">
        <f t="shared" si="0"/>
        <v>1</v>
      </c>
      <c r="AQ4">
        <v>0</v>
      </c>
      <c r="AR4">
        <v>0</v>
      </c>
      <c r="AT4" t="s">
        <v>113</v>
      </c>
      <c r="AU4">
        <v>0</v>
      </c>
      <c r="AY4">
        <f>IFERROR(MAX(IF(IF(AND(F4="能力",AL4="能力持续"),(参数!$B$2-1)*参数!$B$3,0)+M4*O4*参数!$B$5*IF(AND(F4="能力",AL4="能力持续"),参数!$B$2,1)+P4*参数!$B$6*IF(AND(F4="能力",AL4="能力持续"),参数!$B$2,1)+R4*参数!$B$7*IF(AND(F4="能力",AL4="能力持续"),参数!$B$2,1)+V4*参数!$B$8+IF(X4&lt;0,X4*参数!$B$13,X4*参数!$B$39)+IF(AE4&lt;0,AE4*参数!$B$13,AE4*参数!$B$12)*参数!$B$2+AQ4*参数!$B$15+AB4*参数!$B$11+AF4*参数!$B$40*参数!$B$2+AG4*参数!$B$44*参数!$B$2+AH4*参数!$B$6*参数!$B$2+AI4*参数!$B$39*参数!$B$2+AJ4*参数!$B$6*参数!$B$2+Z4*参数!$B$13-T4*参数!$B$14-AD4*参数!$B$13+IF(ISNUMBER(AU4),AU4*参数!$B$38,0)-AV4*参数!$B$41-AW4*参数!$B$14&gt;参数!$B$17,参数!$B$17+SQRT(IF(AND(F4="能力",AL4="能力持续"),(参数!$B$2-1)*参数!$B$3,0)+M4*O4*参数!$B$5*IF(AND(F4="能力",AL4="能力持续"),参数!$B$2,1)+P4*参数!$B$6*IF(AND(F4="能力",AL4="能力持续"),参数!$B$2,1)+R4*参数!$B$7*IF(AND(F4="能力",AL4="能力持续"),参数!$B$2,1)+V4*参数!$B$8+IF(X4&lt;0,X4*参数!$B$13,X4*参数!$B$39)+IF(AE4&lt;0,AE4*参数!$B$13,AE4*参数!$B$12)*参数!$B$2+AQ4*参数!$B$15+AB4*参数!$B$11+AF4*参数!$B$40*参数!$B$2+AG4*参数!$B$44*参数!$B$2+AH4*参数!$B$6*参数!$B$2+AI4*参数!$B$39*参数!$B$2+AJ4*参数!$B$6*参数!$B$2+Z4*参数!$B$13-T4*参数!$B$14-AD4*参数!$B$13+IF(ISNUMBER(AU4),AU4*参数!$B$38,0)-AV4*参数!$B$41-AW4*参数!$B$14-参数!$B$17)*参数!$B$18,IF(AND(F4="能力",AL4="能力持续"),(参数!$B$2-1)*参数!$B$3,0)+M4*O4*参数!$B$5*IF(AND(F4="能力",AL4="能力持续"),参数!$B$2,1)+P4*参数!$B$6*IF(AND(F4="能力",AL4="能力持续"),参数!$B$2,1)+R4*参数!$B$7*IF(AND(F4="能力",AL4="能力持续"),参数!$B$2,1)+V4*参数!$B$8+IF(X4&lt;0,X4*参数!$B$13,X4*参数!$B$39)+IF(AE4&lt;0,AE4*参数!$B$13,AE4*参数!$B$12)*参数!$B$2+AQ4*参数!$B$15+AB4*参数!$B$11+AF4*参数!$B$40*参数!$B$2+AG4*参数!$B$44*参数!$B$2+AH4*参数!$B$6*参数!$B$2+AI4*参数!$B$39*参数!$B$2+AJ4*参数!$B$6*参数!$B$2+Z4*参数!$B$13-T4*参数!$B$14-AD4*参数!$B$13+IF(ISNUMBER(AU4),AU4*参数!$B$38,0)-AV4*参数!$B$41-AW4*参数!$B$14),0),0)</f>
        <v>3.5999999999999996</v>
      </c>
      <c r="AZ4">
        <f>AY4-MAX(AP4,0)*参数!$B$10</f>
        <v>0.59999999999999964</v>
      </c>
      <c r="BA4">
        <f t="shared" si="1"/>
        <v>3.5999999999999996</v>
      </c>
    </row>
    <row r="5" spans="1:53" x14ac:dyDescent="0.3">
      <c r="A5">
        <v>4</v>
      </c>
      <c r="B5" t="s">
        <v>130</v>
      </c>
      <c r="C5" t="s">
        <v>105</v>
      </c>
      <c r="D5" t="s">
        <v>131</v>
      </c>
      <c r="E5" t="s">
        <v>132</v>
      </c>
      <c r="F5" t="s">
        <v>108</v>
      </c>
      <c r="G5" t="s">
        <v>10</v>
      </c>
      <c r="H5">
        <v>0</v>
      </c>
      <c r="I5">
        <v>0</v>
      </c>
      <c r="J5" t="s">
        <v>133</v>
      </c>
      <c r="K5" t="s">
        <v>134</v>
      </c>
      <c r="L5" t="s">
        <v>135</v>
      </c>
      <c r="M5">
        <v>6</v>
      </c>
      <c r="N5">
        <v>8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112</v>
      </c>
      <c r="AL5">
        <v>0</v>
      </c>
      <c r="AP5">
        <f t="shared" si="0"/>
        <v>0.4</v>
      </c>
      <c r="AQ5">
        <v>0</v>
      </c>
      <c r="AR5">
        <v>0</v>
      </c>
      <c r="AT5" t="s">
        <v>113</v>
      </c>
      <c r="AU5">
        <v>0</v>
      </c>
      <c r="AY5">
        <f>IFERROR(MAX(IF(IF(AND(F5="能力",AL5="能力持续"),(参数!$B$2-1)*参数!$B$3,0)+M5*O5*参数!$B$5*IF(AND(F5="能力",AL5="能力持续"),参数!$B$2,1)+P5*参数!$B$6*IF(AND(F5="能力",AL5="能力持续"),参数!$B$2,1)+R5*参数!$B$7*IF(AND(F5="能力",AL5="能力持续"),参数!$B$2,1)+V5*参数!$B$8+IF(X5&lt;0,X5*参数!$B$13,X5*参数!$B$39)+IF(AE5&lt;0,AE5*参数!$B$13,AE5*参数!$B$12)*参数!$B$2+AQ5*参数!$B$15+AB5*参数!$B$11+AF5*参数!$B$40*参数!$B$2+AG5*参数!$B$44*参数!$B$2+AH5*参数!$B$6*参数!$B$2+AI5*参数!$B$39*参数!$B$2+AJ5*参数!$B$6*参数!$B$2+Z5*参数!$B$13-T5*参数!$B$14-AD5*参数!$B$13+IF(ISNUMBER(AU5),AU5*参数!$B$38,0)-AV5*参数!$B$41-AW5*参数!$B$14&gt;参数!$B$17,参数!$B$17+SQRT(IF(AND(F5="能力",AL5="能力持续"),(参数!$B$2-1)*参数!$B$3,0)+M5*O5*参数!$B$5*IF(AND(F5="能力",AL5="能力持续"),参数!$B$2,1)+P5*参数!$B$6*IF(AND(F5="能力",AL5="能力持续"),参数!$B$2,1)+R5*参数!$B$7*IF(AND(F5="能力",AL5="能力持续"),参数!$B$2,1)+V5*参数!$B$8+IF(X5&lt;0,X5*参数!$B$13,X5*参数!$B$39)+IF(AE5&lt;0,AE5*参数!$B$13,AE5*参数!$B$12)*参数!$B$2+AQ5*参数!$B$15+AB5*参数!$B$11+AF5*参数!$B$40*参数!$B$2+AG5*参数!$B$44*参数!$B$2+AH5*参数!$B$6*参数!$B$2+AI5*参数!$B$39*参数!$B$2+AJ5*参数!$B$6*参数!$B$2+Z5*参数!$B$13-T5*参数!$B$14-AD5*参数!$B$13+IF(ISNUMBER(AU5),AU5*参数!$B$38,0)-AV5*参数!$B$41-AW5*参数!$B$14-参数!$B$17)*参数!$B$18,IF(AND(F5="能力",AL5="能力持续"),(参数!$B$2-1)*参数!$B$3,0)+M5*O5*参数!$B$5*IF(AND(F5="能力",AL5="能力持续"),参数!$B$2,1)+P5*参数!$B$6*IF(AND(F5="能力",AL5="能力持续"),参数!$B$2,1)+R5*参数!$B$7*IF(AND(F5="能力",AL5="能力持续"),参数!$B$2,1)+V5*参数!$B$8+IF(X5&lt;0,X5*参数!$B$13,X5*参数!$B$39)+IF(AE5&lt;0,AE5*参数!$B$13,AE5*参数!$B$12)*参数!$B$2+AQ5*参数!$B$15+AB5*参数!$B$11+AF5*参数!$B$40*参数!$B$2+AG5*参数!$B$44*参数!$B$2+AH5*参数!$B$6*参数!$B$2+AI5*参数!$B$39*参数!$B$2+AJ5*参数!$B$6*参数!$B$2+Z5*参数!$B$13-T5*参数!$B$14-AD5*参数!$B$13+IF(ISNUMBER(AU5),AU5*参数!$B$38,0)-AV5*参数!$B$41-AW5*参数!$B$14),0),0)</f>
        <v>6</v>
      </c>
      <c r="AZ5">
        <f>AY5-MAX(AP5,0)*参数!$B$10</f>
        <v>4.8</v>
      </c>
      <c r="BA5">
        <f t="shared" si="1"/>
        <v>15</v>
      </c>
    </row>
    <row r="6" spans="1:53" x14ac:dyDescent="0.3">
      <c r="A6">
        <v>5</v>
      </c>
      <c r="B6" t="s">
        <v>136</v>
      </c>
      <c r="C6" t="s">
        <v>105</v>
      </c>
      <c r="D6" t="s">
        <v>137</v>
      </c>
      <c r="E6" t="s">
        <v>138</v>
      </c>
      <c r="F6" t="s">
        <v>117</v>
      </c>
      <c r="G6" t="s">
        <v>10</v>
      </c>
      <c r="H6">
        <v>1</v>
      </c>
      <c r="I6">
        <v>1</v>
      </c>
      <c r="J6" t="s">
        <v>139</v>
      </c>
      <c r="K6" t="s">
        <v>140</v>
      </c>
      <c r="L6" t="s">
        <v>120</v>
      </c>
      <c r="M6">
        <v>0</v>
      </c>
      <c r="N6">
        <v>0</v>
      </c>
      <c r="O6">
        <v>1</v>
      </c>
      <c r="P6">
        <v>5</v>
      </c>
      <c r="Q6">
        <v>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 t="s">
        <v>112</v>
      </c>
      <c r="AL6">
        <v>0</v>
      </c>
      <c r="AP6">
        <f t="shared" si="0"/>
        <v>1</v>
      </c>
      <c r="AQ6">
        <v>0</v>
      </c>
      <c r="AR6">
        <v>0</v>
      </c>
      <c r="AT6" t="s">
        <v>113</v>
      </c>
      <c r="AU6">
        <v>0</v>
      </c>
      <c r="AY6">
        <f>IFERROR(MAX(IF(IF(AND(F6="能力",AL6="能力持续"),(参数!$B$2-1)*参数!$B$3,0)+M6*O6*参数!$B$5*IF(AND(F6="能力",AL6="能力持续"),参数!$B$2,1)+P6*参数!$B$6*IF(AND(F6="能力",AL6="能力持续"),参数!$B$2,1)+R6*参数!$B$7*IF(AND(F6="能力",AL6="能力持续"),参数!$B$2,1)+V6*参数!$B$8+IF(X6&lt;0,X6*参数!$B$13,X6*参数!$B$39)+IF(AE6&lt;0,AE6*参数!$B$13,AE6*参数!$B$12)*参数!$B$2+AQ6*参数!$B$15+AB6*参数!$B$11+AF6*参数!$B$40*参数!$B$2+AG6*参数!$B$44*参数!$B$2+AH6*参数!$B$6*参数!$B$2+AI6*参数!$B$39*参数!$B$2+AJ6*参数!$B$6*参数!$B$2+Z6*参数!$B$13-T6*参数!$B$14-AD6*参数!$B$13+IF(ISNUMBER(AU6),AU6*参数!$B$38,0)-AV6*参数!$B$41-AW6*参数!$B$14&gt;参数!$B$17,参数!$B$17+SQRT(IF(AND(F6="能力",AL6="能力持续"),(参数!$B$2-1)*参数!$B$3,0)+M6*O6*参数!$B$5*IF(AND(F6="能力",AL6="能力持续"),参数!$B$2,1)+P6*参数!$B$6*IF(AND(F6="能力",AL6="能力持续"),参数!$B$2,1)+R6*参数!$B$7*IF(AND(F6="能力",AL6="能力持续"),参数!$B$2,1)+V6*参数!$B$8+IF(X6&lt;0,X6*参数!$B$13,X6*参数!$B$39)+IF(AE6&lt;0,AE6*参数!$B$13,AE6*参数!$B$12)*参数!$B$2+AQ6*参数!$B$15+AB6*参数!$B$11+AF6*参数!$B$40*参数!$B$2+AG6*参数!$B$44*参数!$B$2+AH6*参数!$B$6*参数!$B$2+AI6*参数!$B$39*参数!$B$2+AJ6*参数!$B$6*参数!$B$2+Z6*参数!$B$13-T6*参数!$B$14-AD6*参数!$B$13+IF(ISNUMBER(AU6),AU6*参数!$B$38,0)-AV6*参数!$B$41-AW6*参数!$B$14-参数!$B$17)*参数!$B$18,IF(AND(F6="能力",AL6="能力持续"),(参数!$B$2-1)*参数!$B$3,0)+M6*O6*参数!$B$5*IF(AND(F6="能力",AL6="能力持续"),参数!$B$2,1)+P6*参数!$B$6*IF(AND(F6="能力",AL6="能力持续"),参数!$B$2,1)+R6*参数!$B$7*IF(AND(F6="能力",AL6="能力持续"),参数!$B$2,1)+V6*参数!$B$8+IF(X6&lt;0,X6*参数!$B$13,X6*参数!$B$39)+IF(AE6&lt;0,AE6*参数!$B$13,AE6*参数!$B$12)*参数!$B$2+AQ6*参数!$B$15+AB6*参数!$B$11+AF6*参数!$B$40*参数!$B$2+AG6*参数!$B$44*参数!$B$2+AH6*参数!$B$6*参数!$B$2+AI6*参数!$B$39*参数!$B$2+AJ6*参数!$B$6*参数!$B$2+Z6*参数!$B$13-T6*参数!$B$14-AD6*参数!$B$13+IF(ISNUMBER(AU6),AU6*参数!$B$38,0)-AV6*参数!$B$41-AW6*参数!$B$14),0),0)</f>
        <v>5.5</v>
      </c>
      <c r="AZ6">
        <f>AY6-MAX(AP6,0)*参数!$B$10</f>
        <v>2.5</v>
      </c>
      <c r="BA6">
        <f t="shared" si="1"/>
        <v>5.5</v>
      </c>
    </row>
    <row r="7" spans="1:53" x14ac:dyDescent="0.3">
      <c r="A7">
        <v>6</v>
      </c>
      <c r="B7" t="s">
        <v>141</v>
      </c>
      <c r="C7" t="s">
        <v>105</v>
      </c>
      <c r="D7" t="s">
        <v>142</v>
      </c>
      <c r="E7" t="s">
        <v>143</v>
      </c>
      <c r="F7" t="s">
        <v>108</v>
      </c>
      <c r="G7" t="s">
        <v>12</v>
      </c>
      <c r="H7">
        <v>1</v>
      </c>
      <c r="I7">
        <v>1</v>
      </c>
      <c r="J7" t="s">
        <v>144</v>
      </c>
      <c r="K7" t="s">
        <v>145</v>
      </c>
      <c r="L7" t="s">
        <v>111</v>
      </c>
      <c r="M7">
        <f>6+参数!$B$42*3</f>
        <v>24</v>
      </c>
      <c r="N7">
        <v>6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112</v>
      </c>
      <c r="AL7">
        <v>0</v>
      </c>
      <c r="AO7" t="s">
        <v>146</v>
      </c>
      <c r="AP7">
        <f t="shared" si="0"/>
        <v>1</v>
      </c>
      <c r="AQ7">
        <v>0</v>
      </c>
      <c r="AR7">
        <v>0</v>
      </c>
      <c r="AT7" t="s">
        <v>113</v>
      </c>
      <c r="AU7">
        <v>0</v>
      </c>
      <c r="AY7">
        <f>IFERROR(MAX(IF(IF(AND(F7="能力",AL7="能力持续"),(参数!$B$2-1)*参数!$B$3,0)+M7*O7*参数!$B$5*IF(AND(F7="能力",AL7="能力持续"),参数!$B$2,1)+P7*参数!$B$6*IF(AND(F7="能力",AL7="能力持续"),参数!$B$2,1)+R7*参数!$B$7*IF(AND(F7="能力",AL7="能力持续"),参数!$B$2,1)+V7*参数!$B$8+IF(X7&lt;0,X7*参数!$B$13,X7*参数!$B$39)+IF(AE7&lt;0,AE7*参数!$B$13,AE7*参数!$B$12)*参数!$B$2+AQ7*参数!$B$15+AB7*参数!$B$11+AF7*参数!$B$40*参数!$B$2+AG7*参数!$B$44*参数!$B$2+AH7*参数!$B$6*参数!$B$2+AI7*参数!$B$39*参数!$B$2+AJ7*参数!$B$6*参数!$B$2+Z7*参数!$B$13-T7*参数!$B$14-AD7*参数!$B$13+IF(ISNUMBER(AU7),AU7*参数!$B$38,0)-AV7*参数!$B$41-AW7*参数!$B$14&gt;参数!$B$17,参数!$B$17+SQRT(IF(AND(F7="能力",AL7="能力持续"),(参数!$B$2-1)*参数!$B$3,0)+M7*O7*参数!$B$5*IF(AND(F7="能力",AL7="能力持续"),参数!$B$2,1)+P7*参数!$B$6*IF(AND(F7="能力",AL7="能力持续"),参数!$B$2,1)+R7*参数!$B$7*IF(AND(F7="能力",AL7="能力持续"),参数!$B$2,1)+V7*参数!$B$8+IF(X7&lt;0,X7*参数!$B$13,X7*参数!$B$39)+IF(AE7&lt;0,AE7*参数!$B$13,AE7*参数!$B$12)*参数!$B$2+AQ7*参数!$B$15+AB7*参数!$B$11+AF7*参数!$B$40*参数!$B$2+AG7*参数!$B$44*参数!$B$2+AH7*参数!$B$6*参数!$B$2+AI7*参数!$B$39*参数!$B$2+AJ7*参数!$B$6*参数!$B$2+Z7*参数!$B$13-T7*参数!$B$14-AD7*参数!$B$13+IF(ISNUMBER(AU7),AU7*参数!$B$38,0)-AV7*参数!$B$41-AW7*参数!$B$14-参数!$B$17)*参数!$B$18,IF(AND(F7="能力",AL7="能力持续"),(参数!$B$2-1)*参数!$B$3,0)+M7*O7*参数!$B$5*IF(AND(F7="能力",AL7="能力持续"),参数!$B$2,1)+P7*参数!$B$6*IF(AND(F7="能力",AL7="能力持续"),参数!$B$2,1)+R7*参数!$B$7*IF(AND(F7="能力",AL7="能力持续"),参数!$B$2,1)+V7*参数!$B$8+IF(X7&lt;0,X7*参数!$B$13,X7*参数!$B$39)+IF(AE7&lt;0,AE7*参数!$B$13,AE7*参数!$B$12)*参数!$B$2+AQ7*参数!$B$15+AB7*参数!$B$11+AF7*参数!$B$40*参数!$B$2+AG7*参数!$B$44*参数!$B$2+AH7*参数!$B$6*参数!$B$2+AI7*参数!$B$39*参数!$B$2+AJ7*参数!$B$6*参数!$B$2+Z7*参数!$B$13-T7*参数!$B$14-AD7*参数!$B$13+IF(ISNUMBER(AU7),AU7*参数!$B$38,0)-AV7*参数!$B$41-AW7*参数!$B$14),0),0)</f>
        <v>15.612486080160913</v>
      </c>
      <c r="AZ7">
        <f>AY7-MAX(AP7,0)*参数!$B$10</f>
        <v>12.612486080160913</v>
      </c>
      <c r="BA7">
        <f t="shared" si="1"/>
        <v>15.612486080160913</v>
      </c>
    </row>
    <row r="8" spans="1:53" x14ac:dyDescent="0.3">
      <c r="A8">
        <v>7</v>
      </c>
      <c r="B8" t="s">
        <v>147</v>
      </c>
      <c r="C8" t="s">
        <v>105</v>
      </c>
      <c r="D8" t="s">
        <v>148</v>
      </c>
      <c r="E8" t="s">
        <v>149</v>
      </c>
      <c r="F8" t="s">
        <v>124</v>
      </c>
      <c r="G8" t="s">
        <v>14</v>
      </c>
      <c r="H8">
        <v>3</v>
      </c>
      <c r="I8">
        <v>2</v>
      </c>
      <c r="J8" t="s">
        <v>150</v>
      </c>
      <c r="K8" t="s">
        <v>151</v>
      </c>
      <c r="L8" t="s">
        <v>120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112</v>
      </c>
      <c r="AL8" t="s">
        <v>127</v>
      </c>
      <c r="AO8" t="s">
        <v>152</v>
      </c>
      <c r="AP8">
        <f t="shared" si="0"/>
        <v>3</v>
      </c>
      <c r="AQ8">
        <v>0</v>
      </c>
      <c r="AR8">
        <v>0</v>
      </c>
      <c r="AT8" t="s">
        <v>113</v>
      </c>
      <c r="AU8">
        <v>0</v>
      </c>
      <c r="AY8">
        <f>IFERROR(MAX(IF(IF(AND(F8="能力",AL8="能力持续"),(参数!$B$2-1)*参数!$B$3,0)+M8*O8*参数!$B$5*IF(AND(F8="能力",AL8="能力持续"),参数!$B$2,1)+P8*参数!$B$6*IF(AND(F8="能力",AL8="能力持续"),参数!$B$2,1)+R8*参数!$B$7*IF(AND(F8="能力",AL8="能力持续"),参数!$B$2,1)+V8*参数!$B$8+IF(X8&lt;0,X8*参数!$B$13,X8*参数!$B$39)+IF(AE8&lt;0,AE8*参数!$B$13,AE8*参数!$B$12)*参数!$B$2+AQ8*参数!$B$15+AB8*参数!$B$11+AF8*参数!$B$40*参数!$B$2+AG8*参数!$B$44*参数!$B$2+AH8*参数!$B$6*参数!$B$2+AI8*参数!$B$39*参数!$B$2+AJ8*参数!$B$6*参数!$B$2+Z8*参数!$B$13-T8*参数!$B$14-AD8*参数!$B$13+IF(ISNUMBER(AU8),AU8*参数!$B$38,0)-AV8*参数!$B$41-AW8*参数!$B$14&gt;参数!$B$17,参数!$B$17+SQRT(IF(AND(F8="能力",AL8="能力持续"),(参数!$B$2-1)*参数!$B$3,0)+M8*O8*参数!$B$5*IF(AND(F8="能力",AL8="能力持续"),参数!$B$2,1)+P8*参数!$B$6*IF(AND(F8="能力",AL8="能力持续"),参数!$B$2,1)+R8*参数!$B$7*IF(AND(F8="能力",AL8="能力持续"),参数!$B$2,1)+V8*参数!$B$8+IF(X8&lt;0,X8*参数!$B$13,X8*参数!$B$39)+IF(AE8&lt;0,AE8*参数!$B$13,AE8*参数!$B$12)*参数!$B$2+AQ8*参数!$B$15+AB8*参数!$B$11+AF8*参数!$B$40*参数!$B$2+AG8*参数!$B$44*参数!$B$2+AH8*参数!$B$6*参数!$B$2+AI8*参数!$B$39*参数!$B$2+AJ8*参数!$B$6*参数!$B$2+Z8*参数!$B$13-T8*参数!$B$14-AD8*参数!$B$13+IF(ISNUMBER(AU8),AU8*参数!$B$38,0)-AV8*参数!$B$41-AW8*参数!$B$14-参数!$B$17)*参数!$B$18,IF(AND(F8="能力",AL8="能力持续"),(参数!$B$2-1)*参数!$B$3,0)+M8*O8*参数!$B$5*IF(AND(F8="能力",AL8="能力持续"),参数!$B$2,1)+P8*参数!$B$6*IF(AND(F8="能力",AL8="能力持续"),参数!$B$2,1)+R8*参数!$B$7*IF(AND(F8="能力",AL8="能力持续"),参数!$B$2,1)+V8*参数!$B$8+IF(X8&lt;0,X8*参数!$B$13,X8*参数!$B$39)+IF(AE8&lt;0,AE8*参数!$B$13,AE8*参数!$B$12)*参数!$B$2+AQ8*参数!$B$15+AB8*参数!$B$11+AF8*参数!$B$40*参数!$B$2+AG8*参数!$B$44*参数!$B$2+AH8*参数!$B$6*参数!$B$2+AI8*参数!$B$39*参数!$B$2+AJ8*参数!$B$6*参数!$B$2+Z8*参数!$B$13-T8*参数!$B$14-AD8*参数!$B$13+IF(ISNUMBER(AU8),AU8*参数!$B$38,0)-AV8*参数!$B$41-AW8*参数!$B$14),0),0)</f>
        <v>3.5999999999999996</v>
      </c>
      <c r="AZ8">
        <f>AY8-MAX(AP8,0)*参数!$B$10</f>
        <v>-5.4</v>
      </c>
      <c r="BA8">
        <f t="shared" si="1"/>
        <v>1.2</v>
      </c>
    </row>
    <row r="9" spans="1:53" x14ac:dyDescent="0.3">
      <c r="A9">
        <v>8</v>
      </c>
      <c r="B9" t="s">
        <v>153</v>
      </c>
      <c r="C9" t="s">
        <v>105</v>
      </c>
      <c r="D9" t="s">
        <v>26</v>
      </c>
      <c r="E9" t="s">
        <v>154</v>
      </c>
      <c r="F9" t="s">
        <v>108</v>
      </c>
      <c r="G9" t="s">
        <v>8</v>
      </c>
      <c r="H9">
        <v>2</v>
      </c>
      <c r="I9">
        <v>2</v>
      </c>
      <c r="J9" t="s">
        <v>155</v>
      </c>
      <c r="K9" t="s">
        <v>156</v>
      </c>
      <c r="L9" t="s">
        <v>111</v>
      </c>
      <c r="M9">
        <v>8</v>
      </c>
      <c r="N9">
        <v>10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2</v>
      </c>
      <c r="AB9">
        <v>2</v>
      </c>
      <c r="AC9">
        <v>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112</v>
      </c>
      <c r="AL9">
        <v>0</v>
      </c>
      <c r="AP9">
        <f t="shared" si="0"/>
        <v>2</v>
      </c>
      <c r="AQ9">
        <v>0</v>
      </c>
      <c r="AR9">
        <v>0</v>
      </c>
      <c r="AT9" t="s">
        <v>113</v>
      </c>
      <c r="AU9">
        <v>0</v>
      </c>
      <c r="AV9">
        <v>2</v>
      </c>
      <c r="AY9">
        <f>IFERROR(MAX(IF(IF(AND(F9="能力",AL9="能力持续"),(参数!$B$2-1)*参数!$B$3,0)+M9*O9*参数!$B$5*IF(AND(F9="能力",AL9="能力持续"),参数!$B$2,1)+P9*参数!$B$6*IF(AND(F9="能力",AL9="能力持续"),参数!$B$2,1)+R9*参数!$B$7*IF(AND(F9="能力",AL9="能力持续"),参数!$B$2,1)+V9*参数!$B$8+IF(X9&lt;0,X9*参数!$B$13,X9*参数!$B$39)+IF(AE9&lt;0,AE9*参数!$B$13,AE9*参数!$B$12)*参数!$B$2+AQ9*参数!$B$15+AB9*参数!$B$11+AF9*参数!$B$40*参数!$B$2+AG9*参数!$B$44*参数!$B$2+AH9*参数!$B$6*参数!$B$2+AI9*参数!$B$39*参数!$B$2+AJ9*参数!$B$6*参数!$B$2+Z9*参数!$B$13-T9*参数!$B$14-AD9*参数!$B$13+IF(ISNUMBER(AU9),AU9*参数!$B$38,0)-AV9*参数!$B$41-AW9*参数!$B$14&gt;参数!$B$17,参数!$B$17+SQRT(IF(AND(F9="能力",AL9="能力持续"),(参数!$B$2-1)*参数!$B$3,0)+M9*O9*参数!$B$5*IF(AND(F9="能力",AL9="能力持续"),参数!$B$2,1)+P9*参数!$B$6*IF(AND(F9="能力",AL9="能力持续"),参数!$B$2,1)+R9*参数!$B$7*IF(AND(F9="能力",AL9="能力持续"),参数!$B$2,1)+V9*参数!$B$8+IF(X9&lt;0,X9*参数!$B$13,X9*参数!$B$39)+IF(AE9&lt;0,AE9*参数!$B$13,AE9*参数!$B$12)*参数!$B$2+AQ9*参数!$B$15+AB9*参数!$B$11+AF9*参数!$B$40*参数!$B$2+AG9*参数!$B$44*参数!$B$2+AH9*参数!$B$6*参数!$B$2+AI9*参数!$B$39*参数!$B$2+AJ9*参数!$B$6*参数!$B$2+Z9*参数!$B$13-T9*参数!$B$14-AD9*参数!$B$13+IF(ISNUMBER(AU9),AU9*参数!$B$38,0)-AV9*参数!$B$41-AW9*参数!$B$14-参数!$B$17)*参数!$B$18,IF(AND(F9="能力",AL9="能力持续"),(参数!$B$2-1)*参数!$B$3,0)+M9*O9*参数!$B$5*IF(AND(F9="能力",AL9="能力持续"),参数!$B$2,1)+P9*参数!$B$6*IF(AND(F9="能力",AL9="能力持续"),参数!$B$2,1)+R9*参数!$B$7*IF(AND(F9="能力",AL9="能力持续"),参数!$B$2,1)+V9*参数!$B$8+IF(X9&lt;0,X9*参数!$B$13,X9*参数!$B$39)+IF(AE9&lt;0,AE9*参数!$B$13,AE9*参数!$B$12)*参数!$B$2+AQ9*参数!$B$15+AB9*参数!$B$11+AF9*参数!$B$40*参数!$B$2+AG9*参数!$B$44*参数!$B$2+AH9*参数!$B$6*参数!$B$2+AI9*参数!$B$39*参数!$B$2+AJ9*参数!$B$6*参数!$B$2+Z9*参数!$B$13-T9*参数!$B$14-AD9*参数!$B$13+IF(ISNUMBER(AU9),AU9*参数!$B$38,0)-AV9*参数!$B$41-AW9*参数!$B$14),0),0)</f>
        <v>4.5999999999999996</v>
      </c>
      <c r="AZ9">
        <f>AY9-MAX(AP9,0)*参数!$B$10</f>
        <v>-1.4000000000000004</v>
      </c>
      <c r="BA9">
        <f t="shared" si="1"/>
        <v>2.2999999999999998</v>
      </c>
    </row>
    <row r="10" spans="1:53" x14ac:dyDescent="0.3">
      <c r="A10">
        <v>9</v>
      </c>
      <c r="B10" t="s">
        <v>157</v>
      </c>
      <c r="C10" t="s">
        <v>105</v>
      </c>
      <c r="D10" t="s">
        <v>158</v>
      </c>
      <c r="E10" t="s">
        <v>159</v>
      </c>
      <c r="F10" t="s">
        <v>117</v>
      </c>
      <c r="G10" t="s">
        <v>12</v>
      </c>
      <c r="H10">
        <v>0</v>
      </c>
      <c r="I10">
        <v>0</v>
      </c>
      <c r="J10" t="s">
        <v>160</v>
      </c>
      <c r="L10" t="s">
        <v>111</v>
      </c>
      <c r="M10">
        <v>0</v>
      </c>
      <c r="N10">
        <v>0</v>
      </c>
      <c r="O10">
        <v>1</v>
      </c>
      <c r="P10">
        <v>0</v>
      </c>
      <c r="Q10">
        <v>0</v>
      </c>
      <c r="R10">
        <v>3</v>
      </c>
      <c r="S10">
        <v>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112</v>
      </c>
      <c r="AN10" t="s">
        <v>161</v>
      </c>
      <c r="AP10">
        <f t="shared" si="0"/>
        <v>0.4</v>
      </c>
      <c r="AQ10">
        <v>0</v>
      </c>
      <c r="AR10">
        <v>0</v>
      </c>
      <c r="AT10" t="s">
        <v>113</v>
      </c>
      <c r="AU10">
        <v>0</v>
      </c>
      <c r="AY10">
        <f>IFERROR(MAX(IF(IF(AND(F10="能力",AL10="能力持续"),(参数!$B$2-1)*参数!$B$3,0)+M10*O10*参数!$B$5*IF(AND(F10="能力",AL10="能力持续"),参数!$B$2,1)+P10*参数!$B$6*IF(AND(F10="能力",AL10="能力持续"),参数!$B$2,1)+R10*参数!$B$7*IF(AND(F10="能力",AL10="能力持续"),参数!$B$2,1)+V10*参数!$B$8+IF(X10&lt;0,X10*参数!$B$13,X10*参数!$B$39)+IF(AE10&lt;0,AE10*参数!$B$13,AE10*参数!$B$12)*参数!$B$2+AQ10*参数!$B$15+AB10*参数!$B$11+AF10*参数!$B$40*参数!$B$2+AG10*参数!$B$44*参数!$B$2+AH10*参数!$B$6*参数!$B$2+AI10*参数!$B$39*参数!$B$2+AJ10*参数!$B$6*参数!$B$2+Z10*参数!$B$13-T10*参数!$B$14-AD10*参数!$B$13+IF(ISNUMBER(AU10),AU10*参数!$B$38,0)-AV10*参数!$B$41-AW10*参数!$B$14&gt;参数!$B$17,参数!$B$17+SQRT(IF(AND(F10="能力",AL10="能力持续"),(参数!$B$2-1)*参数!$B$3,0)+M10*O10*参数!$B$5*IF(AND(F10="能力",AL10="能力持续"),参数!$B$2,1)+P10*参数!$B$6*IF(AND(F10="能力",AL10="能力持续"),参数!$B$2,1)+R10*参数!$B$7*IF(AND(F10="能力",AL10="能力持续"),参数!$B$2,1)+V10*参数!$B$8+IF(X10&lt;0,X10*参数!$B$13,X10*参数!$B$39)+IF(AE10&lt;0,AE10*参数!$B$13,AE10*参数!$B$12)*参数!$B$2+AQ10*参数!$B$15+AB10*参数!$B$11+AF10*参数!$B$40*参数!$B$2+AG10*参数!$B$44*参数!$B$2+AH10*参数!$B$6*参数!$B$2+AI10*参数!$B$39*参数!$B$2+AJ10*参数!$B$6*参数!$B$2+Z10*参数!$B$13-T10*参数!$B$14-AD10*参数!$B$13+IF(ISNUMBER(AU10),AU10*参数!$B$38,0)-AV10*参数!$B$41-AW10*参数!$B$14-参数!$B$17)*参数!$B$18,IF(AND(F10="能力",AL10="能力持续"),(参数!$B$2-1)*参数!$B$3,0)+M10*O10*参数!$B$5*IF(AND(F10="能力",AL10="能力持续"),参数!$B$2,1)+P10*参数!$B$6*IF(AND(F10="能力",AL10="能力持续"),参数!$B$2,1)+R10*参数!$B$7*IF(AND(F10="能力",AL10="能力持续"),参数!$B$2,1)+V10*参数!$B$8+IF(X10&lt;0,X10*参数!$B$13,X10*参数!$B$39)+IF(AE10&lt;0,AE10*参数!$B$13,AE10*参数!$B$12)*参数!$B$2+AQ10*参数!$B$15+AB10*参数!$B$11+AF10*参数!$B$40*参数!$B$2+AG10*参数!$B$44*参数!$B$2+AH10*参数!$B$6*参数!$B$2+AI10*参数!$B$39*参数!$B$2+AJ10*参数!$B$6*参数!$B$2+Z10*参数!$B$13-T10*参数!$B$14-AD10*参数!$B$13+IF(ISNUMBER(AU10),AU10*参数!$B$38,0)-AV10*参数!$B$41-AW10*参数!$B$14),0),0)</f>
        <v>2.0999999999999996</v>
      </c>
      <c r="AZ10">
        <f>AY10-MAX(AP10,0)*参数!$B$10</f>
        <v>0.89999999999999947</v>
      </c>
      <c r="BA10">
        <f t="shared" si="1"/>
        <v>5.2499999999999991</v>
      </c>
    </row>
    <row r="11" spans="1:53" x14ac:dyDescent="0.3">
      <c r="A11">
        <v>10</v>
      </c>
      <c r="B11" t="s">
        <v>162</v>
      </c>
      <c r="C11" t="s">
        <v>105</v>
      </c>
      <c r="D11" t="s">
        <v>163</v>
      </c>
      <c r="E11" t="s">
        <v>164</v>
      </c>
      <c r="F11" t="s">
        <v>117</v>
      </c>
      <c r="G11" t="s">
        <v>10</v>
      </c>
      <c r="H11">
        <v>2</v>
      </c>
      <c r="I11">
        <v>2</v>
      </c>
      <c r="J11" t="s">
        <v>165</v>
      </c>
      <c r="L11" t="s">
        <v>120</v>
      </c>
      <c r="M11">
        <v>0</v>
      </c>
      <c r="N11">
        <v>0</v>
      </c>
      <c r="O11">
        <v>1</v>
      </c>
      <c r="P11">
        <v>16</v>
      </c>
      <c r="Q11">
        <v>19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112</v>
      </c>
      <c r="AP11">
        <f t="shared" si="0"/>
        <v>2</v>
      </c>
      <c r="AQ11">
        <v>0</v>
      </c>
      <c r="AR11">
        <v>0</v>
      </c>
      <c r="AT11" t="s">
        <v>113</v>
      </c>
      <c r="AU11">
        <v>0</v>
      </c>
      <c r="AY11">
        <f>IFERROR(MAX(IF(IF(AND(F11="能力",AL11="能力持续"),(参数!$B$2-1)*参数!$B$3,0)+M11*O11*参数!$B$5*IF(AND(F11="能力",AL11="能力持续"),参数!$B$2,1)+P11*参数!$B$6*IF(AND(F11="能力",AL11="能力持续"),参数!$B$2,1)+R11*参数!$B$7*IF(AND(F11="能力",AL11="能力持续"),参数!$B$2,1)+V11*参数!$B$8+IF(X11&lt;0,X11*参数!$B$13,X11*参数!$B$39)+IF(AE11&lt;0,AE11*参数!$B$13,AE11*参数!$B$12)*参数!$B$2+AQ11*参数!$B$15+AB11*参数!$B$11+AF11*参数!$B$40*参数!$B$2+AG11*参数!$B$44*参数!$B$2+AH11*参数!$B$6*参数!$B$2+AI11*参数!$B$39*参数!$B$2+AJ11*参数!$B$6*参数!$B$2+Z11*参数!$B$13-T11*参数!$B$14-AD11*参数!$B$13+IF(ISNUMBER(AU11),AU11*参数!$B$38,0)-AV11*参数!$B$41-AW11*参数!$B$14&gt;参数!$B$17,参数!$B$17+SQRT(IF(AND(F11="能力",AL11="能力持续"),(参数!$B$2-1)*参数!$B$3,0)+M11*O11*参数!$B$5*IF(AND(F11="能力",AL11="能力持续"),参数!$B$2,1)+P11*参数!$B$6*IF(AND(F11="能力",AL11="能力持续"),参数!$B$2,1)+R11*参数!$B$7*IF(AND(F11="能力",AL11="能力持续"),参数!$B$2,1)+V11*参数!$B$8+IF(X11&lt;0,X11*参数!$B$13,X11*参数!$B$39)+IF(AE11&lt;0,AE11*参数!$B$13,AE11*参数!$B$12)*参数!$B$2+AQ11*参数!$B$15+AB11*参数!$B$11+AF11*参数!$B$40*参数!$B$2+AG11*参数!$B$44*参数!$B$2+AH11*参数!$B$6*参数!$B$2+AI11*参数!$B$39*参数!$B$2+AJ11*参数!$B$6*参数!$B$2+Z11*参数!$B$13-T11*参数!$B$14-AD11*参数!$B$13+IF(ISNUMBER(AU11),AU11*参数!$B$38,0)-AV11*参数!$B$41-AW11*参数!$B$14-参数!$B$17)*参数!$B$18,IF(AND(F11="能力",AL11="能力持续"),(参数!$B$2-1)*参数!$B$3,0)+M11*O11*参数!$B$5*IF(AND(F11="能力",AL11="能力持续"),参数!$B$2,1)+P11*参数!$B$6*IF(AND(F11="能力",AL11="能力持续"),参数!$B$2,1)+R11*参数!$B$7*IF(AND(F11="能力",AL11="能力持续"),参数!$B$2,1)+V11*参数!$B$8+IF(X11&lt;0,X11*参数!$B$13,X11*参数!$B$39)+IF(AE11&lt;0,AE11*参数!$B$13,AE11*参数!$B$12)*参数!$B$2+AQ11*参数!$B$15+AB11*参数!$B$11+AF11*参数!$B$40*参数!$B$2+AG11*参数!$B$44*参数!$B$2+AH11*参数!$B$6*参数!$B$2+AI11*参数!$B$39*参数!$B$2+AJ11*参数!$B$6*参数!$B$2+Z11*参数!$B$13-T11*参数!$B$14-AD11*参数!$B$13+IF(ISNUMBER(AU11),AU11*参数!$B$38,0)-AV11*参数!$B$41-AW11*参数!$B$14),0),0)</f>
        <v>14.135214625627068</v>
      </c>
      <c r="AZ11">
        <f>AY11-MAX(AP11,0)*参数!$B$10</f>
        <v>8.1352146256270679</v>
      </c>
      <c r="BA11">
        <f t="shared" si="1"/>
        <v>7.0676073128135339</v>
      </c>
    </row>
    <row r="12" spans="1:53" x14ac:dyDescent="0.3">
      <c r="A12">
        <v>11</v>
      </c>
      <c r="B12" t="s">
        <v>166</v>
      </c>
      <c r="C12" t="s">
        <v>105</v>
      </c>
      <c r="D12" t="s">
        <v>167</v>
      </c>
      <c r="E12" t="s">
        <v>168</v>
      </c>
      <c r="F12" t="s">
        <v>117</v>
      </c>
      <c r="G12" t="s">
        <v>10</v>
      </c>
      <c r="H12">
        <v>0</v>
      </c>
      <c r="I12">
        <v>0</v>
      </c>
      <c r="J12" t="s">
        <v>169</v>
      </c>
      <c r="L12" t="s">
        <v>111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112</v>
      </c>
      <c r="AP12">
        <f t="shared" si="0"/>
        <v>0.4</v>
      </c>
      <c r="AQ12">
        <v>0</v>
      </c>
      <c r="AR12">
        <v>0</v>
      </c>
      <c r="AT12" t="s">
        <v>113</v>
      </c>
      <c r="AU12">
        <v>0</v>
      </c>
      <c r="AV12">
        <v>3</v>
      </c>
      <c r="AY12">
        <f>IFERROR(MAX(IF(IF(AND(F12="能力",AL12="能力持续"),(参数!$B$2-1)*参数!$B$3,0)+M12*O12*参数!$B$5*IF(AND(F12="能力",AL12="能力持续"),参数!$B$2,1)+P12*参数!$B$6*IF(AND(F12="能力",AL12="能力持续"),参数!$B$2,1)+R12*参数!$B$7*IF(AND(F12="能力",AL12="能力持续"),参数!$B$2,1)+V12*参数!$B$8+IF(X12&lt;0,X12*参数!$B$13,X12*参数!$B$39)+IF(AE12&lt;0,AE12*参数!$B$13,AE12*参数!$B$12)*参数!$B$2+AQ12*参数!$B$15+AB12*参数!$B$11+AF12*参数!$B$40*参数!$B$2+AG12*参数!$B$44*参数!$B$2+AH12*参数!$B$6*参数!$B$2+AI12*参数!$B$39*参数!$B$2+AJ12*参数!$B$6*参数!$B$2+Z12*参数!$B$13-T12*参数!$B$14-AD12*参数!$B$13+IF(ISNUMBER(AU12),AU12*参数!$B$38,0)-AV12*参数!$B$41-AW12*参数!$B$14&gt;参数!$B$17,参数!$B$17+SQRT(IF(AND(F12="能力",AL12="能力持续"),(参数!$B$2-1)*参数!$B$3,0)+M12*O12*参数!$B$5*IF(AND(F12="能力",AL12="能力持续"),参数!$B$2,1)+P12*参数!$B$6*IF(AND(F12="能力",AL12="能力持续"),参数!$B$2,1)+R12*参数!$B$7*IF(AND(F12="能力",AL12="能力持续"),参数!$B$2,1)+V12*参数!$B$8+IF(X12&lt;0,X12*参数!$B$13,X12*参数!$B$39)+IF(AE12&lt;0,AE12*参数!$B$13,AE12*参数!$B$12)*参数!$B$2+AQ12*参数!$B$15+AB12*参数!$B$11+AF12*参数!$B$40*参数!$B$2+AG12*参数!$B$44*参数!$B$2+AH12*参数!$B$6*参数!$B$2+AI12*参数!$B$39*参数!$B$2+AJ12*参数!$B$6*参数!$B$2+Z12*参数!$B$13-T12*参数!$B$14-AD12*参数!$B$13+IF(ISNUMBER(AU12),AU12*参数!$B$38,0)-AV12*参数!$B$41-AW12*参数!$B$14-参数!$B$17)*参数!$B$18,IF(AND(F12="能力",AL12="能力持续"),(参数!$B$2-1)*参数!$B$3,0)+M12*O12*参数!$B$5*IF(AND(F12="能力",AL12="能力持续"),参数!$B$2,1)+P12*参数!$B$6*IF(AND(F12="能力",AL12="能力持续"),参数!$B$2,1)+R12*参数!$B$7*IF(AND(F12="能力",AL12="能力持续"),参数!$B$2,1)+V12*参数!$B$8+IF(X12&lt;0,X12*参数!$B$13,X12*参数!$B$39)+IF(AE12&lt;0,AE12*参数!$B$13,AE12*参数!$B$12)*参数!$B$2+AQ12*参数!$B$15+AB12*参数!$B$11+AF12*参数!$B$40*参数!$B$2+AG12*参数!$B$44*参数!$B$2+AH12*参数!$B$6*参数!$B$2+AI12*参数!$B$39*参数!$B$2+AJ12*参数!$B$6*参数!$B$2+Z12*参数!$B$13-T12*参数!$B$14-AD12*参数!$B$13+IF(ISNUMBER(AU12),AU12*参数!$B$38,0)-AV12*参数!$B$41-AW12*参数!$B$14),0),0)</f>
        <v>0</v>
      </c>
      <c r="AZ12">
        <f>AY12-MAX(AP12,0)*参数!$B$10</f>
        <v>-1.2000000000000002</v>
      </c>
      <c r="BA12">
        <f t="shared" si="1"/>
        <v>0</v>
      </c>
    </row>
    <row r="13" spans="1:53" x14ac:dyDescent="0.3">
      <c r="A13">
        <v>12</v>
      </c>
      <c r="B13" t="s">
        <v>170</v>
      </c>
      <c r="C13" t="s">
        <v>105</v>
      </c>
      <c r="D13" t="s">
        <v>171</v>
      </c>
      <c r="E13" t="s">
        <v>172</v>
      </c>
      <c r="F13" t="s">
        <v>108</v>
      </c>
      <c r="G13" t="s">
        <v>12</v>
      </c>
      <c r="H13">
        <v>3</v>
      </c>
      <c r="I13">
        <v>3</v>
      </c>
      <c r="J13" t="s">
        <v>173</v>
      </c>
      <c r="L13" t="s">
        <v>111</v>
      </c>
      <c r="M13">
        <v>32</v>
      </c>
      <c r="N13">
        <v>42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112</v>
      </c>
      <c r="AP13">
        <f t="shared" si="0"/>
        <v>3</v>
      </c>
      <c r="AQ13">
        <v>0</v>
      </c>
      <c r="AR13">
        <v>0</v>
      </c>
      <c r="AT13" t="s">
        <v>113</v>
      </c>
      <c r="AU13">
        <v>0</v>
      </c>
      <c r="AY13">
        <f>IFERROR(MAX(IF(IF(AND(F13="能力",AL13="能力持续"),(参数!$B$2-1)*参数!$B$3,0)+M13*O13*参数!$B$5*IF(AND(F13="能力",AL13="能力持续"),参数!$B$2,1)+P13*参数!$B$6*IF(AND(F13="能力",AL13="能力持续"),参数!$B$2,1)+R13*参数!$B$7*IF(AND(F13="能力",AL13="能力持续"),参数!$B$2,1)+V13*参数!$B$8+IF(X13&lt;0,X13*参数!$B$13,X13*参数!$B$39)+IF(AE13&lt;0,AE13*参数!$B$13,AE13*参数!$B$12)*参数!$B$2+AQ13*参数!$B$15+AB13*参数!$B$11+AF13*参数!$B$40*参数!$B$2+AG13*参数!$B$44*参数!$B$2+AH13*参数!$B$6*参数!$B$2+AI13*参数!$B$39*参数!$B$2+AJ13*参数!$B$6*参数!$B$2+Z13*参数!$B$13-T13*参数!$B$14-AD13*参数!$B$13+IF(ISNUMBER(AU13),AU13*参数!$B$38,0)-AV13*参数!$B$41-AW13*参数!$B$14&gt;参数!$B$17,参数!$B$17+SQRT(IF(AND(F13="能力",AL13="能力持续"),(参数!$B$2-1)*参数!$B$3,0)+M13*O13*参数!$B$5*IF(AND(F13="能力",AL13="能力持续"),参数!$B$2,1)+P13*参数!$B$6*IF(AND(F13="能力",AL13="能力持续"),参数!$B$2,1)+R13*参数!$B$7*IF(AND(F13="能力",AL13="能力持续"),参数!$B$2,1)+V13*参数!$B$8+IF(X13&lt;0,X13*参数!$B$13,X13*参数!$B$39)+IF(AE13&lt;0,AE13*参数!$B$13,AE13*参数!$B$12)*参数!$B$2+AQ13*参数!$B$15+AB13*参数!$B$11+AF13*参数!$B$40*参数!$B$2+AG13*参数!$B$44*参数!$B$2+AH13*参数!$B$6*参数!$B$2+AI13*参数!$B$39*参数!$B$2+AJ13*参数!$B$6*参数!$B$2+Z13*参数!$B$13-T13*参数!$B$14-AD13*参数!$B$13+IF(ISNUMBER(AU13),AU13*参数!$B$38,0)-AV13*参数!$B$41-AW13*参数!$B$14-参数!$B$17)*参数!$B$18,IF(AND(F13="能力",AL13="能力持续"),(参数!$B$2-1)*参数!$B$3,0)+M13*O13*参数!$B$5*IF(AND(F13="能力",AL13="能力持续"),参数!$B$2,1)+P13*参数!$B$6*IF(AND(F13="能力",AL13="能力持续"),参数!$B$2,1)+R13*参数!$B$7*IF(AND(F13="能力",AL13="能力持续"),参数!$B$2,1)+V13*参数!$B$8+IF(X13&lt;0,X13*参数!$B$13,X13*参数!$B$39)+IF(AE13&lt;0,AE13*参数!$B$13,AE13*参数!$B$12)*参数!$B$2+AQ13*参数!$B$15+AB13*参数!$B$11+AF13*参数!$B$40*参数!$B$2+AG13*参数!$B$44*参数!$B$2+AH13*参数!$B$6*参数!$B$2+AI13*参数!$B$39*参数!$B$2+AJ13*参数!$B$6*参数!$B$2+Z13*参数!$B$13-T13*参数!$B$14-AD13*参数!$B$13+IF(ISNUMBER(AU13),AU13*参数!$B$38,0)-AV13*参数!$B$41-AW13*参数!$B$14),0),0)</f>
        <v>17.035623639735142</v>
      </c>
      <c r="AZ13">
        <f>AY13-MAX(AP13,0)*参数!$B$10</f>
        <v>8.0356236397351424</v>
      </c>
      <c r="BA13">
        <f t="shared" si="1"/>
        <v>5.6785412132450475</v>
      </c>
    </row>
    <row r="14" spans="1:53" x14ac:dyDescent="0.3">
      <c r="A14">
        <v>13</v>
      </c>
      <c r="B14" t="s">
        <v>174</v>
      </c>
      <c r="C14" t="s">
        <v>105</v>
      </c>
      <c r="D14" t="s">
        <v>175</v>
      </c>
      <c r="E14" t="s">
        <v>176</v>
      </c>
      <c r="F14" t="s">
        <v>108</v>
      </c>
      <c r="G14" t="s">
        <v>10</v>
      </c>
      <c r="H14">
        <v>1</v>
      </c>
      <c r="I14">
        <v>1</v>
      </c>
      <c r="J14" t="s">
        <v>177</v>
      </c>
      <c r="L14" t="s">
        <v>111</v>
      </c>
      <c r="M14">
        <v>10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112</v>
      </c>
      <c r="AP14">
        <f t="shared" si="0"/>
        <v>1</v>
      </c>
      <c r="AQ14">
        <v>0</v>
      </c>
      <c r="AR14">
        <v>0</v>
      </c>
      <c r="AT14" t="s">
        <v>113</v>
      </c>
      <c r="AU14">
        <v>0</v>
      </c>
      <c r="AY14">
        <f>IFERROR(MAX(IF(IF(AND(F14="能力",AL14="能力持续"),(参数!$B$2-1)*参数!$B$3,0)+M14*O14*参数!$B$5*IF(AND(F14="能力",AL14="能力持续"),参数!$B$2,1)+P14*参数!$B$6*IF(AND(F14="能力",AL14="能力持续"),参数!$B$2,1)+R14*参数!$B$7*IF(AND(F14="能力",AL14="能力持续"),参数!$B$2,1)+V14*参数!$B$8+IF(X14&lt;0,X14*参数!$B$13,X14*参数!$B$39)+IF(AE14&lt;0,AE14*参数!$B$13,AE14*参数!$B$12)*参数!$B$2+AQ14*参数!$B$15+AB14*参数!$B$11+AF14*参数!$B$40*参数!$B$2+AG14*参数!$B$44*参数!$B$2+AH14*参数!$B$6*参数!$B$2+AI14*参数!$B$39*参数!$B$2+AJ14*参数!$B$6*参数!$B$2+Z14*参数!$B$13-T14*参数!$B$14-AD14*参数!$B$13+IF(ISNUMBER(AU14),AU14*参数!$B$38,0)-AV14*参数!$B$41-AW14*参数!$B$14&gt;参数!$B$17,参数!$B$17+SQRT(IF(AND(F14="能力",AL14="能力持续"),(参数!$B$2-1)*参数!$B$3,0)+M14*O14*参数!$B$5*IF(AND(F14="能力",AL14="能力持续"),参数!$B$2,1)+P14*参数!$B$6*IF(AND(F14="能力",AL14="能力持续"),参数!$B$2,1)+R14*参数!$B$7*IF(AND(F14="能力",AL14="能力持续"),参数!$B$2,1)+V14*参数!$B$8+IF(X14&lt;0,X14*参数!$B$13,X14*参数!$B$39)+IF(AE14&lt;0,AE14*参数!$B$13,AE14*参数!$B$12)*参数!$B$2+AQ14*参数!$B$15+AB14*参数!$B$11+AF14*参数!$B$40*参数!$B$2+AG14*参数!$B$44*参数!$B$2+AH14*参数!$B$6*参数!$B$2+AI14*参数!$B$39*参数!$B$2+AJ14*参数!$B$6*参数!$B$2+Z14*参数!$B$13-T14*参数!$B$14-AD14*参数!$B$13+IF(ISNUMBER(AU14),AU14*参数!$B$38,0)-AV14*参数!$B$41-AW14*参数!$B$14-参数!$B$17)*参数!$B$18,IF(AND(F14="能力",AL14="能力持续"),(参数!$B$2-1)*参数!$B$3,0)+M14*O14*参数!$B$5*IF(AND(F14="能力",AL14="能力持续"),参数!$B$2,1)+P14*参数!$B$6*IF(AND(F14="能力",AL14="能力持续"),参数!$B$2,1)+R14*参数!$B$7*IF(AND(F14="能力",AL14="能力持续"),参数!$B$2,1)+V14*参数!$B$8+IF(X14&lt;0,X14*参数!$B$13,X14*参数!$B$39)+IF(AE14&lt;0,AE14*参数!$B$13,AE14*参数!$B$12)*参数!$B$2+AQ14*参数!$B$15+AB14*参数!$B$11+AF14*参数!$B$40*参数!$B$2+AG14*参数!$B$44*参数!$B$2+AH14*参数!$B$6*参数!$B$2+AI14*参数!$B$39*参数!$B$2+AJ14*参数!$B$6*参数!$B$2+Z14*参数!$B$13-T14*参数!$B$14-AD14*参数!$B$13+IF(ISNUMBER(AU14),AU14*参数!$B$38,0)-AV14*参数!$B$41-AW14*参数!$B$14),0),0)</f>
        <v>10</v>
      </c>
      <c r="AZ14">
        <f>AY14-MAX(AP14,0)*参数!$B$10</f>
        <v>7</v>
      </c>
      <c r="BA14">
        <f t="shared" si="1"/>
        <v>10</v>
      </c>
    </row>
    <row r="15" spans="1:53" x14ac:dyDescent="0.3">
      <c r="A15">
        <v>14</v>
      </c>
      <c r="B15" t="s">
        <v>178</v>
      </c>
      <c r="C15" t="s">
        <v>105</v>
      </c>
      <c r="D15" t="s">
        <v>179</v>
      </c>
      <c r="E15" t="s">
        <v>180</v>
      </c>
      <c r="F15" t="s">
        <v>117</v>
      </c>
      <c r="G15" t="s">
        <v>14</v>
      </c>
      <c r="H15">
        <v>0</v>
      </c>
      <c r="I15">
        <v>0</v>
      </c>
      <c r="J15" t="s">
        <v>181</v>
      </c>
      <c r="K15" t="s">
        <v>182</v>
      </c>
      <c r="L15" t="s">
        <v>111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112</v>
      </c>
      <c r="AO15" t="s">
        <v>182</v>
      </c>
      <c r="AP15">
        <f t="shared" si="0"/>
        <v>0.4</v>
      </c>
      <c r="AQ15">
        <v>0</v>
      </c>
      <c r="AR15">
        <v>0</v>
      </c>
      <c r="AT15" t="s">
        <v>113</v>
      </c>
      <c r="AU15">
        <v>0</v>
      </c>
      <c r="AY15">
        <f>IFERROR(MAX(IF(IF(AND(F15="能力",AL15="能力持续"),(参数!$B$2-1)*参数!$B$3,0)+M15*O15*参数!$B$5*IF(AND(F15="能力",AL15="能力持续"),参数!$B$2,1)+P15*参数!$B$6*IF(AND(F15="能力",AL15="能力持续"),参数!$B$2,1)+R15*参数!$B$7*IF(AND(F15="能力",AL15="能力持续"),参数!$B$2,1)+V15*参数!$B$8+IF(X15&lt;0,X15*参数!$B$13,X15*参数!$B$39)+IF(AE15&lt;0,AE15*参数!$B$13,AE15*参数!$B$12)*参数!$B$2+AQ15*参数!$B$15+AB15*参数!$B$11+AF15*参数!$B$40*参数!$B$2+AG15*参数!$B$44*参数!$B$2+AH15*参数!$B$6*参数!$B$2+AI15*参数!$B$39*参数!$B$2+AJ15*参数!$B$6*参数!$B$2+Z15*参数!$B$13-T15*参数!$B$14-AD15*参数!$B$13+IF(ISNUMBER(AU15),AU15*参数!$B$38,0)-AV15*参数!$B$41-AW15*参数!$B$14&gt;参数!$B$17,参数!$B$17+SQRT(IF(AND(F15="能力",AL15="能力持续"),(参数!$B$2-1)*参数!$B$3,0)+M15*O15*参数!$B$5*IF(AND(F15="能力",AL15="能力持续"),参数!$B$2,1)+P15*参数!$B$6*IF(AND(F15="能力",AL15="能力持续"),参数!$B$2,1)+R15*参数!$B$7*IF(AND(F15="能力",AL15="能力持续"),参数!$B$2,1)+V15*参数!$B$8+IF(X15&lt;0,X15*参数!$B$13,X15*参数!$B$39)+IF(AE15&lt;0,AE15*参数!$B$13,AE15*参数!$B$12)*参数!$B$2+AQ15*参数!$B$15+AB15*参数!$B$11+AF15*参数!$B$40*参数!$B$2+AG15*参数!$B$44*参数!$B$2+AH15*参数!$B$6*参数!$B$2+AI15*参数!$B$39*参数!$B$2+AJ15*参数!$B$6*参数!$B$2+Z15*参数!$B$13-T15*参数!$B$14-AD15*参数!$B$13+IF(ISNUMBER(AU15),AU15*参数!$B$38,0)-AV15*参数!$B$41-AW15*参数!$B$14-参数!$B$17)*参数!$B$18,IF(AND(F15="能力",AL15="能力持续"),(参数!$B$2-1)*参数!$B$3,0)+M15*O15*参数!$B$5*IF(AND(F15="能力",AL15="能力持续"),参数!$B$2,1)+P15*参数!$B$6*IF(AND(F15="能力",AL15="能力持续"),参数!$B$2,1)+R15*参数!$B$7*IF(AND(F15="能力",AL15="能力持续"),参数!$B$2,1)+V15*参数!$B$8+IF(X15&lt;0,X15*参数!$B$13,X15*参数!$B$39)+IF(AE15&lt;0,AE15*参数!$B$13,AE15*参数!$B$12)*参数!$B$2+AQ15*参数!$B$15+AB15*参数!$B$11+AF15*参数!$B$40*参数!$B$2+AG15*参数!$B$44*参数!$B$2+AH15*参数!$B$6*参数!$B$2+AI15*参数!$B$39*参数!$B$2+AJ15*参数!$B$6*参数!$B$2+Z15*参数!$B$13-T15*参数!$B$14-AD15*参数!$B$13+IF(ISNUMBER(AU15),AU15*参数!$B$38,0)-AV15*参数!$B$41-AW15*参数!$B$14),0),0)</f>
        <v>3.3</v>
      </c>
      <c r="AZ15">
        <f>AY15-MAX(AP15,0)*参数!$B$10</f>
        <v>2.0999999999999996</v>
      </c>
      <c r="BA15">
        <f t="shared" si="1"/>
        <v>8.2499999999999982</v>
      </c>
    </row>
    <row r="16" spans="1:53" x14ac:dyDescent="0.3">
      <c r="A16">
        <v>15</v>
      </c>
      <c r="B16" t="s">
        <v>183</v>
      </c>
      <c r="C16" t="s">
        <v>105</v>
      </c>
      <c r="D16" t="s">
        <v>184</v>
      </c>
      <c r="E16" t="s">
        <v>185</v>
      </c>
      <c r="F16" t="s">
        <v>108</v>
      </c>
      <c r="G16" t="s">
        <v>16</v>
      </c>
      <c r="H16">
        <v>2</v>
      </c>
      <c r="I16">
        <v>2</v>
      </c>
      <c r="J16" t="s">
        <v>186</v>
      </c>
      <c r="L16" t="s">
        <v>111</v>
      </c>
      <c r="M16">
        <v>20</v>
      </c>
      <c r="N16">
        <v>24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</v>
      </c>
      <c r="AB16">
        <v>5</v>
      </c>
      <c r="AC16">
        <v>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112</v>
      </c>
      <c r="AP16">
        <f t="shared" si="0"/>
        <v>2</v>
      </c>
      <c r="AQ16">
        <v>0</v>
      </c>
      <c r="AR16">
        <v>0</v>
      </c>
      <c r="AT16" t="s">
        <v>113</v>
      </c>
      <c r="AU16">
        <v>0</v>
      </c>
      <c r="AY16">
        <f>IFERROR(MAX(IF(IF(AND(F16="能力",AL16="能力持续"),(参数!$B$2-1)*参数!$B$3,0)+M16*O16*参数!$B$5*IF(AND(F16="能力",AL16="能力持续"),参数!$B$2,1)+P16*参数!$B$6*IF(AND(F16="能力",AL16="能力持续"),参数!$B$2,1)+R16*参数!$B$7*IF(AND(F16="能力",AL16="能力持续"),参数!$B$2,1)+V16*参数!$B$8+IF(X16&lt;0,X16*参数!$B$13,X16*参数!$B$39)+IF(AE16&lt;0,AE16*参数!$B$13,AE16*参数!$B$12)*参数!$B$2+AQ16*参数!$B$15+AB16*参数!$B$11+AF16*参数!$B$40*参数!$B$2+AG16*参数!$B$44*参数!$B$2+AH16*参数!$B$6*参数!$B$2+AI16*参数!$B$39*参数!$B$2+AJ16*参数!$B$6*参数!$B$2+Z16*参数!$B$13-T16*参数!$B$14-AD16*参数!$B$13+IF(ISNUMBER(AU16),AU16*参数!$B$38,0)-AV16*参数!$B$41-AW16*参数!$B$14&gt;参数!$B$17,参数!$B$17+SQRT(IF(AND(F16="能力",AL16="能力持续"),(参数!$B$2-1)*参数!$B$3,0)+M16*O16*参数!$B$5*IF(AND(F16="能力",AL16="能力持续"),参数!$B$2,1)+P16*参数!$B$6*IF(AND(F16="能力",AL16="能力持续"),参数!$B$2,1)+R16*参数!$B$7*IF(AND(F16="能力",AL16="能力持续"),参数!$B$2,1)+V16*参数!$B$8+IF(X16&lt;0,X16*参数!$B$13,X16*参数!$B$39)+IF(AE16&lt;0,AE16*参数!$B$13,AE16*参数!$B$12)*参数!$B$2+AQ16*参数!$B$15+AB16*参数!$B$11+AF16*参数!$B$40*参数!$B$2+AG16*参数!$B$44*参数!$B$2+AH16*参数!$B$6*参数!$B$2+AI16*参数!$B$39*参数!$B$2+AJ16*参数!$B$6*参数!$B$2+Z16*参数!$B$13-T16*参数!$B$14-AD16*参数!$B$13+IF(ISNUMBER(AU16),AU16*参数!$B$38,0)-AV16*参数!$B$41-AW16*参数!$B$14-参数!$B$17)*参数!$B$18,IF(AND(F16="能力",AL16="能力持续"),(参数!$B$2-1)*参数!$B$3,0)+M16*O16*参数!$B$5*IF(AND(F16="能力",AL16="能力持续"),参数!$B$2,1)+P16*参数!$B$6*IF(AND(F16="能力",AL16="能力持续"),参数!$B$2,1)+R16*参数!$B$7*IF(AND(F16="能力",AL16="能力持续"),参数!$B$2,1)+V16*参数!$B$8+IF(X16&lt;0,X16*参数!$B$13,X16*参数!$B$39)+IF(AE16&lt;0,AE16*参数!$B$13,AE16*参数!$B$12)*参数!$B$2+AQ16*参数!$B$15+AB16*参数!$B$11+AF16*参数!$B$40*参数!$B$2+AG16*参数!$B$44*参数!$B$2+AH16*参数!$B$6*参数!$B$2+AI16*参数!$B$39*参数!$B$2+AJ16*参数!$B$6*参数!$B$2+Z16*参数!$B$13-T16*参数!$B$14-AD16*参数!$B$13+IF(ISNUMBER(AU16),AU16*参数!$B$38,0)-AV16*参数!$B$41-AW16*参数!$B$14),0),0)</f>
        <v>16.093028803476969</v>
      </c>
      <c r="AZ16">
        <f>AY16-MAX(AP16,0)*参数!$B$10</f>
        <v>10.093028803476969</v>
      </c>
      <c r="BA16">
        <f t="shared" si="1"/>
        <v>8.0465144017384844</v>
      </c>
    </row>
    <row r="17" spans="1:53" x14ac:dyDescent="0.3">
      <c r="A17">
        <v>16</v>
      </c>
      <c r="B17" t="s">
        <v>187</v>
      </c>
      <c r="C17" t="s">
        <v>105</v>
      </c>
      <c r="D17" t="s">
        <v>188</v>
      </c>
      <c r="E17" t="s">
        <v>189</v>
      </c>
      <c r="F17" t="s">
        <v>108</v>
      </c>
      <c r="G17" t="s">
        <v>10</v>
      </c>
      <c r="H17">
        <v>1</v>
      </c>
      <c r="I17">
        <v>1</v>
      </c>
      <c r="J17" t="s">
        <v>190</v>
      </c>
      <c r="L17" t="s">
        <v>191</v>
      </c>
      <c r="M17">
        <v>9</v>
      </c>
      <c r="N17">
        <v>13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112</v>
      </c>
      <c r="AN17" t="s">
        <v>192</v>
      </c>
      <c r="AP17">
        <f t="shared" si="0"/>
        <v>1</v>
      </c>
      <c r="AQ17">
        <v>0</v>
      </c>
      <c r="AR17">
        <v>0</v>
      </c>
      <c r="AT17" t="s">
        <v>113</v>
      </c>
      <c r="AU17">
        <v>0</v>
      </c>
      <c r="AY17">
        <f>IFERROR(MAX(IF(IF(AND(F17="能力",AL17="能力持续"),(参数!$B$2-1)*参数!$B$3,0)+M17*O17*参数!$B$5*IF(AND(F17="能力",AL17="能力持续"),参数!$B$2,1)+P17*参数!$B$6*IF(AND(F17="能力",AL17="能力持续"),参数!$B$2,1)+R17*参数!$B$7*IF(AND(F17="能力",AL17="能力持续"),参数!$B$2,1)+V17*参数!$B$8+IF(X17&lt;0,X17*参数!$B$13,X17*参数!$B$39)+IF(AE17&lt;0,AE17*参数!$B$13,AE17*参数!$B$12)*参数!$B$2+AQ17*参数!$B$15+AB17*参数!$B$11+AF17*参数!$B$40*参数!$B$2+AG17*参数!$B$44*参数!$B$2+AH17*参数!$B$6*参数!$B$2+AI17*参数!$B$39*参数!$B$2+AJ17*参数!$B$6*参数!$B$2+Z17*参数!$B$13-T17*参数!$B$14-AD17*参数!$B$13+IF(ISNUMBER(AU17),AU17*参数!$B$38,0)-AV17*参数!$B$41-AW17*参数!$B$14&gt;参数!$B$17,参数!$B$17+SQRT(IF(AND(F17="能力",AL17="能力持续"),(参数!$B$2-1)*参数!$B$3,0)+M17*O17*参数!$B$5*IF(AND(F17="能力",AL17="能力持续"),参数!$B$2,1)+P17*参数!$B$6*IF(AND(F17="能力",AL17="能力持续"),参数!$B$2,1)+R17*参数!$B$7*IF(AND(F17="能力",AL17="能力持续"),参数!$B$2,1)+V17*参数!$B$8+IF(X17&lt;0,X17*参数!$B$13,X17*参数!$B$39)+IF(AE17&lt;0,AE17*参数!$B$13,AE17*参数!$B$12)*参数!$B$2+AQ17*参数!$B$15+AB17*参数!$B$11+AF17*参数!$B$40*参数!$B$2+AG17*参数!$B$44*参数!$B$2+AH17*参数!$B$6*参数!$B$2+AI17*参数!$B$39*参数!$B$2+AJ17*参数!$B$6*参数!$B$2+Z17*参数!$B$13-T17*参数!$B$14-AD17*参数!$B$13+IF(ISNUMBER(AU17),AU17*参数!$B$38,0)-AV17*参数!$B$41-AW17*参数!$B$14-参数!$B$17)*参数!$B$18,IF(AND(F17="能力",AL17="能力持续"),(参数!$B$2-1)*参数!$B$3,0)+M17*O17*参数!$B$5*IF(AND(F17="能力",AL17="能力持续"),参数!$B$2,1)+P17*参数!$B$6*IF(AND(F17="能力",AL17="能力持续"),参数!$B$2,1)+R17*参数!$B$7*IF(AND(F17="能力",AL17="能力持续"),参数!$B$2,1)+V17*参数!$B$8+IF(X17&lt;0,X17*参数!$B$13,X17*参数!$B$39)+IF(AE17&lt;0,AE17*参数!$B$13,AE17*参数!$B$12)*参数!$B$2+AQ17*参数!$B$15+AB17*参数!$B$11+AF17*参数!$B$40*参数!$B$2+AG17*参数!$B$44*参数!$B$2+AH17*参数!$B$6*参数!$B$2+AI17*参数!$B$39*参数!$B$2+AJ17*参数!$B$6*参数!$B$2+Z17*参数!$B$13-T17*参数!$B$14-AD17*参数!$B$13+IF(ISNUMBER(AU17),AU17*参数!$B$38,0)-AV17*参数!$B$41-AW17*参数!$B$14),0),0)</f>
        <v>9</v>
      </c>
      <c r="AZ17">
        <f>AY17-MAX(AP17,0)*参数!$B$10</f>
        <v>6</v>
      </c>
      <c r="BA17">
        <f t="shared" si="1"/>
        <v>9</v>
      </c>
    </row>
    <row r="18" spans="1:53" x14ac:dyDescent="0.3">
      <c r="A18">
        <v>17</v>
      </c>
      <c r="B18" t="s">
        <v>193</v>
      </c>
      <c r="C18" t="s">
        <v>105</v>
      </c>
      <c r="D18" t="s">
        <v>194</v>
      </c>
      <c r="E18" t="s">
        <v>195</v>
      </c>
      <c r="F18" t="s">
        <v>108</v>
      </c>
      <c r="G18" t="s">
        <v>12</v>
      </c>
      <c r="H18">
        <v>0</v>
      </c>
      <c r="I18">
        <v>0</v>
      </c>
      <c r="J18" t="s">
        <v>196</v>
      </c>
      <c r="L18" t="s">
        <v>111</v>
      </c>
      <c r="M18">
        <v>6</v>
      </c>
      <c r="N18">
        <v>8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112</v>
      </c>
      <c r="AP18">
        <f t="shared" si="0"/>
        <v>0.4</v>
      </c>
      <c r="AQ18">
        <v>0</v>
      </c>
      <c r="AR18">
        <v>0</v>
      </c>
      <c r="AT18" t="s">
        <v>113</v>
      </c>
      <c r="AU18">
        <v>0</v>
      </c>
      <c r="AY18">
        <f>IFERROR(MAX(IF(IF(AND(F18="能力",AL18="能力持续"),(参数!$B$2-1)*参数!$B$3,0)+M18*O18*参数!$B$5*IF(AND(F18="能力",AL18="能力持续"),参数!$B$2,1)+P18*参数!$B$6*IF(AND(F18="能力",AL18="能力持续"),参数!$B$2,1)+R18*参数!$B$7*IF(AND(F18="能力",AL18="能力持续"),参数!$B$2,1)+V18*参数!$B$8+IF(X18&lt;0,X18*参数!$B$13,X18*参数!$B$39)+IF(AE18&lt;0,AE18*参数!$B$13,AE18*参数!$B$12)*参数!$B$2+AQ18*参数!$B$15+AB18*参数!$B$11+AF18*参数!$B$40*参数!$B$2+AG18*参数!$B$44*参数!$B$2+AH18*参数!$B$6*参数!$B$2+AI18*参数!$B$39*参数!$B$2+AJ18*参数!$B$6*参数!$B$2+Z18*参数!$B$13-T18*参数!$B$14-AD18*参数!$B$13+IF(ISNUMBER(AU18),AU18*参数!$B$38,0)-AV18*参数!$B$41-AW18*参数!$B$14&gt;参数!$B$17,参数!$B$17+SQRT(IF(AND(F18="能力",AL18="能力持续"),(参数!$B$2-1)*参数!$B$3,0)+M18*O18*参数!$B$5*IF(AND(F18="能力",AL18="能力持续"),参数!$B$2,1)+P18*参数!$B$6*IF(AND(F18="能力",AL18="能力持续"),参数!$B$2,1)+R18*参数!$B$7*IF(AND(F18="能力",AL18="能力持续"),参数!$B$2,1)+V18*参数!$B$8+IF(X18&lt;0,X18*参数!$B$13,X18*参数!$B$39)+IF(AE18&lt;0,AE18*参数!$B$13,AE18*参数!$B$12)*参数!$B$2+AQ18*参数!$B$15+AB18*参数!$B$11+AF18*参数!$B$40*参数!$B$2+AG18*参数!$B$44*参数!$B$2+AH18*参数!$B$6*参数!$B$2+AI18*参数!$B$39*参数!$B$2+AJ18*参数!$B$6*参数!$B$2+Z18*参数!$B$13-T18*参数!$B$14-AD18*参数!$B$13+IF(ISNUMBER(AU18),AU18*参数!$B$38,0)-AV18*参数!$B$41-AW18*参数!$B$14-参数!$B$17)*参数!$B$18,IF(AND(F18="能力",AL18="能力持续"),(参数!$B$2-1)*参数!$B$3,0)+M18*O18*参数!$B$5*IF(AND(F18="能力",AL18="能力持续"),参数!$B$2,1)+P18*参数!$B$6*IF(AND(F18="能力",AL18="能力持续"),参数!$B$2,1)+R18*参数!$B$7*IF(AND(F18="能力",AL18="能力持续"),参数!$B$2,1)+V18*参数!$B$8+IF(X18&lt;0,X18*参数!$B$13,X18*参数!$B$39)+IF(AE18&lt;0,AE18*参数!$B$13,AE18*参数!$B$12)*参数!$B$2+AQ18*参数!$B$15+AB18*参数!$B$11+AF18*参数!$B$40*参数!$B$2+AG18*参数!$B$44*参数!$B$2+AH18*参数!$B$6*参数!$B$2+AI18*参数!$B$39*参数!$B$2+AJ18*参数!$B$6*参数!$B$2+Z18*参数!$B$13-T18*参数!$B$14-AD18*参数!$B$13+IF(ISNUMBER(AU18),AU18*参数!$B$38,0)-AV18*参数!$B$41-AW18*参数!$B$14),0),0)</f>
        <v>6</v>
      </c>
      <c r="AZ18">
        <f>AY18-MAX(AP18,0)*参数!$B$10</f>
        <v>4.8</v>
      </c>
      <c r="BA18">
        <f t="shared" si="1"/>
        <v>15</v>
      </c>
    </row>
    <row r="19" spans="1:53" x14ac:dyDescent="0.3">
      <c r="A19">
        <v>18</v>
      </c>
      <c r="B19" t="s">
        <v>197</v>
      </c>
      <c r="C19" t="s">
        <v>105</v>
      </c>
      <c r="D19" t="s">
        <v>198</v>
      </c>
      <c r="E19" t="s">
        <v>199</v>
      </c>
      <c r="F19" t="s">
        <v>117</v>
      </c>
      <c r="G19" t="s">
        <v>12</v>
      </c>
      <c r="H19">
        <v>1</v>
      </c>
      <c r="I19">
        <v>1</v>
      </c>
      <c r="J19" t="s">
        <v>200</v>
      </c>
      <c r="K19" t="s">
        <v>182</v>
      </c>
      <c r="L19" t="s">
        <v>111</v>
      </c>
      <c r="M19">
        <v>0</v>
      </c>
      <c r="N19">
        <v>0</v>
      </c>
      <c r="O19">
        <v>1</v>
      </c>
      <c r="P19">
        <v>0</v>
      </c>
      <c r="Q19">
        <v>0</v>
      </c>
      <c r="R19">
        <v>2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112</v>
      </c>
      <c r="AO19" t="s">
        <v>182</v>
      </c>
      <c r="AP19">
        <f t="shared" si="0"/>
        <v>1</v>
      </c>
      <c r="AQ19">
        <v>0</v>
      </c>
      <c r="AR19">
        <v>0</v>
      </c>
      <c r="AT19" t="s">
        <v>113</v>
      </c>
      <c r="AU19">
        <v>0</v>
      </c>
      <c r="AW19">
        <v>1</v>
      </c>
      <c r="AY19">
        <f>IFERROR(MAX(IF(IF(AND(F19="能力",AL19="能力持续"),(参数!$B$2-1)*参数!$B$3,0)+M19*O19*参数!$B$5*IF(AND(F19="能力",AL19="能力持续"),参数!$B$2,1)+P19*参数!$B$6*IF(AND(F19="能力",AL19="能力持续"),参数!$B$2,1)+R19*参数!$B$7*IF(AND(F19="能力",AL19="能力持续"),参数!$B$2,1)+V19*参数!$B$8+IF(X19&lt;0,X19*参数!$B$13,X19*参数!$B$39)+IF(AE19&lt;0,AE19*参数!$B$13,AE19*参数!$B$12)*参数!$B$2+AQ19*参数!$B$15+AB19*参数!$B$11+AF19*参数!$B$40*参数!$B$2+AG19*参数!$B$44*参数!$B$2+AH19*参数!$B$6*参数!$B$2+AI19*参数!$B$39*参数!$B$2+AJ19*参数!$B$6*参数!$B$2+Z19*参数!$B$13-T19*参数!$B$14-AD19*参数!$B$13+IF(ISNUMBER(AU19),AU19*参数!$B$38,0)-AV19*参数!$B$41-AW19*参数!$B$14&gt;参数!$B$17,参数!$B$17+SQRT(IF(AND(F19="能力",AL19="能力持续"),(参数!$B$2-1)*参数!$B$3,0)+M19*O19*参数!$B$5*IF(AND(F19="能力",AL19="能力持续"),参数!$B$2,1)+P19*参数!$B$6*IF(AND(F19="能力",AL19="能力持续"),参数!$B$2,1)+R19*参数!$B$7*IF(AND(F19="能力",AL19="能力持续"),参数!$B$2,1)+V19*参数!$B$8+IF(X19&lt;0,X19*参数!$B$13,X19*参数!$B$39)+IF(AE19&lt;0,AE19*参数!$B$13,AE19*参数!$B$12)*参数!$B$2+AQ19*参数!$B$15+AB19*参数!$B$11+AF19*参数!$B$40*参数!$B$2+AG19*参数!$B$44*参数!$B$2+AH19*参数!$B$6*参数!$B$2+AI19*参数!$B$39*参数!$B$2+AJ19*参数!$B$6*参数!$B$2+Z19*参数!$B$13-T19*参数!$B$14-AD19*参数!$B$13+IF(ISNUMBER(AU19),AU19*参数!$B$38,0)-AV19*参数!$B$41-AW19*参数!$B$14-参数!$B$17)*参数!$B$18,IF(AND(F19="能力",AL19="能力持续"),(参数!$B$2-1)*参数!$B$3,0)+M19*O19*参数!$B$5*IF(AND(F19="能力",AL19="能力持续"),参数!$B$2,1)+P19*参数!$B$6*IF(AND(F19="能力",AL19="能力持续"),参数!$B$2,1)+R19*参数!$B$7*IF(AND(F19="能力",AL19="能力持续"),参数!$B$2,1)+V19*参数!$B$8+IF(X19&lt;0,X19*参数!$B$13,X19*参数!$B$39)+IF(AE19&lt;0,AE19*参数!$B$13,AE19*参数!$B$12)*参数!$B$2+AQ19*参数!$B$15+AB19*参数!$B$11+AF19*参数!$B$40*参数!$B$2+AG19*参数!$B$44*参数!$B$2+AH19*参数!$B$6*参数!$B$2+AI19*参数!$B$39*参数!$B$2+AJ19*参数!$B$6*参数!$B$2+Z19*参数!$B$13-T19*参数!$B$14-AD19*参数!$B$13+IF(ISNUMBER(AU19),AU19*参数!$B$38,0)-AV19*参数!$B$41-AW19*参数!$B$14),0),0)</f>
        <v>0</v>
      </c>
      <c r="AZ19">
        <f>AY19-MAX(AP19,0)*参数!$B$10</f>
        <v>-3</v>
      </c>
      <c r="BA19">
        <f t="shared" si="1"/>
        <v>0</v>
      </c>
    </row>
    <row r="20" spans="1:53" x14ac:dyDescent="0.3">
      <c r="A20">
        <v>19</v>
      </c>
      <c r="B20" t="s">
        <v>201</v>
      </c>
      <c r="C20" t="s">
        <v>105</v>
      </c>
      <c r="D20" t="s">
        <v>1856</v>
      </c>
      <c r="E20" t="s">
        <v>202</v>
      </c>
      <c r="F20" t="s">
        <v>117</v>
      </c>
      <c r="G20" t="s">
        <v>14</v>
      </c>
      <c r="H20" t="s">
        <v>203</v>
      </c>
      <c r="I20" t="s">
        <v>203</v>
      </c>
      <c r="J20" t="s">
        <v>204</v>
      </c>
      <c r="L20" t="s">
        <v>111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112</v>
      </c>
      <c r="AP20">
        <f t="shared" si="0"/>
        <v>0.4</v>
      </c>
      <c r="AQ20">
        <f>参数!$B$26*参数!$B$48</f>
        <v>28</v>
      </c>
      <c r="AR20">
        <v>0</v>
      </c>
      <c r="AT20" t="s">
        <v>113</v>
      </c>
      <c r="AU20">
        <v>0</v>
      </c>
      <c r="AY20">
        <f>IFERROR(MAX(IF(IF(AND(F20="能力",AL20="能力持续"),(参数!$B$2-1)*参数!$B$3,0)+M20*O20*参数!$B$5*IF(AND(F20="能力",AL20="能力持续"),参数!$B$2,1)+P20*参数!$B$6*IF(AND(F20="能力",AL20="能力持续"),参数!$B$2,1)+R20*参数!$B$7*IF(AND(F20="能力",AL20="能力持续"),参数!$B$2,1)+V20*参数!$B$8+IF(X20&lt;0,X20*参数!$B$13,X20*参数!$B$39)+IF(AE20&lt;0,AE20*参数!$B$13,AE20*参数!$B$12)*参数!$B$2+AQ20*参数!$B$15+AB20*参数!$B$11+AF20*参数!$B$40*参数!$B$2+AG20*参数!$B$44*参数!$B$2+AH20*参数!$B$6*参数!$B$2+AI20*参数!$B$39*参数!$B$2+AJ20*参数!$B$6*参数!$B$2+Z20*参数!$B$13-T20*参数!$B$14-AD20*参数!$B$13+IF(ISNUMBER(AU20),AU20*参数!$B$38,0)-AV20*参数!$B$41-AW20*参数!$B$14&gt;参数!$B$17,参数!$B$17+SQRT(IF(AND(F20="能力",AL20="能力持续"),(参数!$B$2-1)*参数!$B$3,0)+M20*O20*参数!$B$5*IF(AND(F20="能力",AL20="能力持续"),参数!$B$2,1)+P20*参数!$B$6*IF(AND(F20="能力",AL20="能力持续"),参数!$B$2,1)+R20*参数!$B$7*IF(AND(F20="能力",AL20="能力持续"),参数!$B$2,1)+V20*参数!$B$8+IF(X20&lt;0,X20*参数!$B$13,X20*参数!$B$39)+IF(AE20&lt;0,AE20*参数!$B$13,AE20*参数!$B$12)*参数!$B$2+AQ20*参数!$B$15+AB20*参数!$B$11+AF20*参数!$B$40*参数!$B$2+AG20*参数!$B$44*参数!$B$2+AH20*参数!$B$6*参数!$B$2+AI20*参数!$B$39*参数!$B$2+AJ20*参数!$B$6*参数!$B$2+Z20*参数!$B$13-T20*参数!$B$14-AD20*参数!$B$13+IF(ISNUMBER(AU20),AU20*参数!$B$38,0)-AV20*参数!$B$41-AW20*参数!$B$14-参数!$B$17)*参数!$B$18,IF(AND(F20="能力",AL20="能力持续"),(参数!$B$2-1)*参数!$B$3,0)+M20*O20*参数!$B$5*IF(AND(F20="能力",AL20="能力持续"),参数!$B$2,1)+P20*参数!$B$6*IF(AND(F20="能力",AL20="能力持续"),参数!$B$2,1)+R20*参数!$B$7*IF(AND(F20="能力",AL20="能力持续"),参数!$B$2,1)+V20*参数!$B$8+IF(X20&lt;0,X20*参数!$B$13,X20*参数!$B$39)+IF(AE20&lt;0,AE20*参数!$B$13,AE20*参数!$B$12)*参数!$B$2+AQ20*参数!$B$15+AB20*参数!$B$11+AF20*参数!$B$40*参数!$B$2+AG20*参数!$B$44*参数!$B$2+AH20*参数!$B$6*参数!$B$2+AI20*参数!$B$39*参数!$B$2+AJ20*参数!$B$6*参数!$B$2+Z20*参数!$B$13-T20*参数!$B$14-AD20*参数!$B$13+IF(ISNUMBER(AU20),AU20*参数!$B$38,0)-AV20*参数!$B$41-AW20*参数!$B$14),0),0)</f>
        <v>22.903487900563938</v>
      </c>
      <c r="AZ20">
        <f>AY20-MAX(AP20,0)*参数!$B$10</f>
        <v>21.703487900563939</v>
      </c>
      <c r="BA20">
        <f t="shared" si="1"/>
        <v>57.258719751409842</v>
      </c>
    </row>
    <row r="21" spans="1:53" x14ac:dyDescent="0.3">
      <c r="A21">
        <v>20</v>
      </c>
      <c r="B21" t="s">
        <v>205</v>
      </c>
      <c r="C21" t="s">
        <v>105</v>
      </c>
      <c r="D21" t="s">
        <v>206</v>
      </c>
      <c r="E21" t="s">
        <v>207</v>
      </c>
      <c r="F21" t="s">
        <v>108</v>
      </c>
      <c r="G21" t="s">
        <v>10</v>
      </c>
      <c r="H21">
        <v>2</v>
      </c>
      <c r="I21">
        <v>2</v>
      </c>
      <c r="J21" t="s">
        <v>208</v>
      </c>
      <c r="K21" t="s">
        <v>182</v>
      </c>
      <c r="L21" t="s">
        <v>111</v>
      </c>
      <c r="M21">
        <v>18</v>
      </c>
      <c r="N21">
        <v>24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112</v>
      </c>
      <c r="AO21" t="s">
        <v>182</v>
      </c>
      <c r="AP21">
        <f t="shared" si="0"/>
        <v>2</v>
      </c>
      <c r="AQ21">
        <v>0</v>
      </c>
      <c r="AR21">
        <v>0</v>
      </c>
      <c r="AT21" t="s">
        <v>113</v>
      </c>
      <c r="AU21">
        <v>0</v>
      </c>
      <c r="AY21">
        <f>IFERROR(MAX(IF(IF(AND(F21="能力",AL21="能力持续"),(参数!$B$2-1)*参数!$B$3,0)+M21*O21*参数!$B$5*IF(AND(F21="能力",AL21="能力持续"),参数!$B$2,1)+P21*参数!$B$6*IF(AND(F21="能力",AL21="能力持续"),参数!$B$2,1)+R21*参数!$B$7*IF(AND(F21="能力",AL21="能力持续"),参数!$B$2,1)+V21*参数!$B$8+IF(X21&lt;0,X21*参数!$B$13,X21*参数!$B$39)+IF(AE21&lt;0,AE21*参数!$B$13,AE21*参数!$B$12)*参数!$B$2+AQ21*参数!$B$15+AB21*参数!$B$11+AF21*参数!$B$40*参数!$B$2+AG21*参数!$B$44*参数!$B$2+AH21*参数!$B$6*参数!$B$2+AI21*参数!$B$39*参数!$B$2+AJ21*参数!$B$6*参数!$B$2+Z21*参数!$B$13-T21*参数!$B$14-AD21*参数!$B$13+IF(ISNUMBER(AU21),AU21*参数!$B$38,0)-AV21*参数!$B$41-AW21*参数!$B$14&gt;参数!$B$17,参数!$B$17+SQRT(IF(AND(F21="能力",AL21="能力持续"),(参数!$B$2-1)*参数!$B$3,0)+M21*O21*参数!$B$5*IF(AND(F21="能力",AL21="能力持续"),参数!$B$2,1)+P21*参数!$B$6*IF(AND(F21="能力",AL21="能力持续"),参数!$B$2,1)+R21*参数!$B$7*IF(AND(F21="能力",AL21="能力持续"),参数!$B$2,1)+V21*参数!$B$8+IF(X21&lt;0,X21*参数!$B$13,X21*参数!$B$39)+IF(AE21&lt;0,AE21*参数!$B$13,AE21*参数!$B$12)*参数!$B$2+AQ21*参数!$B$15+AB21*参数!$B$11+AF21*参数!$B$40*参数!$B$2+AG21*参数!$B$44*参数!$B$2+AH21*参数!$B$6*参数!$B$2+AI21*参数!$B$39*参数!$B$2+AJ21*参数!$B$6*参数!$B$2+Z21*参数!$B$13-T21*参数!$B$14-AD21*参数!$B$13+IF(ISNUMBER(AU21),AU21*参数!$B$38,0)-AV21*参数!$B$41-AW21*参数!$B$14-参数!$B$17)*参数!$B$18,IF(AND(F21="能力",AL21="能力持续"),(参数!$B$2-1)*参数!$B$3,0)+M21*O21*参数!$B$5*IF(AND(F21="能力",AL21="能力持续"),参数!$B$2,1)+P21*参数!$B$6*IF(AND(F21="能力",AL21="能力持续"),参数!$B$2,1)+R21*参数!$B$7*IF(AND(F21="能力",AL21="能力持续"),参数!$B$2,1)+V21*参数!$B$8+IF(X21&lt;0,X21*参数!$B$13,X21*参数!$B$39)+IF(AE21&lt;0,AE21*参数!$B$13,AE21*参数!$B$12)*参数!$B$2+AQ21*参数!$B$15+AB21*参数!$B$11+AF21*参数!$B$40*参数!$B$2+AG21*参数!$B$44*参数!$B$2+AH21*参数!$B$6*参数!$B$2+AI21*参数!$B$39*参数!$B$2+AJ21*参数!$B$6*参数!$B$2+Z21*参数!$B$13-T21*参数!$B$14-AD21*参数!$B$13+IF(ISNUMBER(AU21),AU21*参数!$B$38,0)-AV21*参数!$B$41-AW21*参数!$B$14),0),0)</f>
        <v>14.242640687119286</v>
      </c>
      <c r="AZ21">
        <f>AY21-MAX(AP21,0)*参数!$B$10</f>
        <v>8.2426406871192857</v>
      </c>
      <c r="BA21">
        <f t="shared" si="1"/>
        <v>7.1213203435596428</v>
      </c>
    </row>
    <row r="22" spans="1:53" x14ac:dyDescent="0.3">
      <c r="A22">
        <v>21</v>
      </c>
      <c r="B22" t="s">
        <v>209</v>
      </c>
      <c r="C22" t="s">
        <v>105</v>
      </c>
      <c r="D22" t="s">
        <v>210</v>
      </c>
      <c r="E22" t="s">
        <v>211</v>
      </c>
      <c r="F22" t="s">
        <v>117</v>
      </c>
      <c r="G22" t="s">
        <v>14</v>
      </c>
      <c r="H22">
        <v>1</v>
      </c>
      <c r="I22">
        <v>1</v>
      </c>
      <c r="J22" t="s">
        <v>212</v>
      </c>
      <c r="L22" t="s">
        <v>120</v>
      </c>
      <c r="M22">
        <v>0</v>
      </c>
      <c r="N22">
        <v>0</v>
      </c>
      <c r="O22">
        <v>1</v>
      </c>
      <c r="P22">
        <v>5</v>
      </c>
      <c r="Q22">
        <v>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112</v>
      </c>
      <c r="AN22" t="s">
        <v>161</v>
      </c>
      <c r="AP22">
        <f t="shared" si="0"/>
        <v>1</v>
      </c>
      <c r="AQ22">
        <v>0</v>
      </c>
      <c r="AR22">
        <v>0</v>
      </c>
      <c r="AT22" t="s">
        <v>113</v>
      </c>
      <c r="AU22">
        <v>0</v>
      </c>
      <c r="AY22">
        <f>IFERROR(MAX(IF(IF(AND(F22="能力",AL22="能力持续"),(参数!$B$2-1)*参数!$B$3,0)+M22*O22*参数!$B$5*IF(AND(F22="能力",AL22="能力持续"),参数!$B$2,1)+P22*参数!$B$6*IF(AND(F22="能力",AL22="能力持续"),参数!$B$2,1)+R22*参数!$B$7*IF(AND(F22="能力",AL22="能力持续"),参数!$B$2,1)+V22*参数!$B$8+IF(X22&lt;0,X22*参数!$B$13,X22*参数!$B$39)+IF(AE22&lt;0,AE22*参数!$B$13,AE22*参数!$B$12)*参数!$B$2+AQ22*参数!$B$15+AB22*参数!$B$11+AF22*参数!$B$40*参数!$B$2+AG22*参数!$B$44*参数!$B$2+AH22*参数!$B$6*参数!$B$2+AI22*参数!$B$39*参数!$B$2+AJ22*参数!$B$6*参数!$B$2+Z22*参数!$B$13-T22*参数!$B$14-AD22*参数!$B$13+IF(ISNUMBER(AU22),AU22*参数!$B$38,0)-AV22*参数!$B$41-AW22*参数!$B$14&gt;参数!$B$17,参数!$B$17+SQRT(IF(AND(F22="能力",AL22="能力持续"),(参数!$B$2-1)*参数!$B$3,0)+M22*O22*参数!$B$5*IF(AND(F22="能力",AL22="能力持续"),参数!$B$2,1)+P22*参数!$B$6*IF(AND(F22="能力",AL22="能力持续"),参数!$B$2,1)+R22*参数!$B$7*IF(AND(F22="能力",AL22="能力持续"),参数!$B$2,1)+V22*参数!$B$8+IF(X22&lt;0,X22*参数!$B$13,X22*参数!$B$39)+IF(AE22&lt;0,AE22*参数!$B$13,AE22*参数!$B$12)*参数!$B$2+AQ22*参数!$B$15+AB22*参数!$B$11+AF22*参数!$B$40*参数!$B$2+AG22*参数!$B$44*参数!$B$2+AH22*参数!$B$6*参数!$B$2+AI22*参数!$B$39*参数!$B$2+AJ22*参数!$B$6*参数!$B$2+Z22*参数!$B$13-T22*参数!$B$14-AD22*参数!$B$13+IF(ISNUMBER(AU22),AU22*参数!$B$38,0)-AV22*参数!$B$41-AW22*参数!$B$14-参数!$B$17)*参数!$B$18,IF(AND(F22="能力",AL22="能力持续"),(参数!$B$2-1)*参数!$B$3,0)+M22*O22*参数!$B$5*IF(AND(F22="能力",AL22="能力持续"),参数!$B$2,1)+P22*参数!$B$6*IF(AND(F22="能力",AL22="能力持续"),参数!$B$2,1)+R22*参数!$B$7*IF(AND(F22="能力",AL22="能力持续"),参数!$B$2,1)+V22*参数!$B$8+IF(X22&lt;0,X22*参数!$B$13,X22*参数!$B$39)+IF(AE22&lt;0,AE22*参数!$B$13,AE22*参数!$B$12)*参数!$B$2+AQ22*参数!$B$15+AB22*参数!$B$11+AF22*参数!$B$40*参数!$B$2+AG22*参数!$B$44*参数!$B$2+AH22*参数!$B$6*参数!$B$2+AI22*参数!$B$39*参数!$B$2+AJ22*参数!$B$6*参数!$B$2+Z22*参数!$B$13-T22*参数!$B$14-AD22*参数!$B$13+IF(ISNUMBER(AU22),AU22*参数!$B$38,0)-AV22*参数!$B$41-AW22*参数!$B$14),0),0)</f>
        <v>5.5</v>
      </c>
      <c r="AZ22">
        <f>AY22-MAX(AP22,0)*参数!$B$10</f>
        <v>2.5</v>
      </c>
      <c r="BA22">
        <f t="shared" si="1"/>
        <v>5.5</v>
      </c>
    </row>
    <row r="23" spans="1:53" x14ac:dyDescent="0.3">
      <c r="A23">
        <v>22</v>
      </c>
      <c r="B23" t="s">
        <v>213</v>
      </c>
      <c r="C23" t="s">
        <v>105</v>
      </c>
      <c r="D23" t="s">
        <v>214</v>
      </c>
      <c r="E23" t="s">
        <v>215</v>
      </c>
      <c r="F23" t="s">
        <v>108</v>
      </c>
      <c r="G23" t="s">
        <v>14</v>
      </c>
      <c r="H23">
        <v>1</v>
      </c>
      <c r="I23">
        <v>1</v>
      </c>
      <c r="J23" t="s">
        <v>216</v>
      </c>
      <c r="L23" t="s">
        <v>191</v>
      </c>
      <c r="M23">
        <v>7</v>
      </c>
      <c r="N23">
        <v>10</v>
      </c>
      <c r="O23">
        <v>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112</v>
      </c>
      <c r="AN23" t="s">
        <v>217</v>
      </c>
      <c r="AP23">
        <f t="shared" si="0"/>
        <v>1</v>
      </c>
      <c r="AQ23">
        <v>0</v>
      </c>
      <c r="AR23">
        <v>0</v>
      </c>
      <c r="AT23" t="s">
        <v>113</v>
      </c>
      <c r="AU23">
        <v>0</v>
      </c>
      <c r="AY23">
        <f>IFERROR(MAX(IF(IF(AND(F23="能力",AL23="能力持续"),(参数!$B$2-1)*参数!$B$3,0)+M23*O23*参数!$B$5*IF(AND(F23="能力",AL23="能力持续"),参数!$B$2,1)+P23*参数!$B$6*IF(AND(F23="能力",AL23="能力持续"),参数!$B$2,1)+R23*参数!$B$7*IF(AND(F23="能力",AL23="能力持续"),参数!$B$2,1)+V23*参数!$B$8+IF(X23&lt;0,X23*参数!$B$13,X23*参数!$B$39)+IF(AE23&lt;0,AE23*参数!$B$13,AE23*参数!$B$12)*参数!$B$2+AQ23*参数!$B$15+AB23*参数!$B$11+AF23*参数!$B$40*参数!$B$2+AG23*参数!$B$44*参数!$B$2+AH23*参数!$B$6*参数!$B$2+AI23*参数!$B$39*参数!$B$2+AJ23*参数!$B$6*参数!$B$2+Z23*参数!$B$13-T23*参数!$B$14-AD23*参数!$B$13+IF(ISNUMBER(AU23),AU23*参数!$B$38,0)-AV23*参数!$B$41-AW23*参数!$B$14&gt;参数!$B$17,参数!$B$17+SQRT(IF(AND(F23="能力",AL23="能力持续"),(参数!$B$2-1)*参数!$B$3,0)+M23*O23*参数!$B$5*IF(AND(F23="能力",AL23="能力持续"),参数!$B$2,1)+P23*参数!$B$6*IF(AND(F23="能力",AL23="能力持续"),参数!$B$2,1)+R23*参数!$B$7*IF(AND(F23="能力",AL23="能力持续"),参数!$B$2,1)+V23*参数!$B$8+IF(X23&lt;0,X23*参数!$B$13,X23*参数!$B$39)+IF(AE23&lt;0,AE23*参数!$B$13,AE23*参数!$B$12)*参数!$B$2+AQ23*参数!$B$15+AB23*参数!$B$11+AF23*参数!$B$40*参数!$B$2+AG23*参数!$B$44*参数!$B$2+AH23*参数!$B$6*参数!$B$2+AI23*参数!$B$39*参数!$B$2+AJ23*参数!$B$6*参数!$B$2+Z23*参数!$B$13-T23*参数!$B$14-AD23*参数!$B$13+IF(ISNUMBER(AU23),AU23*参数!$B$38,0)-AV23*参数!$B$41-AW23*参数!$B$14-参数!$B$17)*参数!$B$18,IF(AND(F23="能力",AL23="能力持续"),(参数!$B$2-1)*参数!$B$3,0)+M23*O23*参数!$B$5*IF(AND(F23="能力",AL23="能力持续"),参数!$B$2,1)+P23*参数!$B$6*IF(AND(F23="能力",AL23="能力持续"),参数!$B$2,1)+R23*参数!$B$7*IF(AND(F23="能力",AL23="能力持续"),参数!$B$2,1)+V23*参数!$B$8+IF(X23&lt;0,X23*参数!$B$13,X23*参数!$B$39)+IF(AE23&lt;0,AE23*参数!$B$13,AE23*参数!$B$12)*参数!$B$2+AQ23*参数!$B$15+AB23*参数!$B$11+AF23*参数!$B$40*参数!$B$2+AG23*参数!$B$44*参数!$B$2+AH23*参数!$B$6*参数!$B$2+AI23*参数!$B$39*参数!$B$2+AJ23*参数!$B$6*参数!$B$2+Z23*参数!$B$13-T23*参数!$B$14-AD23*参数!$B$13+IF(ISNUMBER(AU23),AU23*参数!$B$38,0)-AV23*参数!$B$41-AW23*参数!$B$14),0),0)</f>
        <v>17.5</v>
      </c>
      <c r="AZ23">
        <f>AY23-MAX(AP23,0)*参数!$B$10</f>
        <v>14.5</v>
      </c>
      <c r="BA23">
        <f t="shared" si="1"/>
        <v>17.5</v>
      </c>
    </row>
    <row r="24" spans="1:53" x14ac:dyDescent="0.3">
      <c r="A24">
        <v>23</v>
      </c>
      <c r="B24" t="s">
        <v>218</v>
      </c>
      <c r="C24" t="s">
        <v>105</v>
      </c>
      <c r="D24" t="s">
        <v>35</v>
      </c>
      <c r="E24" t="s">
        <v>219</v>
      </c>
      <c r="F24" t="s">
        <v>124</v>
      </c>
      <c r="G24" t="s">
        <v>16</v>
      </c>
      <c r="H24">
        <v>3</v>
      </c>
      <c r="I24">
        <v>2</v>
      </c>
      <c r="J24" t="s">
        <v>220</v>
      </c>
      <c r="K24" t="s">
        <v>182</v>
      </c>
      <c r="L24" t="s">
        <v>120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112</v>
      </c>
      <c r="AL24" t="s">
        <v>127</v>
      </c>
      <c r="AN24" t="s">
        <v>124</v>
      </c>
      <c r="AO24" t="s">
        <v>182</v>
      </c>
      <c r="AP24">
        <f t="shared" si="0"/>
        <v>3</v>
      </c>
      <c r="AQ24">
        <v>0</v>
      </c>
      <c r="AR24">
        <v>0</v>
      </c>
      <c r="AT24" t="s">
        <v>113</v>
      </c>
      <c r="AU24">
        <v>0</v>
      </c>
      <c r="AY24">
        <f>IFERROR(MAX(IF(IF(AND(F24="能力",AL24="能力持续"),(参数!$B$2-1)*参数!$B$3,0)+M24*O24*参数!$B$5*IF(AND(F24="能力",AL24="能力持续"),参数!$B$2,1)+P24*参数!$B$6*IF(AND(F24="能力",AL24="能力持续"),参数!$B$2,1)+R24*参数!$B$7*IF(AND(F24="能力",AL24="能力持续"),参数!$B$2,1)+V24*参数!$B$8+IF(X24&lt;0,X24*参数!$B$13,X24*参数!$B$39)+IF(AE24&lt;0,AE24*参数!$B$13,AE24*参数!$B$12)*参数!$B$2+AQ24*参数!$B$15+AB24*参数!$B$11+AF24*参数!$B$40*参数!$B$2+AG24*参数!$B$44*参数!$B$2+AH24*参数!$B$6*参数!$B$2+AI24*参数!$B$39*参数!$B$2+AJ24*参数!$B$6*参数!$B$2+Z24*参数!$B$13-T24*参数!$B$14-AD24*参数!$B$13+IF(ISNUMBER(AU24),AU24*参数!$B$38,0)-AV24*参数!$B$41-AW24*参数!$B$14&gt;参数!$B$17,参数!$B$17+SQRT(IF(AND(F24="能力",AL24="能力持续"),(参数!$B$2-1)*参数!$B$3,0)+M24*O24*参数!$B$5*IF(AND(F24="能力",AL24="能力持续"),参数!$B$2,1)+P24*参数!$B$6*IF(AND(F24="能力",AL24="能力持续"),参数!$B$2,1)+R24*参数!$B$7*IF(AND(F24="能力",AL24="能力持续"),参数!$B$2,1)+V24*参数!$B$8+IF(X24&lt;0,X24*参数!$B$13,X24*参数!$B$39)+IF(AE24&lt;0,AE24*参数!$B$13,AE24*参数!$B$12)*参数!$B$2+AQ24*参数!$B$15+AB24*参数!$B$11+AF24*参数!$B$40*参数!$B$2+AG24*参数!$B$44*参数!$B$2+AH24*参数!$B$6*参数!$B$2+AI24*参数!$B$39*参数!$B$2+AJ24*参数!$B$6*参数!$B$2+Z24*参数!$B$13-T24*参数!$B$14-AD24*参数!$B$13+IF(ISNUMBER(AU24),AU24*参数!$B$38,0)-AV24*参数!$B$41-AW24*参数!$B$14-参数!$B$17)*参数!$B$18,IF(AND(F24="能力",AL24="能力持续"),(参数!$B$2-1)*参数!$B$3,0)+M24*O24*参数!$B$5*IF(AND(F24="能力",AL24="能力持续"),参数!$B$2,1)+P24*参数!$B$6*IF(AND(F24="能力",AL24="能力持续"),参数!$B$2,1)+R24*参数!$B$7*IF(AND(F24="能力",AL24="能力持续"),参数!$B$2,1)+V24*参数!$B$8+IF(X24&lt;0,X24*参数!$B$13,X24*参数!$B$39)+IF(AE24&lt;0,AE24*参数!$B$13,AE24*参数!$B$12)*参数!$B$2+AQ24*参数!$B$15+AB24*参数!$B$11+AF24*参数!$B$40*参数!$B$2+AG24*参数!$B$44*参数!$B$2+AH24*参数!$B$6*参数!$B$2+AI24*参数!$B$39*参数!$B$2+AJ24*参数!$B$6*参数!$B$2+Z24*参数!$B$13-T24*参数!$B$14-AD24*参数!$B$13+IF(ISNUMBER(AU24),AU24*参数!$B$38,0)-AV24*参数!$B$41-AW24*参数!$B$14),0),0)</f>
        <v>3.5999999999999996</v>
      </c>
      <c r="AZ24">
        <f>AY24-MAX(AP24,0)*参数!$B$10</f>
        <v>-5.4</v>
      </c>
      <c r="BA24">
        <f t="shared" si="1"/>
        <v>1.2</v>
      </c>
    </row>
    <row r="25" spans="1:53" x14ac:dyDescent="0.3">
      <c r="A25">
        <v>24</v>
      </c>
      <c r="B25" t="s">
        <v>221</v>
      </c>
      <c r="C25" t="s">
        <v>105</v>
      </c>
      <c r="D25" t="s">
        <v>222</v>
      </c>
      <c r="E25" t="s">
        <v>223</v>
      </c>
      <c r="F25" t="s">
        <v>124</v>
      </c>
      <c r="G25" t="s">
        <v>14</v>
      </c>
      <c r="H25">
        <v>1</v>
      </c>
      <c r="I25">
        <v>1</v>
      </c>
      <c r="J25" t="s">
        <v>224</v>
      </c>
      <c r="L25" t="s">
        <v>120</v>
      </c>
      <c r="M25">
        <v>0</v>
      </c>
      <c r="N25">
        <v>0</v>
      </c>
      <c r="O25">
        <v>1</v>
      </c>
      <c r="P25">
        <v>8</v>
      </c>
      <c r="Q25">
        <v>11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112</v>
      </c>
      <c r="AL25" t="s">
        <v>127</v>
      </c>
      <c r="AN25" t="s">
        <v>124</v>
      </c>
      <c r="AP25">
        <f t="shared" si="0"/>
        <v>1</v>
      </c>
      <c r="AQ25">
        <v>0</v>
      </c>
      <c r="AR25">
        <v>0</v>
      </c>
      <c r="AT25" t="s">
        <v>113</v>
      </c>
      <c r="AU25">
        <v>0</v>
      </c>
      <c r="AV25">
        <v>1</v>
      </c>
      <c r="AY25">
        <f>IFERROR(MAX(IF(IF(AND(F25="能力",AL25="能力持续"),(参数!$B$2-1)*参数!$B$3,0)+M25*O25*参数!$B$5*IF(AND(F25="能力",AL25="能力持续"),参数!$B$2,1)+P25*参数!$B$6*IF(AND(F25="能力",AL25="能力持续"),参数!$B$2,1)+R25*参数!$B$7*IF(AND(F25="能力",AL25="能力持续"),参数!$B$2,1)+V25*参数!$B$8+IF(X25&lt;0,X25*参数!$B$13,X25*参数!$B$39)+IF(AE25&lt;0,AE25*参数!$B$13,AE25*参数!$B$12)*参数!$B$2+AQ25*参数!$B$15+AB25*参数!$B$11+AF25*参数!$B$40*参数!$B$2+AG25*参数!$B$44*参数!$B$2+AH25*参数!$B$6*参数!$B$2+AI25*参数!$B$39*参数!$B$2+AJ25*参数!$B$6*参数!$B$2+Z25*参数!$B$13-T25*参数!$B$14-AD25*参数!$B$13+IF(ISNUMBER(AU25),AU25*参数!$B$38,0)-AV25*参数!$B$41-AW25*参数!$B$14&gt;参数!$B$17,参数!$B$17+SQRT(IF(AND(F25="能力",AL25="能力持续"),(参数!$B$2-1)*参数!$B$3,0)+M25*O25*参数!$B$5*IF(AND(F25="能力",AL25="能力持续"),参数!$B$2,1)+P25*参数!$B$6*IF(AND(F25="能力",AL25="能力持续"),参数!$B$2,1)+R25*参数!$B$7*IF(AND(F25="能力",AL25="能力持续"),参数!$B$2,1)+V25*参数!$B$8+IF(X25&lt;0,X25*参数!$B$13,X25*参数!$B$39)+IF(AE25&lt;0,AE25*参数!$B$13,AE25*参数!$B$12)*参数!$B$2+AQ25*参数!$B$15+AB25*参数!$B$11+AF25*参数!$B$40*参数!$B$2+AG25*参数!$B$44*参数!$B$2+AH25*参数!$B$6*参数!$B$2+AI25*参数!$B$39*参数!$B$2+AJ25*参数!$B$6*参数!$B$2+Z25*参数!$B$13-T25*参数!$B$14-AD25*参数!$B$13+IF(ISNUMBER(AU25),AU25*参数!$B$38,0)-AV25*参数!$B$41-AW25*参数!$B$14-参数!$B$17)*参数!$B$18,IF(AND(F25="能力",AL25="能力持续"),(参数!$B$2-1)*参数!$B$3,0)+M25*O25*参数!$B$5*IF(AND(F25="能力",AL25="能力持续"),参数!$B$2,1)+P25*参数!$B$6*IF(AND(F25="能力",AL25="能力持续"),参数!$B$2,1)+R25*参数!$B$7*IF(AND(F25="能力",AL25="能力持续"),参数!$B$2,1)+V25*参数!$B$8+IF(X25&lt;0,X25*参数!$B$13,X25*参数!$B$39)+IF(AE25&lt;0,AE25*参数!$B$13,AE25*参数!$B$12)*参数!$B$2+AQ25*参数!$B$15+AB25*参数!$B$11+AF25*参数!$B$40*参数!$B$2+AG25*参数!$B$44*参数!$B$2+AH25*参数!$B$6*参数!$B$2+AI25*参数!$B$39*参数!$B$2+AJ25*参数!$B$6*参数!$B$2+Z25*参数!$B$13-T25*参数!$B$14-AD25*参数!$B$13+IF(ISNUMBER(AU25),AU25*参数!$B$38,0)-AV25*参数!$B$41-AW25*参数!$B$14),0),0)</f>
        <v>17.619055059520178</v>
      </c>
      <c r="AZ25">
        <f>AY25-MAX(AP25,0)*参数!$B$10</f>
        <v>14.619055059520178</v>
      </c>
      <c r="BA25">
        <f t="shared" si="1"/>
        <v>17.619055059520178</v>
      </c>
    </row>
    <row r="26" spans="1:53" x14ac:dyDescent="0.3">
      <c r="A26">
        <v>25</v>
      </c>
      <c r="B26" t="s">
        <v>225</v>
      </c>
      <c r="C26" t="s">
        <v>105</v>
      </c>
      <c r="D26" t="s">
        <v>226</v>
      </c>
      <c r="E26" t="s">
        <v>227</v>
      </c>
      <c r="F26" t="s">
        <v>124</v>
      </c>
      <c r="G26" t="s">
        <v>14</v>
      </c>
      <c r="H26">
        <v>1</v>
      </c>
      <c r="I26">
        <v>1</v>
      </c>
      <c r="J26" t="s">
        <v>228</v>
      </c>
      <c r="L26" t="s">
        <v>120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112</v>
      </c>
      <c r="AL26" t="s">
        <v>127</v>
      </c>
      <c r="AN26" t="s">
        <v>124</v>
      </c>
      <c r="AP26">
        <f t="shared" si="0"/>
        <v>1</v>
      </c>
      <c r="AQ26">
        <f>3*参数!$B$11</f>
        <v>3.9000000000000004</v>
      </c>
      <c r="AR26">
        <v>0</v>
      </c>
      <c r="AT26" t="s">
        <v>113</v>
      </c>
      <c r="AU26">
        <v>0</v>
      </c>
      <c r="AY26">
        <f>IFERROR(MAX(IF(IF(AND(F26="能力",AL26="能力持续"),(参数!$B$2-1)*参数!$B$3,0)+M26*O26*参数!$B$5*IF(AND(F26="能力",AL26="能力持续"),参数!$B$2,1)+P26*参数!$B$6*IF(AND(F26="能力",AL26="能力持续"),参数!$B$2,1)+R26*参数!$B$7*IF(AND(F26="能力",AL26="能力持续"),参数!$B$2,1)+V26*参数!$B$8+IF(X26&lt;0,X26*参数!$B$13,X26*参数!$B$39)+IF(AE26&lt;0,AE26*参数!$B$13,AE26*参数!$B$12)*参数!$B$2+AQ26*参数!$B$15+AB26*参数!$B$11+AF26*参数!$B$40*参数!$B$2+AG26*参数!$B$44*参数!$B$2+AH26*参数!$B$6*参数!$B$2+AI26*参数!$B$39*参数!$B$2+AJ26*参数!$B$6*参数!$B$2+Z26*参数!$B$13-T26*参数!$B$14-AD26*参数!$B$13+IF(ISNUMBER(AU26),AU26*参数!$B$38,0)-AV26*参数!$B$41-AW26*参数!$B$14&gt;参数!$B$17,参数!$B$17+SQRT(IF(AND(F26="能力",AL26="能力持续"),(参数!$B$2-1)*参数!$B$3,0)+M26*O26*参数!$B$5*IF(AND(F26="能力",AL26="能力持续"),参数!$B$2,1)+P26*参数!$B$6*IF(AND(F26="能力",AL26="能力持续"),参数!$B$2,1)+R26*参数!$B$7*IF(AND(F26="能力",AL26="能力持续"),参数!$B$2,1)+V26*参数!$B$8+IF(X26&lt;0,X26*参数!$B$13,X26*参数!$B$39)+IF(AE26&lt;0,AE26*参数!$B$13,AE26*参数!$B$12)*参数!$B$2+AQ26*参数!$B$15+AB26*参数!$B$11+AF26*参数!$B$40*参数!$B$2+AG26*参数!$B$44*参数!$B$2+AH26*参数!$B$6*参数!$B$2+AI26*参数!$B$39*参数!$B$2+AJ26*参数!$B$6*参数!$B$2+Z26*参数!$B$13-T26*参数!$B$14-AD26*参数!$B$13+IF(ISNUMBER(AU26),AU26*参数!$B$38,0)-AV26*参数!$B$41-AW26*参数!$B$14-参数!$B$17)*参数!$B$18,IF(AND(F26="能力",AL26="能力持续"),(参数!$B$2-1)*参数!$B$3,0)+M26*O26*参数!$B$5*IF(AND(F26="能力",AL26="能力持续"),参数!$B$2,1)+P26*参数!$B$6*IF(AND(F26="能力",AL26="能力持续"),参数!$B$2,1)+R26*参数!$B$7*IF(AND(F26="能力",AL26="能力持续"),参数!$B$2,1)+V26*参数!$B$8+IF(X26&lt;0,X26*参数!$B$13,X26*参数!$B$39)+IF(AE26&lt;0,AE26*参数!$B$13,AE26*参数!$B$12)*参数!$B$2+AQ26*参数!$B$15+AB26*参数!$B$11+AF26*参数!$B$40*参数!$B$2+AG26*参数!$B$44*参数!$B$2+AH26*参数!$B$6*参数!$B$2+AI26*参数!$B$39*参数!$B$2+AJ26*参数!$B$6*参数!$B$2+Z26*参数!$B$13-T26*参数!$B$14-AD26*参数!$B$13+IF(ISNUMBER(AU26),AU26*参数!$B$38,0)-AV26*参数!$B$41-AW26*参数!$B$14),0),0)</f>
        <v>13.453259329966402</v>
      </c>
      <c r="AZ26">
        <f>AY26-MAX(AP26,0)*参数!$B$10</f>
        <v>10.453259329966402</v>
      </c>
      <c r="BA26">
        <f t="shared" si="1"/>
        <v>13.453259329966402</v>
      </c>
    </row>
    <row r="27" spans="1:53" x14ac:dyDescent="0.3">
      <c r="A27">
        <v>26</v>
      </c>
      <c r="B27" t="s">
        <v>229</v>
      </c>
      <c r="C27" t="s">
        <v>105</v>
      </c>
      <c r="D27" t="s">
        <v>230</v>
      </c>
      <c r="E27" t="s">
        <v>231</v>
      </c>
      <c r="F27" t="s">
        <v>124</v>
      </c>
      <c r="G27" t="s">
        <v>14</v>
      </c>
      <c r="H27">
        <v>2</v>
      </c>
      <c r="I27">
        <v>1</v>
      </c>
      <c r="J27" t="s">
        <v>232</v>
      </c>
      <c r="L27" t="s">
        <v>120</v>
      </c>
      <c r="M27">
        <v>0</v>
      </c>
      <c r="N27">
        <v>0</v>
      </c>
      <c r="O27">
        <v>1</v>
      </c>
      <c r="P27">
        <v>0</v>
      </c>
      <c r="Q27">
        <v>0</v>
      </c>
      <c r="R27">
        <f>参数!$B$43</f>
        <v>2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112</v>
      </c>
      <c r="AL27" t="s">
        <v>127</v>
      </c>
      <c r="AN27" t="s">
        <v>124</v>
      </c>
      <c r="AP27">
        <f t="shared" si="0"/>
        <v>2</v>
      </c>
      <c r="AQ27">
        <v>0</v>
      </c>
      <c r="AR27">
        <v>0</v>
      </c>
      <c r="AT27" t="s">
        <v>113</v>
      </c>
      <c r="AU27">
        <v>0</v>
      </c>
      <c r="AY27">
        <f>IFERROR(MAX(IF(IF(AND(F27="能力",AL27="能力持续"),(参数!$B$2-1)*参数!$B$3,0)+M27*O27*参数!$B$5*IF(AND(F27="能力",AL27="能力持续"),参数!$B$2,1)+P27*参数!$B$6*IF(AND(F27="能力",AL27="能力持续"),参数!$B$2,1)+R27*参数!$B$7*IF(AND(F27="能力",AL27="能力持续"),参数!$B$2,1)+V27*参数!$B$8+IF(X27&lt;0,X27*参数!$B$13,X27*参数!$B$39)+IF(AE27&lt;0,AE27*参数!$B$13,AE27*参数!$B$12)*参数!$B$2+AQ27*参数!$B$15+AB27*参数!$B$11+AF27*参数!$B$40*参数!$B$2+AG27*参数!$B$44*参数!$B$2+AH27*参数!$B$6*参数!$B$2+AI27*参数!$B$39*参数!$B$2+AJ27*参数!$B$6*参数!$B$2+Z27*参数!$B$13-T27*参数!$B$14-AD27*参数!$B$13+IF(ISNUMBER(AU27),AU27*参数!$B$38,0)-AV27*参数!$B$41-AW27*参数!$B$14&gt;参数!$B$17,参数!$B$17+SQRT(IF(AND(F27="能力",AL27="能力持续"),(参数!$B$2-1)*参数!$B$3,0)+M27*O27*参数!$B$5*IF(AND(F27="能力",AL27="能力持续"),参数!$B$2,1)+P27*参数!$B$6*IF(AND(F27="能力",AL27="能力持续"),参数!$B$2,1)+R27*参数!$B$7*IF(AND(F27="能力",AL27="能力持续"),参数!$B$2,1)+V27*参数!$B$8+IF(X27&lt;0,X27*参数!$B$13,X27*参数!$B$39)+IF(AE27&lt;0,AE27*参数!$B$13,AE27*参数!$B$12)*参数!$B$2+AQ27*参数!$B$15+AB27*参数!$B$11+AF27*参数!$B$40*参数!$B$2+AG27*参数!$B$44*参数!$B$2+AH27*参数!$B$6*参数!$B$2+AI27*参数!$B$39*参数!$B$2+AJ27*参数!$B$6*参数!$B$2+Z27*参数!$B$13-T27*参数!$B$14-AD27*参数!$B$13+IF(ISNUMBER(AU27),AU27*参数!$B$38,0)-AV27*参数!$B$41-AW27*参数!$B$14-参数!$B$17)*参数!$B$18,IF(AND(F27="能力",AL27="能力持续"),(参数!$B$2-1)*参数!$B$3,0)+M27*O27*参数!$B$5*IF(AND(F27="能力",AL27="能力持续"),参数!$B$2,1)+P27*参数!$B$6*IF(AND(F27="能力",AL27="能力持续"),参数!$B$2,1)+R27*参数!$B$7*IF(AND(F27="能力",AL27="能力持续"),参数!$B$2,1)+V27*参数!$B$8+IF(X27&lt;0,X27*参数!$B$13,X27*参数!$B$39)+IF(AE27&lt;0,AE27*参数!$B$13,AE27*参数!$B$12)*参数!$B$2+AQ27*参数!$B$15+AB27*参数!$B$11+AF27*参数!$B$40*参数!$B$2+AG27*参数!$B$44*参数!$B$2+AH27*参数!$B$6*参数!$B$2+AI27*参数!$B$39*参数!$B$2+AJ27*参数!$B$6*参数!$B$2+Z27*参数!$B$13-T27*参数!$B$14-AD27*参数!$B$13+IF(ISNUMBER(AU27),AU27*参数!$B$38,0)-AV27*参数!$B$41-AW27*参数!$B$14),0),0)</f>
        <v>9.1999999999999993</v>
      </c>
      <c r="AZ27">
        <f>AY27-MAX(AP27,0)*参数!$B$10</f>
        <v>3.1999999999999993</v>
      </c>
      <c r="BA27">
        <f t="shared" si="1"/>
        <v>4.5999999999999996</v>
      </c>
    </row>
    <row r="28" spans="1:53" x14ac:dyDescent="0.3">
      <c r="A28">
        <v>27</v>
      </c>
      <c r="B28" t="s">
        <v>233</v>
      </c>
      <c r="C28" t="s">
        <v>105</v>
      </c>
      <c r="D28" t="s">
        <v>234</v>
      </c>
      <c r="E28" t="s">
        <v>235</v>
      </c>
      <c r="F28" t="s">
        <v>124</v>
      </c>
      <c r="G28" t="s">
        <v>14</v>
      </c>
      <c r="H28">
        <v>3</v>
      </c>
      <c r="I28">
        <v>3</v>
      </c>
      <c r="J28" t="s">
        <v>236</v>
      </c>
      <c r="L28" t="s">
        <v>120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</v>
      </c>
      <c r="AF28">
        <v>0</v>
      </c>
      <c r="AG28">
        <v>0</v>
      </c>
      <c r="AH28">
        <v>0</v>
      </c>
      <c r="AI28">
        <v>0</v>
      </c>
      <c r="AJ28">
        <v>0</v>
      </c>
      <c r="AK28" t="s">
        <v>112</v>
      </c>
      <c r="AL28" t="s">
        <v>127</v>
      </c>
      <c r="AN28" t="s">
        <v>124</v>
      </c>
      <c r="AP28">
        <f t="shared" si="0"/>
        <v>3</v>
      </c>
      <c r="AQ28">
        <v>0</v>
      </c>
      <c r="AR28">
        <v>0</v>
      </c>
      <c r="AT28" t="s">
        <v>113</v>
      </c>
      <c r="AU28">
        <v>0</v>
      </c>
      <c r="AY28">
        <f>IFERROR(MAX(IF(IF(AND(F28="能力",AL28="能力持续"),(参数!$B$2-1)*参数!$B$3,0)+M28*O28*参数!$B$5*IF(AND(F28="能力",AL28="能力持续"),参数!$B$2,1)+P28*参数!$B$6*IF(AND(F28="能力",AL28="能力持续"),参数!$B$2,1)+R28*参数!$B$7*IF(AND(F28="能力",AL28="能力持续"),参数!$B$2,1)+V28*参数!$B$8+IF(X28&lt;0,X28*参数!$B$13,X28*参数!$B$39)+IF(AE28&lt;0,AE28*参数!$B$13,AE28*参数!$B$12)*参数!$B$2+AQ28*参数!$B$15+AB28*参数!$B$11+AF28*参数!$B$40*参数!$B$2+AG28*参数!$B$44*参数!$B$2+AH28*参数!$B$6*参数!$B$2+AI28*参数!$B$39*参数!$B$2+AJ28*参数!$B$6*参数!$B$2+Z28*参数!$B$13-T28*参数!$B$14-AD28*参数!$B$13+IF(ISNUMBER(AU28),AU28*参数!$B$38,0)-AV28*参数!$B$41-AW28*参数!$B$14&gt;参数!$B$17,参数!$B$17+SQRT(IF(AND(F28="能力",AL28="能力持续"),(参数!$B$2-1)*参数!$B$3,0)+M28*O28*参数!$B$5*IF(AND(F28="能力",AL28="能力持续"),参数!$B$2,1)+P28*参数!$B$6*IF(AND(F28="能力",AL28="能力持续"),参数!$B$2,1)+R28*参数!$B$7*IF(AND(F28="能力",AL28="能力持续"),参数!$B$2,1)+V28*参数!$B$8+IF(X28&lt;0,X28*参数!$B$13,X28*参数!$B$39)+IF(AE28&lt;0,AE28*参数!$B$13,AE28*参数!$B$12)*参数!$B$2+AQ28*参数!$B$15+AB28*参数!$B$11+AF28*参数!$B$40*参数!$B$2+AG28*参数!$B$44*参数!$B$2+AH28*参数!$B$6*参数!$B$2+AI28*参数!$B$39*参数!$B$2+AJ28*参数!$B$6*参数!$B$2+Z28*参数!$B$13-T28*参数!$B$14-AD28*参数!$B$13+IF(ISNUMBER(AU28),AU28*参数!$B$38,0)-AV28*参数!$B$41-AW28*参数!$B$14-参数!$B$17)*参数!$B$18,IF(AND(F28="能力",AL28="能力持续"),(参数!$B$2-1)*参数!$B$3,0)+M28*O28*参数!$B$5*IF(AND(F28="能力",AL28="能力持续"),参数!$B$2,1)+P28*参数!$B$6*IF(AND(F28="能力",AL28="能力持续"),参数!$B$2,1)+R28*参数!$B$7*IF(AND(F28="能力",AL28="能力持续"),参数!$B$2,1)+V28*参数!$B$8+IF(X28&lt;0,X28*参数!$B$13,X28*参数!$B$39)+IF(AE28&lt;0,AE28*参数!$B$13,AE28*参数!$B$12)*参数!$B$2+AQ28*参数!$B$15+AB28*参数!$B$11+AF28*参数!$B$40*参数!$B$2+AG28*参数!$B$44*参数!$B$2+AH28*参数!$B$6*参数!$B$2+AI28*参数!$B$39*参数!$B$2+AJ28*参数!$B$6*参数!$B$2+Z28*参数!$B$13-T28*参数!$B$14-AD28*参数!$B$13+IF(ISNUMBER(AU28),AU28*参数!$B$38,0)-AV28*参数!$B$41-AW28*参数!$B$14),0),0)</f>
        <v>15.366563145999494</v>
      </c>
      <c r="AZ28">
        <f>AY28-MAX(AP28,0)*参数!$B$10</f>
        <v>6.3665631459994945</v>
      </c>
      <c r="BA28">
        <f t="shared" si="1"/>
        <v>5.1221877153331645</v>
      </c>
    </row>
    <row r="29" spans="1:53" x14ac:dyDescent="0.3">
      <c r="A29">
        <v>28</v>
      </c>
      <c r="B29" t="s">
        <v>237</v>
      </c>
      <c r="C29" t="s">
        <v>105</v>
      </c>
      <c r="D29" t="s">
        <v>238</v>
      </c>
      <c r="E29" t="s">
        <v>239</v>
      </c>
      <c r="F29" t="s">
        <v>117</v>
      </c>
      <c r="G29" t="s">
        <v>12</v>
      </c>
      <c r="H29">
        <v>0</v>
      </c>
      <c r="I29">
        <v>0</v>
      </c>
      <c r="J29" t="s">
        <v>240</v>
      </c>
      <c r="L29" t="s">
        <v>241</v>
      </c>
      <c r="M29">
        <v>0</v>
      </c>
      <c r="N29">
        <v>0</v>
      </c>
      <c r="O29">
        <v>1</v>
      </c>
      <c r="P29">
        <v>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112</v>
      </c>
      <c r="AP29">
        <f t="shared" si="0"/>
        <v>0.4</v>
      </c>
      <c r="AQ29">
        <v>0</v>
      </c>
      <c r="AR29">
        <v>0</v>
      </c>
      <c r="AT29" t="s">
        <v>113</v>
      </c>
      <c r="AU29">
        <v>0</v>
      </c>
      <c r="AV29">
        <v>1</v>
      </c>
      <c r="AY29">
        <f>IFERROR(MAX(IF(IF(AND(F29="能力",AL29="能力持续"),(参数!$B$2-1)*参数!$B$3,0)+M29*O29*参数!$B$5*IF(AND(F29="能力",AL29="能力持续"),参数!$B$2,1)+P29*参数!$B$6*IF(AND(F29="能力",AL29="能力持续"),参数!$B$2,1)+R29*参数!$B$7*IF(AND(F29="能力",AL29="能力持续"),参数!$B$2,1)+V29*参数!$B$8+IF(X29&lt;0,X29*参数!$B$13,X29*参数!$B$39)+IF(AE29&lt;0,AE29*参数!$B$13,AE29*参数!$B$12)*参数!$B$2+AQ29*参数!$B$15+AB29*参数!$B$11+AF29*参数!$B$40*参数!$B$2+AG29*参数!$B$44*参数!$B$2+AH29*参数!$B$6*参数!$B$2+AI29*参数!$B$39*参数!$B$2+AJ29*参数!$B$6*参数!$B$2+Z29*参数!$B$13-T29*参数!$B$14-AD29*参数!$B$13+IF(ISNUMBER(AU29),AU29*参数!$B$38,0)-AV29*参数!$B$41-AW29*参数!$B$14&gt;参数!$B$17,参数!$B$17+SQRT(IF(AND(F29="能力",AL29="能力持续"),(参数!$B$2-1)*参数!$B$3,0)+M29*O29*参数!$B$5*IF(AND(F29="能力",AL29="能力持续"),参数!$B$2,1)+P29*参数!$B$6*IF(AND(F29="能力",AL29="能力持续"),参数!$B$2,1)+R29*参数!$B$7*IF(AND(F29="能力",AL29="能力持续"),参数!$B$2,1)+V29*参数!$B$8+IF(X29&lt;0,X29*参数!$B$13,X29*参数!$B$39)+IF(AE29&lt;0,AE29*参数!$B$13,AE29*参数!$B$12)*参数!$B$2+AQ29*参数!$B$15+AB29*参数!$B$11+AF29*参数!$B$40*参数!$B$2+AG29*参数!$B$44*参数!$B$2+AH29*参数!$B$6*参数!$B$2+AI29*参数!$B$39*参数!$B$2+AJ29*参数!$B$6*参数!$B$2+Z29*参数!$B$13-T29*参数!$B$14-AD29*参数!$B$13+IF(ISNUMBER(AU29),AU29*参数!$B$38,0)-AV29*参数!$B$41-AW29*参数!$B$14-参数!$B$17)*参数!$B$18,IF(AND(F29="能力",AL29="能力持续"),(参数!$B$2-1)*参数!$B$3,0)+M29*O29*参数!$B$5*IF(AND(F29="能力",AL29="能力持续"),参数!$B$2,1)+P29*参数!$B$6*IF(AND(F29="能力",AL29="能力持续"),参数!$B$2,1)+R29*参数!$B$7*IF(AND(F29="能力",AL29="能力持续"),参数!$B$2,1)+V29*参数!$B$8+IF(X29&lt;0,X29*参数!$B$13,X29*参数!$B$39)+IF(AE29&lt;0,AE29*参数!$B$13,AE29*参数!$B$12)*参数!$B$2+AQ29*参数!$B$15+AB29*参数!$B$11+AF29*参数!$B$40*参数!$B$2+AG29*参数!$B$44*参数!$B$2+AH29*参数!$B$6*参数!$B$2+AI29*参数!$B$39*参数!$B$2+AJ29*参数!$B$6*参数!$B$2+Z29*参数!$B$13-T29*参数!$B$14-AD29*参数!$B$13+IF(ISNUMBER(AU29),AU29*参数!$B$38,0)-AV29*参数!$B$41-AW29*参数!$B$14),0),0)</f>
        <v>5.8000000000000007</v>
      </c>
      <c r="AZ29">
        <f>AY29-MAX(AP29,0)*参数!$B$10</f>
        <v>4.6000000000000005</v>
      </c>
      <c r="BA29">
        <f t="shared" si="1"/>
        <v>14.500000000000002</v>
      </c>
    </row>
    <row r="30" spans="1:53" x14ac:dyDescent="0.3">
      <c r="A30">
        <v>29</v>
      </c>
      <c r="B30" t="s">
        <v>242</v>
      </c>
      <c r="C30" t="s">
        <v>105</v>
      </c>
      <c r="D30" t="s">
        <v>243</v>
      </c>
      <c r="E30" t="s">
        <v>244</v>
      </c>
      <c r="F30" t="s">
        <v>108</v>
      </c>
      <c r="G30" t="s">
        <v>12</v>
      </c>
      <c r="H30">
        <v>1</v>
      </c>
      <c r="I30">
        <v>1</v>
      </c>
      <c r="J30" t="s">
        <v>245</v>
      </c>
      <c r="L30" t="s">
        <v>111</v>
      </c>
      <c r="M30">
        <v>8</v>
      </c>
      <c r="N30">
        <v>10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112</v>
      </c>
      <c r="AP30">
        <f t="shared" si="0"/>
        <v>1</v>
      </c>
      <c r="AQ30">
        <v>0</v>
      </c>
      <c r="AR30">
        <v>0</v>
      </c>
      <c r="AT30" t="s">
        <v>113</v>
      </c>
      <c r="AU30">
        <v>0</v>
      </c>
      <c r="AY30">
        <f>IFERROR(MAX(IF(IF(AND(F30="能力",AL30="能力持续"),(参数!$B$2-1)*参数!$B$3,0)+M30*O30*参数!$B$5*IF(AND(F30="能力",AL30="能力持续"),参数!$B$2,1)+P30*参数!$B$6*IF(AND(F30="能力",AL30="能力持续"),参数!$B$2,1)+R30*参数!$B$7*IF(AND(F30="能力",AL30="能力持续"),参数!$B$2,1)+V30*参数!$B$8+IF(X30&lt;0,X30*参数!$B$13,X30*参数!$B$39)+IF(AE30&lt;0,AE30*参数!$B$13,AE30*参数!$B$12)*参数!$B$2+AQ30*参数!$B$15+AB30*参数!$B$11+AF30*参数!$B$40*参数!$B$2+AG30*参数!$B$44*参数!$B$2+AH30*参数!$B$6*参数!$B$2+AI30*参数!$B$39*参数!$B$2+AJ30*参数!$B$6*参数!$B$2+Z30*参数!$B$13-T30*参数!$B$14-AD30*参数!$B$13+IF(ISNUMBER(AU30),AU30*参数!$B$38,0)-AV30*参数!$B$41-AW30*参数!$B$14&gt;参数!$B$17,参数!$B$17+SQRT(IF(AND(F30="能力",AL30="能力持续"),(参数!$B$2-1)*参数!$B$3,0)+M30*O30*参数!$B$5*IF(AND(F30="能力",AL30="能力持续"),参数!$B$2,1)+P30*参数!$B$6*IF(AND(F30="能力",AL30="能力持续"),参数!$B$2,1)+R30*参数!$B$7*IF(AND(F30="能力",AL30="能力持续"),参数!$B$2,1)+V30*参数!$B$8+IF(X30&lt;0,X30*参数!$B$13,X30*参数!$B$39)+IF(AE30&lt;0,AE30*参数!$B$13,AE30*参数!$B$12)*参数!$B$2+AQ30*参数!$B$15+AB30*参数!$B$11+AF30*参数!$B$40*参数!$B$2+AG30*参数!$B$44*参数!$B$2+AH30*参数!$B$6*参数!$B$2+AI30*参数!$B$39*参数!$B$2+AJ30*参数!$B$6*参数!$B$2+Z30*参数!$B$13-T30*参数!$B$14-AD30*参数!$B$13+IF(ISNUMBER(AU30),AU30*参数!$B$38,0)-AV30*参数!$B$41-AW30*参数!$B$14-参数!$B$17)*参数!$B$18,IF(AND(F30="能力",AL30="能力持续"),(参数!$B$2-1)*参数!$B$3,0)+M30*O30*参数!$B$5*IF(AND(F30="能力",AL30="能力持续"),参数!$B$2,1)+P30*参数!$B$6*IF(AND(F30="能力",AL30="能力持续"),参数!$B$2,1)+R30*参数!$B$7*IF(AND(F30="能力",AL30="能力持续"),参数!$B$2,1)+V30*参数!$B$8+IF(X30&lt;0,X30*参数!$B$13,X30*参数!$B$39)+IF(AE30&lt;0,AE30*参数!$B$13,AE30*参数!$B$12)*参数!$B$2+AQ30*参数!$B$15+AB30*参数!$B$11+AF30*参数!$B$40*参数!$B$2+AG30*参数!$B$44*参数!$B$2+AH30*参数!$B$6*参数!$B$2+AI30*参数!$B$39*参数!$B$2+AJ30*参数!$B$6*参数!$B$2+Z30*参数!$B$13-T30*参数!$B$14-AD30*参数!$B$13+IF(ISNUMBER(AU30),AU30*参数!$B$38,0)-AV30*参数!$B$41-AW30*参数!$B$14),0),0)</f>
        <v>13.674234614174766</v>
      </c>
      <c r="AZ30">
        <f>AY30-MAX(AP30,0)*参数!$B$10</f>
        <v>10.674234614174766</v>
      </c>
      <c r="BA30">
        <f t="shared" si="1"/>
        <v>13.674234614174766</v>
      </c>
    </row>
    <row r="31" spans="1:53" x14ac:dyDescent="0.3">
      <c r="A31">
        <v>30</v>
      </c>
      <c r="B31" t="s">
        <v>246</v>
      </c>
      <c r="C31" t="s">
        <v>105</v>
      </c>
      <c r="D31" t="s">
        <v>247</v>
      </c>
      <c r="E31" t="s">
        <v>248</v>
      </c>
      <c r="F31" t="s">
        <v>117</v>
      </c>
      <c r="G31" t="s">
        <v>12</v>
      </c>
      <c r="H31">
        <v>1</v>
      </c>
      <c r="I31">
        <v>1</v>
      </c>
      <c r="J31" t="s">
        <v>249</v>
      </c>
      <c r="L31" t="s">
        <v>120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112</v>
      </c>
      <c r="AP31">
        <f t="shared" si="0"/>
        <v>1</v>
      </c>
      <c r="AQ31">
        <v>0</v>
      </c>
      <c r="AR31">
        <v>0</v>
      </c>
      <c r="AT31" t="s">
        <v>113</v>
      </c>
      <c r="AU31">
        <v>0</v>
      </c>
      <c r="AY31">
        <f>IFERROR(MAX(IF(IF(AND(F31="能力",AL31="能力持续"),(参数!$B$2-1)*参数!$B$3,0)+M31*O31*参数!$B$5*IF(AND(F31="能力",AL31="能力持续"),参数!$B$2,1)+P31*参数!$B$6*IF(AND(F31="能力",AL31="能力持续"),参数!$B$2,1)+R31*参数!$B$7*IF(AND(F31="能力",AL31="能力持续"),参数!$B$2,1)+V31*参数!$B$8+IF(X31&lt;0,X31*参数!$B$13,X31*参数!$B$39)+IF(AE31&lt;0,AE31*参数!$B$13,AE31*参数!$B$12)*参数!$B$2+AQ31*参数!$B$15+AB31*参数!$B$11+AF31*参数!$B$40*参数!$B$2+AG31*参数!$B$44*参数!$B$2+AH31*参数!$B$6*参数!$B$2+AI31*参数!$B$39*参数!$B$2+AJ31*参数!$B$6*参数!$B$2+Z31*参数!$B$13-T31*参数!$B$14-AD31*参数!$B$13+IF(ISNUMBER(AU31),AU31*参数!$B$38,0)-AV31*参数!$B$41-AW31*参数!$B$14&gt;参数!$B$17,参数!$B$17+SQRT(IF(AND(F31="能力",AL31="能力持续"),(参数!$B$2-1)*参数!$B$3,0)+M31*O31*参数!$B$5*IF(AND(F31="能力",AL31="能力持续"),参数!$B$2,1)+P31*参数!$B$6*IF(AND(F31="能力",AL31="能力持续"),参数!$B$2,1)+R31*参数!$B$7*IF(AND(F31="能力",AL31="能力持续"),参数!$B$2,1)+V31*参数!$B$8+IF(X31&lt;0,X31*参数!$B$13,X31*参数!$B$39)+IF(AE31&lt;0,AE31*参数!$B$13,AE31*参数!$B$12)*参数!$B$2+AQ31*参数!$B$15+AB31*参数!$B$11+AF31*参数!$B$40*参数!$B$2+AG31*参数!$B$44*参数!$B$2+AH31*参数!$B$6*参数!$B$2+AI31*参数!$B$39*参数!$B$2+AJ31*参数!$B$6*参数!$B$2+Z31*参数!$B$13-T31*参数!$B$14-AD31*参数!$B$13+IF(ISNUMBER(AU31),AU31*参数!$B$38,0)-AV31*参数!$B$41-AW31*参数!$B$14-参数!$B$17)*参数!$B$18,IF(AND(F31="能力",AL31="能力持续"),(参数!$B$2-1)*参数!$B$3,0)+M31*O31*参数!$B$5*IF(AND(F31="能力",AL31="能力持续"),参数!$B$2,1)+P31*参数!$B$6*IF(AND(F31="能力",AL31="能力持续"),参数!$B$2,1)+R31*参数!$B$7*IF(AND(F31="能力",AL31="能力持续"),参数!$B$2,1)+V31*参数!$B$8+IF(X31&lt;0,X31*参数!$B$13,X31*参数!$B$39)+IF(AE31&lt;0,AE31*参数!$B$13,AE31*参数!$B$12)*参数!$B$2+AQ31*参数!$B$15+AB31*参数!$B$11+AF31*参数!$B$40*参数!$B$2+AG31*参数!$B$44*参数!$B$2+AH31*参数!$B$6*参数!$B$2+AI31*参数!$B$39*参数!$B$2+AJ31*参数!$B$6*参数!$B$2+Z31*参数!$B$13-T31*参数!$B$14-AD31*参数!$B$13+IF(ISNUMBER(AU31),AU31*参数!$B$38,0)-AV31*参数!$B$41-AW31*参数!$B$14),0),0)</f>
        <v>9.6</v>
      </c>
      <c r="AZ31">
        <f>AY31-MAX(AP31,0)*参数!$B$10</f>
        <v>6.6</v>
      </c>
      <c r="BA31">
        <f t="shared" si="1"/>
        <v>9.6</v>
      </c>
    </row>
    <row r="32" spans="1:53" x14ac:dyDescent="0.3">
      <c r="A32">
        <v>31</v>
      </c>
      <c r="B32" t="s">
        <v>250</v>
      </c>
      <c r="C32" t="s">
        <v>105</v>
      </c>
      <c r="D32" t="s">
        <v>251</v>
      </c>
      <c r="E32" t="s">
        <v>252</v>
      </c>
      <c r="F32" t="s">
        <v>124</v>
      </c>
      <c r="G32" t="s">
        <v>12</v>
      </c>
      <c r="H32">
        <v>1</v>
      </c>
      <c r="I32">
        <v>1</v>
      </c>
      <c r="J32" t="s">
        <v>253</v>
      </c>
      <c r="K32" t="s">
        <v>254</v>
      </c>
      <c r="L32" t="s">
        <v>120</v>
      </c>
      <c r="M32">
        <v>0</v>
      </c>
      <c r="N32">
        <v>0</v>
      </c>
      <c r="O32">
        <v>1</v>
      </c>
      <c r="P32">
        <v>0</v>
      </c>
      <c r="Q32">
        <v>0</v>
      </c>
      <c r="R32">
        <v>2</v>
      </c>
      <c r="S3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112</v>
      </c>
      <c r="AL32" t="s">
        <v>127</v>
      </c>
      <c r="AN32" t="s">
        <v>124</v>
      </c>
      <c r="AO32" t="s">
        <v>182</v>
      </c>
      <c r="AP32">
        <f t="shared" si="0"/>
        <v>1</v>
      </c>
      <c r="AQ32">
        <v>0</v>
      </c>
      <c r="AR32">
        <v>0</v>
      </c>
      <c r="AT32" t="s">
        <v>113</v>
      </c>
      <c r="AU32">
        <v>0</v>
      </c>
      <c r="AY32">
        <f>IFERROR(MAX(IF(IF(AND(F32="能力",AL32="能力持续"),(参数!$B$2-1)*参数!$B$3,0)+M32*O32*参数!$B$5*IF(AND(F32="能力",AL32="能力持续"),参数!$B$2,1)+P32*参数!$B$6*IF(AND(F32="能力",AL32="能力持续"),参数!$B$2,1)+R32*参数!$B$7*IF(AND(F32="能力",AL32="能力持续"),参数!$B$2,1)+V32*参数!$B$8+IF(X32&lt;0,X32*参数!$B$13,X32*参数!$B$39)+IF(AE32&lt;0,AE32*参数!$B$13,AE32*参数!$B$12)*参数!$B$2+AQ32*参数!$B$15+AB32*参数!$B$11+AF32*参数!$B$40*参数!$B$2+AG32*参数!$B$44*参数!$B$2+AH32*参数!$B$6*参数!$B$2+AI32*参数!$B$39*参数!$B$2+AJ32*参数!$B$6*参数!$B$2+Z32*参数!$B$13-T32*参数!$B$14-AD32*参数!$B$13+IF(ISNUMBER(AU32),AU32*参数!$B$38,0)-AV32*参数!$B$41-AW32*参数!$B$14&gt;参数!$B$17,参数!$B$17+SQRT(IF(AND(F32="能力",AL32="能力持续"),(参数!$B$2-1)*参数!$B$3,0)+M32*O32*参数!$B$5*IF(AND(F32="能力",AL32="能力持续"),参数!$B$2,1)+P32*参数!$B$6*IF(AND(F32="能力",AL32="能力持续"),参数!$B$2,1)+R32*参数!$B$7*IF(AND(F32="能力",AL32="能力持续"),参数!$B$2,1)+V32*参数!$B$8+IF(X32&lt;0,X32*参数!$B$13,X32*参数!$B$39)+IF(AE32&lt;0,AE32*参数!$B$13,AE32*参数!$B$12)*参数!$B$2+AQ32*参数!$B$15+AB32*参数!$B$11+AF32*参数!$B$40*参数!$B$2+AG32*参数!$B$44*参数!$B$2+AH32*参数!$B$6*参数!$B$2+AI32*参数!$B$39*参数!$B$2+AJ32*参数!$B$6*参数!$B$2+Z32*参数!$B$13-T32*参数!$B$14-AD32*参数!$B$13+IF(ISNUMBER(AU32),AU32*参数!$B$38,0)-AV32*参数!$B$41-AW32*参数!$B$14-参数!$B$17)*参数!$B$18,IF(AND(F32="能力",AL32="能力持续"),(参数!$B$2-1)*参数!$B$3,0)+M32*O32*参数!$B$5*IF(AND(F32="能力",AL32="能力持续"),参数!$B$2,1)+P32*参数!$B$6*IF(AND(F32="能力",AL32="能力持续"),参数!$B$2,1)+R32*参数!$B$7*IF(AND(F32="能力",AL32="能力持续"),参数!$B$2,1)+V32*参数!$B$8+IF(X32&lt;0,X32*参数!$B$13,X32*参数!$B$39)+IF(AE32&lt;0,AE32*参数!$B$13,AE32*参数!$B$12)*参数!$B$2+AQ32*参数!$B$15+AB32*参数!$B$11+AF32*参数!$B$40*参数!$B$2+AG32*参数!$B$44*参数!$B$2+AH32*参数!$B$6*参数!$B$2+AI32*参数!$B$39*参数!$B$2+AJ32*参数!$B$6*参数!$B$2+Z32*参数!$B$13-T32*参数!$B$14-AD32*参数!$B$13+IF(ISNUMBER(AU32),AU32*参数!$B$38,0)-AV32*参数!$B$41-AW32*参数!$B$14),0),0)</f>
        <v>9.1999999999999993</v>
      </c>
      <c r="AZ32">
        <f>AY32-MAX(AP32,0)*参数!$B$10</f>
        <v>6.1999999999999993</v>
      </c>
      <c r="BA32">
        <f t="shared" si="1"/>
        <v>9.1999999999999993</v>
      </c>
    </row>
    <row r="33" spans="1:53" x14ac:dyDescent="0.3">
      <c r="A33">
        <v>32</v>
      </c>
      <c r="B33" t="s">
        <v>255</v>
      </c>
      <c r="C33" t="s">
        <v>105</v>
      </c>
      <c r="D33" t="s">
        <v>256</v>
      </c>
      <c r="E33" t="s">
        <v>257</v>
      </c>
      <c r="F33" t="s">
        <v>117</v>
      </c>
      <c r="G33" t="s">
        <v>12</v>
      </c>
      <c r="H33">
        <v>1</v>
      </c>
      <c r="I33">
        <v>1</v>
      </c>
      <c r="J33" t="s">
        <v>258</v>
      </c>
      <c r="L33" t="s">
        <v>120</v>
      </c>
      <c r="M33">
        <v>0</v>
      </c>
      <c r="N33">
        <v>0</v>
      </c>
      <c r="O33">
        <v>2</v>
      </c>
      <c r="P33">
        <v>8</v>
      </c>
      <c r="Q33">
        <v>11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112</v>
      </c>
      <c r="AN33" t="s">
        <v>161</v>
      </c>
      <c r="AP33">
        <f t="shared" si="0"/>
        <v>1</v>
      </c>
      <c r="AQ33">
        <v>0</v>
      </c>
      <c r="AR33">
        <v>0</v>
      </c>
      <c r="AT33" t="s">
        <v>113</v>
      </c>
      <c r="AU33">
        <v>0</v>
      </c>
      <c r="AY33">
        <f>IFERROR(MAX(IF(IF(AND(F33="能力",AL33="能力持续"),(参数!$B$2-1)*参数!$B$3,0)+M33*O33*参数!$B$5*IF(AND(F33="能力",AL33="能力持续"),参数!$B$2,1)+P33*参数!$B$6*IF(AND(F33="能力",AL33="能力持续"),参数!$B$2,1)+R33*参数!$B$7*IF(AND(F33="能力",AL33="能力持续"),参数!$B$2,1)+V33*参数!$B$8+IF(X33&lt;0,X33*参数!$B$13,X33*参数!$B$39)+IF(AE33&lt;0,AE33*参数!$B$13,AE33*参数!$B$12)*参数!$B$2+AQ33*参数!$B$15+AB33*参数!$B$11+AF33*参数!$B$40*参数!$B$2+AG33*参数!$B$44*参数!$B$2+AH33*参数!$B$6*参数!$B$2+AI33*参数!$B$39*参数!$B$2+AJ33*参数!$B$6*参数!$B$2+Z33*参数!$B$13-T33*参数!$B$14-AD33*参数!$B$13+IF(ISNUMBER(AU33),AU33*参数!$B$38,0)-AV33*参数!$B$41-AW33*参数!$B$14&gt;参数!$B$17,参数!$B$17+SQRT(IF(AND(F33="能力",AL33="能力持续"),(参数!$B$2-1)*参数!$B$3,0)+M33*O33*参数!$B$5*IF(AND(F33="能力",AL33="能力持续"),参数!$B$2,1)+P33*参数!$B$6*IF(AND(F33="能力",AL33="能力持续"),参数!$B$2,1)+R33*参数!$B$7*IF(AND(F33="能力",AL33="能力持续"),参数!$B$2,1)+V33*参数!$B$8+IF(X33&lt;0,X33*参数!$B$13,X33*参数!$B$39)+IF(AE33&lt;0,AE33*参数!$B$13,AE33*参数!$B$12)*参数!$B$2+AQ33*参数!$B$15+AB33*参数!$B$11+AF33*参数!$B$40*参数!$B$2+AG33*参数!$B$44*参数!$B$2+AH33*参数!$B$6*参数!$B$2+AI33*参数!$B$39*参数!$B$2+AJ33*参数!$B$6*参数!$B$2+Z33*参数!$B$13-T33*参数!$B$14-AD33*参数!$B$13+IF(ISNUMBER(AU33),AU33*参数!$B$38,0)-AV33*参数!$B$41-AW33*参数!$B$14-参数!$B$17)*参数!$B$18,IF(AND(F33="能力",AL33="能力持续"),(参数!$B$2-1)*参数!$B$3,0)+M33*O33*参数!$B$5*IF(AND(F33="能力",AL33="能力持续"),参数!$B$2,1)+P33*参数!$B$6*IF(AND(F33="能力",AL33="能力持续"),参数!$B$2,1)+R33*参数!$B$7*IF(AND(F33="能力",AL33="能力持续"),参数!$B$2,1)+V33*参数!$B$8+IF(X33&lt;0,X33*参数!$B$13,X33*参数!$B$39)+IF(AE33&lt;0,AE33*参数!$B$13,AE33*参数!$B$12)*参数!$B$2+AQ33*参数!$B$15+AB33*参数!$B$11+AF33*参数!$B$40*参数!$B$2+AG33*参数!$B$44*参数!$B$2+AH33*参数!$B$6*参数!$B$2+AI33*参数!$B$39*参数!$B$2+AJ33*参数!$B$6*参数!$B$2+Z33*参数!$B$13-T33*参数!$B$14-AD33*参数!$B$13+IF(ISNUMBER(AU33),AU33*参数!$B$38,0)-AV33*参数!$B$41-AW33*参数!$B$14),0),0)</f>
        <v>8.8000000000000007</v>
      </c>
      <c r="AZ33">
        <f>AY33-MAX(AP33,0)*参数!$B$10</f>
        <v>5.8000000000000007</v>
      </c>
      <c r="BA33">
        <f t="shared" si="1"/>
        <v>8.8000000000000007</v>
      </c>
    </row>
    <row r="34" spans="1:53" x14ac:dyDescent="0.3">
      <c r="A34">
        <v>33</v>
      </c>
      <c r="B34" t="s">
        <v>259</v>
      </c>
      <c r="C34" t="s">
        <v>105</v>
      </c>
      <c r="D34" t="s">
        <v>260</v>
      </c>
      <c r="E34" t="s">
        <v>261</v>
      </c>
      <c r="F34" t="s">
        <v>117</v>
      </c>
      <c r="G34" t="s">
        <v>12</v>
      </c>
      <c r="H34">
        <v>2</v>
      </c>
      <c r="I34">
        <v>1</v>
      </c>
      <c r="J34" t="s">
        <v>262</v>
      </c>
      <c r="L34" t="s">
        <v>120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f>参数!$B$4-1</f>
        <v>2.5</v>
      </c>
      <c r="W34">
        <f>参数!$B$4</f>
        <v>3.5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112</v>
      </c>
      <c r="AP34">
        <f t="shared" si="0"/>
        <v>0.4</v>
      </c>
      <c r="AQ34">
        <v>0</v>
      </c>
      <c r="AR34">
        <v>0</v>
      </c>
      <c r="AT34" t="s">
        <v>113</v>
      </c>
      <c r="AU34">
        <v>0</v>
      </c>
      <c r="AY34">
        <f>IFERROR(MAX(IF(IF(AND(F34="能力",AL34="能力持续"),(参数!$B$2-1)*参数!$B$3,0)+M34*O34*参数!$B$5*IF(AND(F34="能力",AL34="能力持续"),参数!$B$2,1)+P34*参数!$B$6*IF(AND(F34="能力",AL34="能力持续"),参数!$B$2,1)+R34*参数!$B$7*IF(AND(F34="能力",AL34="能力持续"),参数!$B$2,1)+V34*参数!$B$8+IF(X34&lt;0,X34*参数!$B$13,X34*参数!$B$39)+IF(AE34&lt;0,AE34*参数!$B$13,AE34*参数!$B$12)*参数!$B$2+AQ34*参数!$B$15+AB34*参数!$B$11+AF34*参数!$B$40*参数!$B$2+AG34*参数!$B$44*参数!$B$2+AH34*参数!$B$6*参数!$B$2+AI34*参数!$B$39*参数!$B$2+AJ34*参数!$B$6*参数!$B$2+Z34*参数!$B$13-T34*参数!$B$14-AD34*参数!$B$13+IF(ISNUMBER(AU34),AU34*参数!$B$38,0)-AV34*参数!$B$41-AW34*参数!$B$14&gt;参数!$B$17,参数!$B$17+SQRT(IF(AND(F34="能力",AL34="能力持续"),(参数!$B$2-1)*参数!$B$3,0)+M34*O34*参数!$B$5*IF(AND(F34="能力",AL34="能力持续"),参数!$B$2,1)+P34*参数!$B$6*IF(AND(F34="能力",AL34="能力持续"),参数!$B$2,1)+R34*参数!$B$7*IF(AND(F34="能力",AL34="能力持续"),参数!$B$2,1)+V34*参数!$B$8+IF(X34&lt;0,X34*参数!$B$13,X34*参数!$B$39)+IF(AE34&lt;0,AE34*参数!$B$13,AE34*参数!$B$12)*参数!$B$2+AQ34*参数!$B$15+AB34*参数!$B$11+AF34*参数!$B$40*参数!$B$2+AG34*参数!$B$44*参数!$B$2+AH34*参数!$B$6*参数!$B$2+AI34*参数!$B$39*参数!$B$2+AJ34*参数!$B$6*参数!$B$2+Z34*参数!$B$13-T34*参数!$B$14-AD34*参数!$B$13+IF(ISNUMBER(AU34),AU34*参数!$B$38,0)-AV34*参数!$B$41-AW34*参数!$B$14-参数!$B$17)*参数!$B$18,IF(AND(F34="能力",AL34="能力持续"),(参数!$B$2-1)*参数!$B$3,0)+M34*O34*参数!$B$5*IF(AND(F34="能力",AL34="能力持续"),参数!$B$2,1)+P34*参数!$B$6*IF(AND(F34="能力",AL34="能力持续"),参数!$B$2,1)+R34*参数!$B$7*IF(AND(F34="能力",AL34="能力持续"),参数!$B$2,1)+V34*参数!$B$8+IF(X34&lt;0,X34*参数!$B$13,X34*参数!$B$39)+IF(AE34&lt;0,AE34*参数!$B$13,AE34*参数!$B$12)*参数!$B$2+AQ34*参数!$B$15+AB34*参数!$B$11+AF34*参数!$B$40*参数!$B$2+AG34*参数!$B$44*参数!$B$2+AH34*参数!$B$6*参数!$B$2+AI34*参数!$B$39*参数!$B$2+AJ34*参数!$B$6*参数!$B$2+Z34*参数!$B$13-T34*参数!$B$14-AD34*参数!$B$13+IF(ISNUMBER(AU34),AU34*参数!$B$38,0)-AV34*参数!$B$41-AW34*参数!$B$14),0),0)</f>
        <v>7.5</v>
      </c>
      <c r="AZ34">
        <f>AY34-MAX(AP34,0)*参数!$B$10</f>
        <v>6.3</v>
      </c>
      <c r="BA34">
        <f t="shared" si="1"/>
        <v>18.75</v>
      </c>
    </row>
    <row r="35" spans="1:53" x14ac:dyDescent="0.3">
      <c r="A35">
        <v>34</v>
      </c>
      <c r="B35" t="s">
        <v>263</v>
      </c>
      <c r="C35" t="s">
        <v>105</v>
      </c>
      <c r="D35" t="s">
        <v>264</v>
      </c>
      <c r="E35" t="s">
        <v>265</v>
      </c>
      <c r="F35" t="s">
        <v>108</v>
      </c>
      <c r="G35" t="s">
        <v>14</v>
      </c>
      <c r="H35">
        <v>1</v>
      </c>
      <c r="I35">
        <v>1</v>
      </c>
      <c r="J35" t="s">
        <v>266</v>
      </c>
      <c r="L35" t="s">
        <v>111</v>
      </c>
      <c r="M35">
        <v>10</v>
      </c>
      <c r="N35">
        <v>13</v>
      </c>
      <c r="O35">
        <v>1</v>
      </c>
      <c r="P35">
        <v>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112</v>
      </c>
      <c r="AP35">
        <f t="shared" si="0"/>
        <v>1</v>
      </c>
      <c r="AQ35">
        <v>0</v>
      </c>
      <c r="AR35">
        <v>0</v>
      </c>
      <c r="AT35" t="s">
        <v>113</v>
      </c>
      <c r="AU35">
        <v>0</v>
      </c>
      <c r="AY35">
        <f>IFERROR(MAX(IF(IF(AND(F35="能力",AL35="能力持续"),(参数!$B$2-1)*参数!$B$3,0)+M35*O35*参数!$B$5*IF(AND(F35="能力",AL35="能力持续"),参数!$B$2,1)+P35*参数!$B$6*IF(AND(F35="能力",AL35="能力持续"),参数!$B$2,1)+R35*参数!$B$7*IF(AND(F35="能力",AL35="能力持续"),参数!$B$2,1)+V35*参数!$B$8+IF(X35&lt;0,X35*参数!$B$13,X35*参数!$B$39)+IF(AE35&lt;0,AE35*参数!$B$13,AE35*参数!$B$12)*参数!$B$2+AQ35*参数!$B$15+AB35*参数!$B$11+AF35*参数!$B$40*参数!$B$2+AG35*参数!$B$44*参数!$B$2+AH35*参数!$B$6*参数!$B$2+AI35*参数!$B$39*参数!$B$2+AJ35*参数!$B$6*参数!$B$2+Z35*参数!$B$13-T35*参数!$B$14-AD35*参数!$B$13+IF(ISNUMBER(AU35),AU35*参数!$B$38,0)-AV35*参数!$B$41-AW35*参数!$B$14&gt;参数!$B$17,参数!$B$17+SQRT(IF(AND(F35="能力",AL35="能力持续"),(参数!$B$2-1)*参数!$B$3,0)+M35*O35*参数!$B$5*IF(AND(F35="能力",AL35="能力持续"),参数!$B$2,1)+P35*参数!$B$6*IF(AND(F35="能力",AL35="能力持续"),参数!$B$2,1)+R35*参数!$B$7*IF(AND(F35="能力",AL35="能力持续"),参数!$B$2,1)+V35*参数!$B$8+IF(X35&lt;0,X35*参数!$B$13,X35*参数!$B$39)+IF(AE35&lt;0,AE35*参数!$B$13,AE35*参数!$B$12)*参数!$B$2+AQ35*参数!$B$15+AB35*参数!$B$11+AF35*参数!$B$40*参数!$B$2+AG35*参数!$B$44*参数!$B$2+AH35*参数!$B$6*参数!$B$2+AI35*参数!$B$39*参数!$B$2+AJ35*参数!$B$6*参数!$B$2+Z35*参数!$B$13-T35*参数!$B$14-AD35*参数!$B$13+IF(ISNUMBER(AU35),AU35*参数!$B$38,0)-AV35*参数!$B$41-AW35*参数!$B$14-参数!$B$17)*参数!$B$18,IF(AND(F35="能力",AL35="能力持续"),(参数!$B$2-1)*参数!$B$3,0)+M35*O35*参数!$B$5*IF(AND(F35="能力",AL35="能力持续"),参数!$B$2,1)+P35*参数!$B$6*IF(AND(F35="能力",AL35="能力持续"),参数!$B$2,1)+R35*参数!$B$7*IF(AND(F35="能力",AL35="能力持续"),参数!$B$2,1)+V35*参数!$B$8+IF(X35&lt;0,X35*参数!$B$13,X35*参数!$B$39)+IF(AE35&lt;0,AE35*参数!$B$13,AE35*参数!$B$12)*参数!$B$2+AQ35*参数!$B$15+AB35*参数!$B$11+AF35*参数!$B$40*参数!$B$2+AG35*参数!$B$44*参数!$B$2+AH35*参数!$B$6*参数!$B$2+AI35*参数!$B$39*参数!$B$2+AJ35*参数!$B$6*参数!$B$2+Z35*参数!$B$13-T35*参数!$B$14-AD35*参数!$B$13+IF(ISNUMBER(AU35),AU35*参数!$B$38,0)-AV35*参数!$B$41-AW35*参数!$B$14),0),0)</f>
        <v>12.724885318687743</v>
      </c>
      <c r="AZ35">
        <f>AY35-MAX(AP35,0)*参数!$B$10</f>
        <v>9.7248853186877433</v>
      </c>
      <c r="BA35">
        <f t="shared" si="1"/>
        <v>12.724885318687743</v>
      </c>
    </row>
    <row r="36" spans="1:53" x14ac:dyDescent="0.3">
      <c r="A36">
        <v>35</v>
      </c>
      <c r="B36" t="s">
        <v>267</v>
      </c>
      <c r="C36" t="s">
        <v>105</v>
      </c>
      <c r="D36" t="s">
        <v>268</v>
      </c>
      <c r="E36" t="s">
        <v>269</v>
      </c>
      <c r="F36" t="s">
        <v>124</v>
      </c>
      <c r="G36" t="s">
        <v>12</v>
      </c>
      <c r="H36">
        <v>1</v>
      </c>
      <c r="I36">
        <v>1</v>
      </c>
      <c r="J36" t="s">
        <v>270</v>
      </c>
      <c r="L36" t="s">
        <v>120</v>
      </c>
      <c r="M36">
        <v>0</v>
      </c>
      <c r="N36">
        <v>0</v>
      </c>
      <c r="O36">
        <v>1</v>
      </c>
      <c r="P36">
        <v>3</v>
      </c>
      <c r="Q36">
        <v>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112</v>
      </c>
      <c r="AL36" t="s">
        <v>127</v>
      </c>
      <c r="AN36" t="s">
        <v>124</v>
      </c>
      <c r="AP36">
        <f t="shared" si="0"/>
        <v>1</v>
      </c>
      <c r="AQ36">
        <v>0</v>
      </c>
      <c r="AR36">
        <v>0</v>
      </c>
      <c r="AT36" t="s">
        <v>113</v>
      </c>
      <c r="AU36">
        <v>0</v>
      </c>
      <c r="AY36">
        <f>IFERROR(MAX(IF(IF(AND(F36="能力",AL36="能力持续"),(参数!$B$2-1)*参数!$B$3,0)+M36*O36*参数!$B$5*IF(AND(F36="能力",AL36="能力持续"),参数!$B$2,1)+P36*参数!$B$6*IF(AND(F36="能力",AL36="能力持续"),参数!$B$2,1)+R36*参数!$B$7*IF(AND(F36="能力",AL36="能力持续"),参数!$B$2,1)+V36*参数!$B$8+IF(X36&lt;0,X36*参数!$B$13,X36*参数!$B$39)+IF(AE36&lt;0,AE36*参数!$B$13,AE36*参数!$B$12)*参数!$B$2+AQ36*参数!$B$15+AB36*参数!$B$11+AF36*参数!$B$40*参数!$B$2+AG36*参数!$B$44*参数!$B$2+AH36*参数!$B$6*参数!$B$2+AI36*参数!$B$39*参数!$B$2+AJ36*参数!$B$6*参数!$B$2+Z36*参数!$B$13-T36*参数!$B$14-AD36*参数!$B$13+IF(ISNUMBER(AU36),AU36*参数!$B$38,0)-AV36*参数!$B$41-AW36*参数!$B$14&gt;参数!$B$17,参数!$B$17+SQRT(IF(AND(F36="能力",AL36="能力持续"),(参数!$B$2-1)*参数!$B$3,0)+M36*O36*参数!$B$5*IF(AND(F36="能力",AL36="能力持续"),参数!$B$2,1)+P36*参数!$B$6*IF(AND(F36="能力",AL36="能力持续"),参数!$B$2,1)+R36*参数!$B$7*IF(AND(F36="能力",AL36="能力持续"),参数!$B$2,1)+V36*参数!$B$8+IF(X36&lt;0,X36*参数!$B$13,X36*参数!$B$39)+IF(AE36&lt;0,AE36*参数!$B$13,AE36*参数!$B$12)*参数!$B$2+AQ36*参数!$B$15+AB36*参数!$B$11+AF36*参数!$B$40*参数!$B$2+AG36*参数!$B$44*参数!$B$2+AH36*参数!$B$6*参数!$B$2+AI36*参数!$B$39*参数!$B$2+AJ36*参数!$B$6*参数!$B$2+Z36*参数!$B$13-T36*参数!$B$14-AD36*参数!$B$13+IF(ISNUMBER(AU36),AU36*参数!$B$38,0)-AV36*参数!$B$41-AW36*参数!$B$14-参数!$B$17)*参数!$B$18,IF(AND(F36="能力",AL36="能力持续"),(参数!$B$2-1)*参数!$B$3,0)+M36*O36*参数!$B$5*IF(AND(F36="能力",AL36="能力持续"),参数!$B$2,1)+P36*参数!$B$6*IF(AND(F36="能力",AL36="能力持续"),参数!$B$2,1)+R36*参数!$B$7*IF(AND(F36="能力",AL36="能力持续"),参数!$B$2,1)+V36*参数!$B$8+IF(X36&lt;0,X36*参数!$B$13,X36*参数!$B$39)+IF(AE36&lt;0,AE36*参数!$B$13,AE36*参数!$B$12)*参数!$B$2+AQ36*参数!$B$15+AB36*参数!$B$11+AF36*参数!$B$40*参数!$B$2+AG36*参数!$B$44*参数!$B$2+AH36*参数!$B$6*参数!$B$2+AI36*参数!$B$39*参数!$B$2+AJ36*参数!$B$6*参数!$B$2+Z36*参数!$B$13-T36*参数!$B$14-AD36*参数!$B$13+IF(ISNUMBER(AU36),AU36*参数!$B$38,0)-AV36*参数!$B$41-AW36*参数!$B$14),0),0)</f>
        <v>13.91152144312159</v>
      </c>
      <c r="AZ36">
        <f>AY36-MAX(AP36,0)*参数!$B$10</f>
        <v>10.91152144312159</v>
      </c>
      <c r="BA36">
        <f t="shared" si="1"/>
        <v>13.91152144312159</v>
      </c>
    </row>
    <row r="37" spans="1:53" x14ac:dyDescent="0.3">
      <c r="A37">
        <v>36</v>
      </c>
      <c r="B37" t="s">
        <v>271</v>
      </c>
      <c r="C37" t="s">
        <v>105</v>
      </c>
      <c r="D37" t="s">
        <v>214</v>
      </c>
      <c r="E37" t="s">
        <v>272</v>
      </c>
      <c r="F37" t="s">
        <v>108</v>
      </c>
      <c r="G37" t="s">
        <v>14</v>
      </c>
      <c r="H37">
        <v>2</v>
      </c>
      <c r="I37">
        <v>2</v>
      </c>
      <c r="J37" t="s">
        <v>216</v>
      </c>
      <c r="K37" t="s">
        <v>182</v>
      </c>
      <c r="L37" t="s">
        <v>111</v>
      </c>
      <c r="M37">
        <v>7</v>
      </c>
      <c r="N37">
        <v>10</v>
      </c>
      <c r="O37">
        <v>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t="s">
        <v>112</v>
      </c>
      <c r="AO37" t="s">
        <v>182</v>
      </c>
      <c r="AP37">
        <f t="shared" si="0"/>
        <v>2</v>
      </c>
      <c r="AQ37">
        <v>0</v>
      </c>
      <c r="AR37">
        <v>0</v>
      </c>
      <c r="AT37" t="s">
        <v>113</v>
      </c>
      <c r="AU37">
        <v>0</v>
      </c>
      <c r="AY37">
        <f>IFERROR(MAX(IF(IF(AND(F37="能力",AL37="能力持续"),(参数!$B$2-1)*参数!$B$3,0)+M37*O37*参数!$B$5*IF(AND(F37="能力",AL37="能力持续"),参数!$B$2,1)+P37*参数!$B$6*IF(AND(F37="能力",AL37="能力持续"),参数!$B$2,1)+R37*参数!$B$7*IF(AND(F37="能力",AL37="能力持续"),参数!$B$2,1)+V37*参数!$B$8+IF(X37&lt;0,X37*参数!$B$13,X37*参数!$B$39)+IF(AE37&lt;0,AE37*参数!$B$13,AE37*参数!$B$12)*参数!$B$2+AQ37*参数!$B$15+AB37*参数!$B$11+AF37*参数!$B$40*参数!$B$2+AG37*参数!$B$44*参数!$B$2+AH37*参数!$B$6*参数!$B$2+AI37*参数!$B$39*参数!$B$2+AJ37*参数!$B$6*参数!$B$2+Z37*参数!$B$13-T37*参数!$B$14-AD37*参数!$B$13+IF(ISNUMBER(AU37),AU37*参数!$B$38,0)-AV37*参数!$B$41-AW37*参数!$B$14&gt;参数!$B$17,参数!$B$17+SQRT(IF(AND(F37="能力",AL37="能力持续"),(参数!$B$2-1)*参数!$B$3,0)+M37*O37*参数!$B$5*IF(AND(F37="能力",AL37="能力持续"),参数!$B$2,1)+P37*参数!$B$6*IF(AND(F37="能力",AL37="能力持续"),参数!$B$2,1)+R37*参数!$B$7*IF(AND(F37="能力",AL37="能力持续"),参数!$B$2,1)+V37*参数!$B$8+IF(X37&lt;0,X37*参数!$B$13,X37*参数!$B$39)+IF(AE37&lt;0,AE37*参数!$B$13,AE37*参数!$B$12)*参数!$B$2+AQ37*参数!$B$15+AB37*参数!$B$11+AF37*参数!$B$40*参数!$B$2+AG37*参数!$B$44*参数!$B$2+AH37*参数!$B$6*参数!$B$2+AI37*参数!$B$39*参数!$B$2+AJ37*参数!$B$6*参数!$B$2+Z37*参数!$B$13-T37*参数!$B$14-AD37*参数!$B$13+IF(ISNUMBER(AU37),AU37*参数!$B$38,0)-AV37*参数!$B$41-AW37*参数!$B$14-参数!$B$17)*参数!$B$18,IF(AND(F37="能力",AL37="能力持续"),(参数!$B$2-1)*参数!$B$3,0)+M37*O37*参数!$B$5*IF(AND(F37="能力",AL37="能力持续"),参数!$B$2,1)+P37*参数!$B$6*IF(AND(F37="能力",AL37="能力持续"),参数!$B$2,1)+R37*参数!$B$7*IF(AND(F37="能力",AL37="能力持续"),参数!$B$2,1)+V37*参数!$B$8+IF(X37&lt;0,X37*参数!$B$13,X37*参数!$B$39)+IF(AE37&lt;0,AE37*参数!$B$13,AE37*参数!$B$12)*参数!$B$2+AQ37*参数!$B$15+AB37*参数!$B$11+AF37*参数!$B$40*参数!$B$2+AG37*参数!$B$44*参数!$B$2+AH37*参数!$B$6*参数!$B$2+AI37*参数!$B$39*参数!$B$2+AJ37*参数!$B$6*参数!$B$2+Z37*参数!$B$13-T37*参数!$B$14-AD37*参数!$B$13+IF(ISNUMBER(AU37),AU37*参数!$B$38,0)-AV37*参数!$B$41-AW37*参数!$B$14),0),0)</f>
        <v>17.5</v>
      </c>
      <c r="AZ37">
        <f>AY37-MAX(AP37,0)*参数!$B$10</f>
        <v>11.5</v>
      </c>
      <c r="BA37">
        <f t="shared" si="1"/>
        <v>8.75</v>
      </c>
    </row>
    <row r="38" spans="1:53" x14ac:dyDescent="0.3">
      <c r="A38">
        <v>37</v>
      </c>
      <c r="B38" t="s">
        <v>273</v>
      </c>
      <c r="C38" t="s">
        <v>105</v>
      </c>
      <c r="D38" t="s">
        <v>274</v>
      </c>
      <c r="E38" t="s">
        <v>275</v>
      </c>
      <c r="F38" t="s">
        <v>108</v>
      </c>
      <c r="G38" t="s">
        <v>12</v>
      </c>
      <c r="H38">
        <v>2</v>
      </c>
      <c r="I38">
        <v>2</v>
      </c>
      <c r="J38" t="s">
        <v>276</v>
      </c>
      <c r="L38" t="s">
        <v>111</v>
      </c>
      <c r="M38">
        <v>5</v>
      </c>
      <c r="N38">
        <v>8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112</v>
      </c>
      <c r="AP38">
        <f t="shared" si="0"/>
        <v>2</v>
      </c>
      <c r="AQ38">
        <v>0</v>
      </c>
      <c r="AR38">
        <v>0</v>
      </c>
      <c r="AT38" t="s">
        <v>113</v>
      </c>
      <c r="AU38">
        <v>0</v>
      </c>
      <c r="AY38">
        <f>IFERROR(MAX(IF(IF(AND(F38="能力",AL38="能力持续"),(参数!$B$2-1)*参数!$B$3,0)+M38*O38*参数!$B$5*IF(AND(F38="能力",AL38="能力持续"),参数!$B$2,1)+P38*参数!$B$6*IF(AND(F38="能力",AL38="能力持续"),参数!$B$2,1)+R38*参数!$B$7*IF(AND(F38="能力",AL38="能力持续"),参数!$B$2,1)+V38*参数!$B$8+IF(X38&lt;0,X38*参数!$B$13,X38*参数!$B$39)+IF(AE38&lt;0,AE38*参数!$B$13,AE38*参数!$B$12)*参数!$B$2+AQ38*参数!$B$15+AB38*参数!$B$11+AF38*参数!$B$40*参数!$B$2+AG38*参数!$B$44*参数!$B$2+AH38*参数!$B$6*参数!$B$2+AI38*参数!$B$39*参数!$B$2+AJ38*参数!$B$6*参数!$B$2+Z38*参数!$B$13-T38*参数!$B$14-AD38*参数!$B$13+IF(ISNUMBER(AU38),AU38*参数!$B$38,0)-AV38*参数!$B$41-AW38*参数!$B$14&gt;参数!$B$17,参数!$B$17+SQRT(IF(AND(F38="能力",AL38="能力持续"),(参数!$B$2-1)*参数!$B$3,0)+M38*O38*参数!$B$5*IF(AND(F38="能力",AL38="能力持续"),参数!$B$2,1)+P38*参数!$B$6*IF(AND(F38="能力",AL38="能力持续"),参数!$B$2,1)+R38*参数!$B$7*IF(AND(F38="能力",AL38="能力持续"),参数!$B$2,1)+V38*参数!$B$8+IF(X38&lt;0,X38*参数!$B$13,X38*参数!$B$39)+IF(AE38&lt;0,AE38*参数!$B$13,AE38*参数!$B$12)*参数!$B$2+AQ38*参数!$B$15+AB38*参数!$B$11+AF38*参数!$B$40*参数!$B$2+AG38*参数!$B$44*参数!$B$2+AH38*参数!$B$6*参数!$B$2+AI38*参数!$B$39*参数!$B$2+AJ38*参数!$B$6*参数!$B$2+Z38*参数!$B$13-T38*参数!$B$14-AD38*参数!$B$13+IF(ISNUMBER(AU38),AU38*参数!$B$38,0)-AV38*参数!$B$41-AW38*参数!$B$14-参数!$B$17)*参数!$B$18,IF(AND(F38="能力",AL38="能力持续"),(参数!$B$2-1)*参数!$B$3,0)+M38*O38*参数!$B$5*IF(AND(F38="能力",AL38="能力持续"),参数!$B$2,1)+P38*参数!$B$6*IF(AND(F38="能力",AL38="能力持续"),参数!$B$2,1)+R38*参数!$B$7*IF(AND(F38="能力",AL38="能力持续"),参数!$B$2,1)+V38*参数!$B$8+IF(X38&lt;0,X38*参数!$B$13,X38*参数!$B$39)+IF(AE38&lt;0,AE38*参数!$B$13,AE38*参数!$B$12)*参数!$B$2+AQ38*参数!$B$15+AB38*参数!$B$11+AF38*参数!$B$40*参数!$B$2+AG38*参数!$B$44*参数!$B$2+AH38*参数!$B$6*参数!$B$2+AI38*参数!$B$39*参数!$B$2+AJ38*参数!$B$6*参数!$B$2+Z38*参数!$B$13-T38*参数!$B$14-AD38*参数!$B$13+IF(ISNUMBER(AU38),AU38*参数!$B$38,0)-AV38*参数!$B$41-AW38*参数!$B$14),0),0)</f>
        <v>15.692099788303082</v>
      </c>
      <c r="AZ38">
        <f>AY38-MAX(AP38,0)*参数!$B$10</f>
        <v>9.6920997883030822</v>
      </c>
      <c r="BA38">
        <f t="shared" si="1"/>
        <v>7.8460498941515411</v>
      </c>
    </row>
    <row r="39" spans="1:53" x14ac:dyDescent="0.3">
      <c r="A39">
        <v>38</v>
      </c>
      <c r="B39" t="s">
        <v>277</v>
      </c>
      <c r="C39" t="s">
        <v>105</v>
      </c>
      <c r="D39" t="s">
        <v>278</v>
      </c>
      <c r="E39" t="s">
        <v>279</v>
      </c>
      <c r="F39" t="s">
        <v>117</v>
      </c>
      <c r="G39" t="s">
        <v>12</v>
      </c>
      <c r="H39">
        <v>2</v>
      </c>
      <c r="I39">
        <v>2</v>
      </c>
      <c r="J39" t="s">
        <v>280</v>
      </c>
      <c r="L39" t="s">
        <v>120</v>
      </c>
      <c r="M39">
        <v>4</v>
      </c>
      <c r="N39">
        <v>0</v>
      </c>
      <c r="O39">
        <v>1</v>
      </c>
      <c r="P39">
        <v>12</v>
      </c>
      <c r="Q39">
        <v>16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112</v>
      </c>
      <c r="AN39" t="s">
        <v>161</v>
      </c>
      <c r="AP39">
        <f t="shared" si="0"/>
        <v>2</v>
      </c>
      <c r="AQ39">
        <v>0</v>
      </c>
      <c r="AR39">
        <v>0</v>
      </c>
      <c r="AT39" t="s">
        <v>113</v>
      </c>
      <c r="AU39">
        <v>0</v>
      </c>
      <c r="AV39">
        <v>1</v>
      </c>
      <c r="AY39">
        <f>IFERROR(MAX(IF(IF(AND(F39="能力",AL39="能力持续"),(参数!$B$2-1)*参数!$B$3,0)+M39*O39*参数!$B$5*IF(AND(F39="能力",AL39="能力持续"),参数!$B$2,1)+P39*参数!$B$6*IF(AND(F39="能力",AL39="能力持续"),参数!$B$2,1)+R39*参数!$B$7*IF(AND(F39="能力",AL39="能力持续"),参数!$B$2,1)+V39*参数!$B$8+IF(X39&lt;0,X39*参数!$B$13,X39*参数!$B$39)+IF(AE39&lt;0,AE39*参数!$B$13,AE39*参数!$B$12)*参数!$B$2+AQ39*参数!$B$15+AB39*参数!$B$11+AF39*参数!$B$40*参数!$B$2+AG39*参数!$B$44*参数!$B$2+AH39*参数!$B$6*参数!$B$2+AI39*参数!$B$39*参数!$B$2+AJ39*参数!$B$6*参数!$B$2+Z39*参数!$B$13-T39*参数!$B$14-AD39*参数!$B$13+IF(ISNUMBER(AU39),AU39*参数!$B$38,0)-AV39*参数!$B$41-AW39*参数!$B$14&gt;参数!$B$17,参数!$B$17+SQRT(IF(AND(F39="能力",AL39="能力持续"),(参数!$B$2-1)*参数!$B$3,0)+M39*O39*参数!$B$5*IF(AND(F39="能力",AL39="能力持续"),参数!$B$2,1)+P39*参数!$B$6*IF(AND(F39="能力",AL39="能力持续"),参数!$B$2,1)+R39*参数!$B$7*IF(AND(F39="能力",AL39="能力持续"),参数!$B$2,1)+V39*参数!$B$8+IF(X39&lt;0,X39*参数!$B$13,X39*参数!$B$39)+IF(AE39&lt;0,AE39*参数!$B$13,AE39*参数!$B$12)*参数!$B$2+AQ39*参数!$B$15+AB39*参数!$B$11+AF39*参数!$B$40*参数!$B$2+AG39*参数!$B$44*参数!$B$2+AH39*参数!$B$6*参数!$B$2+AI39*参数!$B$39*参数!$B$2+AJ39*参数!$B$6*参数!$B$2+Z39*参数!$B$13-T39*参数!$B$14-AD39*参数!$B$13+IF(ISNUMBER(AU39),AU39*参数!$B$38,0)-AV39*参数!$B$41-AW39*参数!$B$14-参数!$B$17)*参数!$B$18,IF(AND(F39="能力",AL39="能力持续"),(参数!$B$2-1)*参数!$B$3,0)+M39*O39*参数!$B$5*IF(AND(F39="能力",AL39="能力持续"),参数!$B$2,1)+P39*参数!$B$6*IF(AND(F39="能力",AL39="能力持续"),参数!$B$2,1)+R39*参数!$B$7*IF(AND(F39="能力",AL39="能力持续"),参数!$B$2,1)+V39*参数!$B$8+IF(X39&lt;0,X39*参数!$B$13,X39*参数!$B$39)+IF(AE39&lt;0,AE39*参数!$B$13,AE39*参数!$B$12)*参数!$B$2+AQ39*参数!$B$15+AB39*参数!$B$11+AF39*参数!$B$40*参数!$B$2+AG39*参数!$B$44*参数!$B$2+AH39*参数!$B$6*参数!$B$2+AI39*参数!$B$39*参数!$B$2+AJ39*参数!$B$6*参数!$B$2+Z39*参数!$B$13-T39*参数!$B$14-AD39*参数!$B$13+IF(ISNUMBER(AU39),AU39*参数!$B$38,0)-AV39*参数!$B$41-AW39*参数!$B$14),0),0)</f>
        <v>13.07408522978788</v>
      </c>
      <c r="AZ39">
        <f>AY39-MAX(AP39,0)*参数!$B$10</f>
        <v>7.0740852297878796</v>
      </c>
      <c r="BA39">
        <f t="shared" si="1"/>
        <v>6.5370426148939398</v>
      </c>
    </row>
    <row r="40" spans="1:53" x14ac:dyDescent="0.3">
      <c r="A40">
        <v>39</v>
      </c>
      <c r="B40" t="s">
        <v>281</v>
      </c>
      <c r="C40" t="s">
        <v>105</v>
      </c>
      <c r="D40" t="s">
        <v>282</v>
      </c>
      <c r="E40" t="s">
        <v>283</v>
      </c>
      <c r="F40" t="s">
        <v>117</v>
      </c>
      <c r="G40" t="s">
        <v>12</v>
      </c>
      <c r="H40">
        <v>1</v>
      </c>
      <c r="I40">
        <v>1</v>
      </c>
      <c r="J40" t="s">
        <v>284</v>
      </c>
      <c r="K40" t="s">
        <v>254</v>
      </c>
      <c r="L40" t="s">
        <v>120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</v>
      </c>
      <c r="W40">
        <v>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 t="s">
        <v>112</v>
      </c>
      <c r="AN40" t="s">
        <v>161</v>
      </c>
      <c r="AP40">
        <f t="shared" si="0"/>
        <v>0.4</v>
      </c>
      <c r="AQ40">
        <v>0</v>
      </c>
      <c r="AR40">
        <v>0</v>
      </c>
      <c r="AT40" t="s">
        <v>113</v>
      </c>
      <c r="AU40">
        <v>0</v>
      </c>
      <c r="AY40">
        <f>IFERROR(MAX(IF(IF(AND(F40="能力",AL40="能力持续"),(参数!$B$2-1)*参数!$B$3,0)+M40*O40*参数!$B$5*IF(AND(F40="能力",AL40="能力持续"),参数!$B$2,1)+P40*参数!$B$6*IF(AND(F40="能力",AL40="能力持续"),参数!$B$2,1)+R40*参数!$B$7*IF(AND(F40="能力",AL40="能力持续"),参数!$B$2,1)+V40*参数!$B$8+IF(X40&lt;0,X40*参数!$B$13,X40*参数!$B$39)+IF(AE40&lt;0,AE40*参数!$B$13,AE40*参数!$B$12)*参数!$B$2+AQ40*参数!$B$15+AB40*参数!$B$11+AF40*参数!$B$40*参数!$B$2+AG40*参数!$B$44*参数!$B$2+AH40*参数!$B$6*参数!$B$2+AI40*参数!$B$39*参数!$B$2+AJ40*参数!$B$6*参数!$B$2+Z40*参数!$B$13-T40*参数!$B$14-AD40*参数!$B$13+IF(ISNUMBER(AU40),AU40*参数!$B$38,0)-AV40*参数!$B$41-AW40*参数!$B$14&gt;参数!$B$17,参数!$B$17+SQRT(IF(AND(F40="能力",AL40="能力持续"),(参数!$B$2-1)*参数!$B$3,0)+M40*O40*参数!$B$5*IF(AND(F40="能力",AL40="能力持续"),参数!$B$2,1)+P40*参数!$B$6*IF(AND(F40="能力",AL40="能力持续"),参数!$B$2,1)+R40*参数!$B$7*IF(AND(F40="能力",AL40="能力持续"),参数!$B$2,1)+V40*参数!$B$8+IF(X40&lt;0,X40*参数!$B$13,X40*参数!$B$39)+IF(AE40&lt;0,AE40*参数!$B$13,AE40*参数!$B$12)*参数!$B$2+AQ40*参数!$B$15+AB40*参数!$B$11+AF40*参数!$B$40*参数!$B$2+AG40*参数!$B$44*参数!$B$2+AH40*参数!$B$6*参数!$B$2+AI40*参数!$B$39*参数!$B$2+AJ40*参数!$B$6*参数!$B$2+Z40*参数!$B$13-T40*参数!$B$14-AD40*参数!$B$13+IF(ISNUMBER(AU40),AU40*参数!$B$38,0)-AV40*参数!$B$41-AW40*参数!$B$14-参数!$B$17)*参数!$B$18,IF(AND(F40="能力",AL40="能力持续"),(参数!$B$2-1)*参数!$B$3,0)+M40*O40*参数!$B$5*IF(AND(F40="能力",AL40="能力持续"),参数!$B$2,1)+P40*参数!$B$6*IF(AND(F40="能力",AL40="能力持续"),参数!$B$2,1)+R40*参数!$B$7*IF(AND(F40="能力",AL40="能力持续"),参数!$B$2,1)+V40*参数!$B$8+IF(X40&lt;0,X40*参数!$B$13,X40*参数!$B$39)+IF(AE40&lt;0,AE40*参数!$B$13,AE40*参数!$B$12)*参数!$B$2+AQ40*参数!$B$15+AB40*参数!$B$11+AF40*参数!$B$40*参数!$B$2+AG40*参数!$B$44*参数!$B$2+AH40*参数!$B$6*参数!$B$2+AI40*参数!$B$39*参数!$B$2+AJ40*参数!$B$6*参数!$B$2+Z40*参数!$B$13-T40*参数!$B$14-AD40*参数!$B$13+IF(ISNUMBER(AU40),AU40*参数!$B$38,0)-AV40*参数!$B$41-AW40*参数!$B$14),0),0)</f>
        <v>9</v>
      </c>
      <c r="AZ40">
        <f>AY40-MAX(AP40,0)*参数!$B$10</f>
        <v>7.8</v>
      </c>
      <c r="BA40">
        <f t="shared" si="1"/>
        <v>22.5</v>
      </c>
    </row>
    <row r="41" spans="1:53" x14ac:dyDescent="0.3">
      <c r="A41">
        <v>40</v>
      </c>
      <c r="B41" t="s">
        <v>285</v>
      </c>
      <c r="C41" t="s">
        <v>105</v>
      </c>
      <c r="D41" t="s">
        <v>286</v>
      </c>
      <c r="E41" t="s">
        <v>287</v>
      </c>
      <c r="F41" t="s">
        <v>108</v>
      </c>
      <c r="G41" t="s">
        <v>12</v>
      </c>
      <c r="H41">
        <v>1</v>
      </c>
      <c r="I41">
        <v>1</v>
      </c>
      <c r="J41" t="s">
        <v>288</v>
      </c>
      <c r="L41" t="s">
        <v>111</v>
      </c>
      <c r="M41">
        <f>7+5</f>
        <v>12</v>
      </c>
      <c r="N41">
        <f>9+5</f>
        <v>14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112</v>
      </c>
      <c r="AN41" t="s">
        <v>161</v>
      </c>
      <c r="AP41">
        <f t="shared" si="0"/>
        <v>1</v>
      </c>
      <c r="AQ41">
        <v>0</v>
      </c>
      <c r="AR41">
        <v>0</v>
      </c>
      <c r="AT41" t="s">
        <v>113</v>
      </c>
      <c r="AU41">
        <v>0</v>
      </c>
      <c r="AY41">
        <f>IFERROR(MAX(IF(IF(AND(F41="能力",AL41="能力持续"),(参数!$B$2-1)*参数!$B$3,0)+M41*O41*参数!$B$5*IF(AND(F41="能力",AL41="能力持续"),参数!$B$2,1)+P41*参数!$B$6*IF(AND(F41="能力",AL41="能力持续"),参数!$B$2,1)+R41*参数!$B$7*IF(AND(F41="能力",AL41="能力持续"),参数!$B$2,1)+V41*参数!$B$8+IF(X41&lt;0,X41*参数!$B$13,X41*参数!$B$39)+IF(AE41&lt;0,AE41*参数!$B$13,AE41*参数!$B$12)*参数!$B$2+AQ41*参数!$B$15+AB41*参数!$B$11+AF41*参数!$B$40*参数!$B$2+AG41*参数!$B$44*参数!$B$2+AH41*参数!$B$6*参数!$B$2+AI41*参数!$B$39*参数!$B$2+AJ41*参数!$B$6*参数!$B$2+Z41*参数!$B$13-T41*参数!$B$14-AD41*参数!$B$13+IF(ISNUMBER(AU41),AU41*参数!$B$38,0)-AV41*参数!$B$41-AW41*参数!$B$14&gt;参数!$B$17,参数!$B$17+SQRT(IF(AND(F41="能力",AL41="能力持续"),(参数!$B$2-1)*参数!$B$3,0)+M41*O41*参数!$B$5*IF(AND(F41="能力",AL41="能力持续"),参数!$B$2,1)+P41*参数!$B$6*IF(AND(F41="能力",AL41="能力持续"),参数!$B$2,1)+R41*参数!$B$7*IF(AND(F41="能力",AL41="能力持续"),参数!$B$2,1)+V41*参数!$B$8+IF(X41&lt;0,X41*参数!$B$13,X41*参数!$B$39)+IF(AE41&lt;0,AE41*参数!$B$13,AE41*参数!$B$12)*参数!$B$2+AQ41*参数!$B$15+AB41*参数!$B$11+AF41*参数!$B$40*参数!$B$2+AG41*参数!$B$44*参数!$B$2+AH41*参数!$B$6*参数!$B$2+AI41*参数!$B$39*参数!$B$2+AJ41*参数!$B$6*参数!$B$2+Z41*参数!$B$13-T41*参数!$B$14-AD41*参数!$B$13+IF(ISNUMBER(AU41),AU41*参数!$B$38,0)-AV41*参数!$B$41-AW41*参数!$B$14-参数!$B$17)*参数!$B$18,IF(AND(F41="能力",AL41="能力持续"),(参数!$B$2-1)*参数!$B$3,0)+M41*O41*参数!$B$5*IF(AND(F41="能力",AL41="能力持续"),参数!$B$2,1)+P41*参数!$B$6*IF(AND(F41="能力",AL41="能力持续"),参数!$B$2,1)+R41*参数!$B$7*IF(AND(F41="能力",AL41="能力持续"),参数!$B$2,1)+V41*参数!$B$8+IF(X41&lt;0,X41*参数!$B$13,X41*参数!$B$39)+IF(AE41&lt;0,AE41*参数!$B$13,AE41*参数!$B$12)*参数!$B$2+AQ41*参数!$B$15+AB41*参数!$B$11+AF41*参数!$B$40*参数!$B$2+AG41*参数!$B$44*参数!$B$2+AH41*参数!$B$6*参数!$B$2+AI41*参数!$B$39*参数!$B$2+AJ41*参数!$B$6*参数!$B$2+Z41*参数!$B$13-T41*参数!$B$14-AD41*参数!$B$13+IF(ISNUMBER(AU41),AU41*参数!$B$38,0)-AV41*参数!$B$41-AW41*参数!$B$14),0),0)</f>
        <v>12.121320343559642</v>
      </c>
      <c r="AZ41">
        <f>AY41-MAX(AP41,0)*参数!$B$10</f>
        <v>9.1213203435596419</v>
      </c>
      <c r="BA41">
        <f t="shared" si="1"/>
        <v>12.121320343559642</v>
      </c>
    </row>
    <row r="42" spans="1:53" x14ac:dyDescent="0.3">
      <c r="A42">
        <v>41</v>
      </c>
      <c r="B42" t="s">
        <v>289</v>
      </c>
      <c r="C42" t="s">
        <v>105</v>
      </c>
      <c r="D42" t="s">
        <v>290</v>
      </c>
      <c r="E42" t="s">
        <v>291</v>
      </c>
      <c r="F42" t="s">
        <v>117</v>
      </c>
      <c r="G42" t="s">
        <v>10</v>
      </c>
      <c r="H42">
        <v>1</v>
      </c>
      <c r="I42">
        <v>0</v>
      </c>
      <c r="J42" t="s">
        <v>292</v>
      </c>
      <c r="K42" t="s">
        <v>182</v>
      </c>
      <c r="L42" t="s">
        <v>120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112</v>
      </c>
      <c r="AO42" t="s">
        <v>182</v>
      </c>
      <c r="AP42">
        <f t="shared" si="0"/>
        <v>1</v>
      </c>
      <c r="AQ42">
        <f>1*参数!$B$48</f>
        <v>8</v>
      </c>
      <c r="AR42">
        <v>0</v>
      </c>
      <c r="AT42" t="s">
        <v>113</v>
      </c>
      <c r="AU42">
        <v>0</v>
      </c>
      <c r="AY42">
        <f>IFERROR(MAX(IF(IF(AND(F42="能力",AL42="能力持续"),(参数!$B$2-1)*参数!$B$3,0)+M42*O42*参数!$B$5*IF(AND(F42="能力",AL42="能力持续"),参数!$B$2,1)+P42*参数!$B$6*IF(AND(F42="能力",AL42="能力持续"),参数!$B$2,1)+R42*参数!$B$7*IF(AND(F42="能力",AL42="能力持续"),参数!$B$2,1)+V42*参数!$B$8+IF(X42&lt;0,X42*参数!$B$13,X42*参数!$B$39)+IF(AE42&lt;0,AE42*参数!$B$13,AE42*参数!$B$12)*参数!$B$2+AQ42*参数!$B$15+AB42*参数!$B$11+AF42*参数!$B$40*参数!$B$2+AG42*参数!$B$44*参数!$B$2+AH42*参数!$B$6*参数!$B$2+AI42*参数!$B$39*参数!$B$2+AJ42*参数!$B$6*参数!$B$2+Z42*参数!$B$13-T42*参数!$B$14-AD42*参数!$B$13+IF(ISNUMBER(AU42),AU42*参数!$B$38,0)-AV42*参数!$B$41-AW42*参数!$B$14&gt;参数!$B$17,参数!$B$17+SQRT(IF(AND(F42="能力",AL42="能力持续"),(参数!$B$2-1)*参数!$B$3,0)+M42*O42*参数!$B$5*IF(AND(F42="能力",AL42="能力持续"),参数!$B$2,1)+P42*参数!$B$6*IF(AND(F42="能力",AL42="能力持续"),参数!$B$2,1)+R42*参数!$B$7*IF(AND(F42="能力",AL42="能力持续"),参数!$B$2,1)+V42*参数!$B$8+IF(X42&lt;0,X42*参数!$B$13,X42*参数!$B$39)+IF(AE42&lt;0,AE42*参数!$B$13,AE42*参数!$B$12)*参数!$B$2+AQ42*参数!$B$15+AB42*参数!$B$11+AF42*参数!$B$40*参数!$B$2+AG42*参数!$B$44*参数!$B$2+AH42*参数!$B$6*参数!$B$2+AI42*参数!$B$39*参数!$B$2+AJ42*参数!$B$6*参数!$B$2+Z42*参数!$B$13-T42*参数!$B$14-AD42*参数!$B$13+IF(ISNUMBER(AU42),AU42*参数!$B$38,0)-AV42*参数!$B$41-AW42*参数!$B$14-参数!$B$17)*参数!$B$18,IF(AND(F42="能力",AL42="能力持续"),(参数!$B$2-1)*参数!$B$3,0)+M42*O42*参数!$B$5*IF(AND(F42="能力",AL42="能力持续"),参数!$B$2,1)+P42*参数!$B$6*IF(AND(F42="能力",AL42="能力持续"),参数!$B$2,1)+R42*参数!$B$7*IF(AND(F42="能力",AL42="能力持续"),参数!$B$2,1)+V42*参数!$B$8+IF(X42&lt;0,X42*参数!$B$13,X42*参数!$B$39)+IF(AE42&lt;0,AE42*参数!$B$13,AE42*参数!$B$12)*参数!$B$2+AQ42*参数!$B$15+AB42*参数!$B$11+AF42*参数!$B$40*参数!$B$2+AG42*参数!$B$44*参数!$B$2+AH42*参数!$B$6*参数!$B$2+AI42*参数!$B$39*参数!$B$2+AJ42*参数!$B$6*参数!$B$2+Z42*参数!$B$13-T42*参数!$B$14-AD42*参数!$B$13+IF(ISNUMBER(AU42),AU42*参数!$B$38,0)-AV42*参数!$B$41-AW42*参数!$B$14),0),0)</f>
        <v>15.612486080160913</v>
      </c>
      <c r="AZ42">
        <f>AY42-MAX(AP42,0)*参数!$B$10</f>
        <v>12.612486080160913</v>
      </c>
      <c r="BA42">
        <f t="shared" si="1"/>
        <v>15.612486080160913</v>
      </c>
    </row>
    <row r="43" spans="1:53" x14ac:dyDescent="0.3">
      <c r="A43">
        <v>42</v>
      </c>
      <c r="B43" t="s">
        <v>293</v>
      </c>
      <c r="C43" t="s">
        <v>105</v>
      </c>
      <c r="D43" t="s">
        <v>294</v>
      </c>
      <c r="E43" t="s">
        <v>295</v>
      </c>
      <c r="F43" t="s">
        <v>108</v>
      </c>
      <c r="G43" t="s">
        <v>10</v>
      </c>
      <c r="H43">
        <v>1</v>
      </c>
      <c r="I43">
        <v>1</v>
      </c>
      <c r="J43" t="s">
        <v>296</v>
      </c>
      <c r="L43" t="s">
        <v>111</v>
      </c>
      <c r="M43">
        <v>9</v>
      </c>
      <c r="N43">
        <v>12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112</v>
      </c>
      <c r="AP43">
        <f t="shared" si="0"/>
        <v>1</v>
      </c>
      <c r="AQ43">
        <v>0</v>
      </c>
      <c r="AR43">
        <v>0</v>
      </c>
      <c r="AT43" t="s">
        <v>113</v>
      </c>
      <c r="AU43">
        <v>0</v>
      </c>
      <c r="AY43">
        <f>IFERROR(MAX(IF(IF(AND(F43="能力",AL43="能力持续"),(参数!$B$2-1)*参数!$B$3,0)+M43*O43*参数!$B$5*IF(AND(F43="能力",AL43="能力持续"),参数!$B$2,1)+P43*参数!$B$6*IF(AND(F43="能力",AL43="能力持续"),参数!$B$2,1)+R43*参数!$B$7*IF(AND(F43="能力",AL43="能力持续"),参数!$B$2,1)+V43*参数!$B$8+IF(X43&lt;0,X43*参数!$B$13,X43*参数!$B$39)+IF(AE43&lt;0,AE43*参数!$B$13,AE43*参数!$B$12)*参数!$B$2+AQ43*参数!$B$15+AB43*参数!$B$11+AF43*参数!$B$40*参数!$B$2+AG43*参数!$B$44*参数!$B$2+AH43*参数!$B$6*参数!$B$2+AI43*参数!$B$39*参数!$B$2+AJ43*参数!$B$6*参数!$B$2+Z43*参数!$B$13-T43*参数!$B$14-AD43*参数!$B$13+IF(ISNUMBER(AU43),AU43*参数!$B$38,0)-AV43*参数!$B$41-AW43*参数!$B$14&gt;参数!$B$17,参数!$B$17+SQRT(IF(AND(F43="能力",AL43="能力持续"),(参数!$B$2-1)*参数!$B$3,0)+M43*O43*参数!$B$5*IF(AND(F43="能力",AL43="能力持续"),参数!$B$2,1)+P43*参数!$B$6*IF(AND(F43="能力",AL43="能力持续"),参数!$B$2,1)+R43*参数!$B$7*IF(AND(F43="能力",AL43="能力持续"),参数!$B$2,1)+V43*参数!$B$8+IF(X43&lt;0,X43*参数!$B$13,X43*参数!$B$39)+IF(AE43&lt;0,AE43*参数!$B$13,AE43*参数!$B$12)*参数!$B$2+AQ43*参数!$B$15+AB43*参数!$B$11+AF43*参数!$B$40*参数!$B$2+AG43*参数!$B$44*参数!$B$2+AH43*参数!$B$6*参数!$B$2+AI43*参数!$B$39*参数!$B$2+AJ43*参数!$B$6*参数!$B$2+Z43*参数!$B$13-T43*参数!$B$14-AD43*参数!$B$13+IF(ISNUMBER(AU43),AU43*参数!$B$38,0)-AV43*参数!$B$41-AW43*参数!$B$14-参数!$B$17)*参数!$B$18,IF(AND(F43="能力",AL43="能力持续"),(参数!$B$2-1)*参数!$B$3,0)+M43*O43*参数!$B$5*IF(AND(F43="能力",AL43="能力持续"),参数!$B$2,1)+P43*参数!$B$6*IF(AND(F43="能力",AL43="能力持续"),参数!$B$2,1)+R43*参数!$B$7*IF(AND(F43="能力",AL43="能力持续"),参数!$B$2,1)+V43*参数!$B$8+IF(X43&lt;0,X43*参数!$B$13,X43*参数!$B$39)+IF(AE43&lt;0,AE43*参数!$B$13,AE43*参数!$B$12)*参数!$B$2+AQ43*参数!$B$15+AB43*参数!$B$11+AF43*参数!$B$40*参数!$B$2+AG43*参数!$B$44*参数!$B$2+AH43*参数!$B$6*参数!$B$2+AI43*参数!$B$39*参数!$B$2+AJ43*参数!$B$6*参数!$B$2+Z43*参数!$B$13-T43*参数!$B$14-AD43*参数!$B$13+IF(ISNUMBER(AU43),AU43*参数!$B$38,0)-AV43*参数!$B$41-AW43*参数!$B$14),0),0)</f>
        <v>9</v>
      </c>
      <c r="AZ43">
        <f>AY43-MAX(AP43,0)*参数!$B$10</f>
        <v>6</v>
      </c>
      <c r="BA43">
        <f t="shared" si="1"/>
        <v>9</v>
      </c>
    </row>
    <row r="44" spans="1:53" x14ac:dyDescent="0.3">
      <c r="A44">
        <v>43</v>
      </c>
      <c r="B44" t="s">
        <v>297</v>
      </c>
      <c r="C44" t="s">
        <v>105</v>
      </c>
      <c r="D44" t="s">
        <v>298</v>
      </c>
      <c r="E44" t="s">
        <v>299</v>
      </c>
      <c r="F44" t="s">
        <v>124</v>
      </c>
      <c r="G44" t="s">
        <v>14</v>
      </c>
      <c r="H44">
        <v>2</v>
      </c>
      <c r="I44">
        <v>1</v>
      </c>
      <c r="J44" t="s">
        <v>300</v>
      </c>
      <c r="L44" t="s">
        <v>301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112</v>
      </c>
      <c r="AL44" t="s">
        <v>127</v>
      </c>
      <c r="AN44" t="s">
        <v>124</v>
      </c>
      <c r="AP44">
        <f t="shared" si="0"/>
        <v>2</v>
      </c>
      <c r="AQ44">
        <v>0</v>
      </c>
      <c r="AR44">
        <v>0</v>
      </c>
      <c r="AT44" t="s">
        <v>113</v>
      </c>
      <c r="AU44">
        <v>0</v>
      </c>
      <c r="AY44">
        <f>IFERROR(MAX(IF(IF(AND(F44="能力",AL44="能力持续"),(参数!$B$2-1)*参数!$B$3,0)+M44*O44*参数!$B$5*IF(AND(F44="能力",AL44="能力持续"),参数!$B$2,1)+P44*参数!$B$6*IF(AND(F44="能力",AL44="能力持续"),参数!$B$2,1)+R44*参数!$B$7*IF(AND(F44="能力",AL44="能力持续"),参数!$B$2,1)+V44*参数!$B$8+IF(X44&lt;0,X44*参数!$B$13,X44*参数!$B$39)+IF(AE44&lt;0,AE44*参数!$B$13,AE44*参数!$B$12)*参数!$B$2+AQ44*参数!$B$15+AB44*参数!$B$11+AF44*参数!$B$40*参数!$B$2+AG44*参数!$B$44*参数!$B$2+AH44*参数!$B$6*参数!$B$2+AI44*参数!$B$39*参数!$B$2+AJ44*参数!$B$6*参数!$B$2+Z44*参数!$B$13-T44*参数!$B$14-AD44*参数!$B$13+IF(ISNUMBER(AU44),AU44*参数!$B$38,0)-AV44*参数!$B$41-AW44*参数!$B$14&gt;参数!$B$17,参数!$B$17+SQRT(IF(AND(F44="能力",AL44="能力持续"),(参数!$B$2-1)*参数!$B$3,0)+M44*O44*参数!$B$5*IF(AND(F44="能力",AL44="能力持续"),参数!$B$2,1)+P44*参数!$B$6*IF(AND(F44="能力",AL44="能力持续"),参数!$B$2,1)+R44*参数!$B$7*IF(AND(F44="能力",AL44="能力持续"),参数!$B$2,1)+V44*参数!$B$8+IF(X44&lt;0,X44*参数!$B$13,X44*参数!$B$39)+IF(AE44&lt;0,AE44*参数!$B$13,AE44*参数!$B$12)*参数!$B$2+AQ44*参数!$B$15+AB44*参数!$B$11+AF44*参数!$B$40*参数!$B$2+AG44*参数!$B$44*参数!$B$2+AH44*参数!$B$6*参数!$B$2+AI44*参数!$B$39*参数!$B$2+AJ44*参数!$B$6*参数!$B$2+Z44*参数!$B$13-T44*参数!$B$14-AD44*参数!$B$13+IF(ISNUMBER(AU44),AU44*参数!$B$38,0)-AV44*参数!$B$41-AW44*参数!$B$14-参数!$B$17)*参数!$B$18,IF(AND(F44="能力",AL44="能力持续"),(参数!$B$2-1)*参数!$B$3,0)+M44*O44*参数!$B$5*IF(AND(F44="能力",AL44="能力持续"),参数!$B$2,1)+P44*参数!$B$6*IF(AND(F44="能力",AL44="能力持续"),参数!$B$2,1)+R44*参数!$B$7*IF(AND(F44="能力",AL44="能力持续"),参数!$B$2,1)+V44*参数!$B$8+IF(X44&lt;0,X44*参数!$B$13,X44*参数!$B$39)+IF(AE44&lt;0,AE44*参数!$B$13,AE44*参数!$B$12)*参数!$B$2+AQ44*参数!$B$15+AB44*参数!$B$11+AF44*参数!$B$40*参数!$B$2+AG44*参数!$B$44*参数!$B$2+AH44*参数!$B$6*参数!$B$2+AI44*参数!$B$39*参数!$B$2+AJ44*参数!$B$6*参数!$B$2+Z44*参数!$B$13-T44*参数!$B$14-AD44*参数!$B$13+IF(ISNUMBER(AU44),AU44*参数!$B$38,0)-AV44*参数!$B$41-AW44*参数!$B$14),0),0)</f>
        <v>3.5999999999999996</v>
      </c>
      <c r="AZ44">
        <f>AY44-MAX(AP44,0)*参数!$B$10</f>
        <v>-2.4000000000000004</v>
      </c>
      <c r="BA44">
        <f t="shared" si="1"/>
        <v>1.7999999999999998</v>
      </c>
    </row>
    <row r="45" spans="1:53" x14ac:dyDescent="0.3">
      <c r="A45">
        <v>44</v>
      </c>
      <c r="B45" t="s">
        <v>302</v>
      </c>
      <c r="C45" t="s">
        <v>105</v>
      </c>
      <c r="D45" t="s">
        <v>303</v>
      </c>
      <c r="E45" t="s">
        <v>304</v>
      </c>
      <c r="F45" t="s">
        <v>108</v>
      </c>
      <c r="G45" t="s">
        <v>12</v>
      </c>
      <c r="H45">
        <v>1</v>
      </c>
      <c r="I45">
        <v>1</v>
      </c>
      <c r="J45" t="s">
        <v>305</v>
      </c>
      <c r="L45" t="s">
        <v>111</v>
      </c>
      <c r="M45">
        <v>15</v>
      </c>
      <c r="N45">
        <v>20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112</v>
      </c>
      <c r="AP45">
        <f t="shared" si="0"/>
        <v>1</v>
      </c>
      <c r="AQ45">
        <v>0</v>
      </c>
      <c r="AR45">
        <v>0</v>
      </c>
      <c r="AT45" t="s">
        <v>113</v>
      </c>
      <c r="AU45">
        <v>0</v>
      </c>
      <c r="AY45">
        <f>IFERROR(MAX(IF(IF(AND(F45="能力",AL45="能力持续"),(参数!$B$2-1)*参数!$B$3,0)+M45*O45*参数!$B$5*IF(AND(F45="能力",AL45="能力持续"),参数!$B$2,1)+P45*参数!$B$6*IF(AND(F45="能力",AL45="能力持续"),参数!$B$2,1)+R45*参数!$B$7*IF(AND(F45="能力",AL45="能力持续"),参数!$B$2,1)+V45*参数!$B$8+IF(X45&lt;0,X45*参数!$B$13,X45*参数!$B$39)+IF(AE45&lt;0,AE45*参数!$B$13,AE45*参数!$B$12)*参数!$B$2+AQ45*参数!$B$15+AB45*参数!$B$11+AF45*参数!$B$40*参数!$B$2+AG45*参数!$B$44*参数!$B$2+AH45*参数!$B$6*参数!$B$2+AI45*参数!$B$39*参数!$B$2+AJ45*参数!$B$6*参数!$B$2+Z45*参数!$B$13-T45*参数!$B$14-AD45*参数!$B$13+IF(ISNUMBER(AU45),AU45*参数!$B$38,0)-AV45*参数!$B$41-AW45*参数!$B$14&gt;参数!$B$17,参数!$B$17+SQRT(IF(AND(F45="能力",AL45="能力持续"),(参数!$B$2-1)*参数!$B$3,0)+M45*O45*参数!$B$5*IF(AND(F45="能力",AL45="能力持续"),参数!$B$2,1)+P45*参数!$B$6*IF(AND(F45="能力",AL45="能力持续"),参数!$B$2,1)+R45*参数!$B$7*IF(AND(F45="能力",AL45="能力持续"),参数!$B$2,1)+V45*参数!$B$8+IF(X45&lt;0,X45*参数!$B$13,X45*参数!$B$39)+IF(AE45&lt;0,AE45*参数!$B$13,AE45*参数!$B$12)*参数!$B$2+AQ45*参数!$B$15+AB45*参数!$B$11+AF45*参数!$B$40*参数!$B$2+AG45*参数!$B$44*参数!$B$2+AH45*参数!$B$6*参数!$B$2+AI45*参数!$B$39*参数!$B$2+AJ45*参数!$B$6*参数!$B$2+Z45*参数!$B$13-T45*参数!$B$14-AD45*参数!$B$13+IF(ISNUMBER(AU45),AU45*参数!$B$38,0)-AV45*参数!$B$41-AW45*参数!$B$14-参数!$B$17)*参数!$B$18,IF(AND(F45="能力",AL45="能力持续"),(参数!$B$2-1)*参数!$B$3,0)+M45*O45*参数!$B$5*IF(AND(F45="能力",AL45="能力持续"),参数!$B$2,1)+P45*参数!$B$6*IF(AND(F45="能力",AL45="能力持续"),参数!$B$2,1)+R45*参数!$B$7*IF(AND(F45="能力",AL45="能力持续"),参数!$B$2,1)+V45*参数!$B$8+IF(X45&lt;0,X45*参数!$B$13,X45*参数!$B$39)+IF(AE45&lt;0,AE45*参数!$B$13,AE45*参数!$B$12)*参数!$B$2+AQ45*参数!$B$15+AB45*参数!$B$11+AF45*参数!$B$40*参数!$B$2+AG45*参数!$B$44*参数!$B$2+AH45*参数!$B$6*参数!$B$2+AI45*参数!$B$39*参数!$B$2+AJ45*参数!$B$6*参数!$B$2+Z45*参数!$B$13-T45*参数!$B$14-AD45*参数!$B$13+IF(ISNUMBER(AU45),AU45*参数!$B$38,0)-AV45*参数!$B$41-AW45*参数!$B$14),0),0)</f>
        <v>13.354101966249685</v>
      </c>
      <c r="AZ45">
        <f>AY45-MAX(AP45,0)*参数!$B$10</f>
        <v>10.354101966249685</v>
      </c>
      <c r="BA45">
        <f t="shared" si="1"/>
        <v>13.354101966249685</v>
      </c>
    </row>
    <row r="46" spans="1:53" x14ac:dyDescent="0.3">
      <c r="A46">
        <v>45</v>
      </c>
      <c r="B46" t="s">
        <v>306</v>
      </c>
      <c r="C46" t="s">
        <v>105</v>
      </c>
      <c r="D46" t="s">
        <v>307</v>
      </c>
      <c r="E46" t="s">
        <v>308</v>
      </c>
      <c r="F46" t="s">
        <v>108</v>
      </c>
      <c r="G46" t="s">
        <v>12</v>
      </c>
      <c r="H46">
        <v>3</v>
      </c>
      <c r="I46">
        <v>3</v>
      </c>
      <c r="J46" t="s">
        <v>309</v>
      </c>
      <c r="K46" t="s">
        <v>182</v>
      </c>
      <c r="L46" t="s">
        <v>191</v>
      </c>
      <c r="M46">
        <v>16</v>
      </c>
      <c r="N46">
        <v>21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112</v>
      </c>
      <c r="AN46" t="s">
        <v>192</v>
      </c>
      <c r="AO46" t="s">
        <v>182</v>
      </c>
      <c r="AP46">
        <f t="shared" si="0"/>
        <v>3</v>
      </c>
      <c r="AQ46">
        <v>0</v>
      </c>
      <c r="AR46">
        <v>0</v>
      </c>
      <c r="AT46" t="s">
        <v>113</v>
      </c>
      <c r="AU46">
        <v>0</v>
      </c>
      <c r="AY46">
        <f>IFERROR(MAX(IF(IF(AND(F46="能力",AL46="能力持续"),(参数!$B$2-1)*参数!$B$3,0)+M46*O46*参数!$B$5*IF(AND(F46="能力",AL46="能力持续"),参数!$B$2,1)+P46*参数!$B$6*IF(AND(F46="能力",AL46="能力持续"),参数!$B$2,1)+R46*参数!$B$7*IF(AND(F46="能力",AL46="能力持续"),参数!$B$2,1)+V46*参数!$B$8+IF(X46&lt;0,X46*参数!$B$13,X46*参数!$B$39)+IF(AE46&lt;0,AE46*参数!$B$13,AE46*参数!$B$12)*参数!$B$2+AQ46*参数!$B$15+AB46*参数!$B$11+AF46*参数!$B$40*参数!$B$2+AG46*参数!$B$44*参数!$B$2+AH46*参数!$B$6*参数!$B$2+AI46*参数!$B$39*参数!$B$2+AJ46*参数!$B$6*参数!$B$2+Z46*参数!$B$13-T46*参数!$B$14-AD46*参数!$B$13+IF(ISNUMBER(AU46),AU46*参数!$B$38,0)-AV46*参数!$B$41-AW46*参数!$B$14&gt;参数!$B$17,参数!$B$17+SQRT(IF(AND(F46="能力",AL46="能力持续"),(参数!$B$2-1)*参数!$B$3,0)+M46*O46*参数!$B$5*IF(AND(F46="能力",AL46="能力持续"),参数!$B$2,1)+P46*参数!$B$6*IF(AND(F46="能力",AL46="能力持续"),参数!$B$2,1)+R46*参数!$B$7*IF(AND(F46="能力",AL46="能力持续"),参数!$B$2,1)+V46*参数!$B$8+IF(X46&lt;0,X46*参数!$B$13,X46*参数!$B$39)+IF(AE46&lt;0,AE46*参数!$B$13,AE46*参数!$B$12)*参数!$B$2+AQ46*参数!$B$15+AB46*参数!$B$11+AF46*参数!$B$40*参数!$B$2+AG46*参数!$B$44*参数!$B$2+AH46*参数!$B$6*参数!$B$2+AI46*参数!$B$39*参数!$B$2+AJ46*参数!$B$6*参数!$B$2+Z46*参数!$B$13-T46*参数!$B$14-AD46*参数!$B$13+IF(ISNUMBER(AU46),AU46*参数!$B$38,0)-AV46*参数!$B$41-AW46*参数!$B$14-参数!$B$17)*参数!$B$18,IF(AND(F46="能力",AL46="能力持续"),(参数!$B$2-1)*参数!$B$3,0)+M46*O46*参数!$B$5*IF(AND(F46="能力",AL46="能力持续"),参数!$B$2,1)+P46*参数!$B$6*IF(AND(F46="能力",AL46="能力持续"),参数!$B$2,1)+R46*参数!$B$7*IF(AND(F46="能力",AL46="能力持续"),参数!$B$2,1)+V46*参数!$B$8+IF(X46&lt;0,X46*参数!$B$13,X46*参数!$B$39)+IF(AE46&lt;0,AE46*参数!$B$13,AE46*参数!$B$12)*参数!$B$2+AQ46*参数!$B$15+AB46*参数!$B$11+AF46*参数!$B$40*参数!$B$2+AG46*参数!$B$44*参数!$B$2+AH46*参数!$B$6*参数!$B$2+AI46*参数!$B$39*参数!$B$2+AJ46*参数!$B$6*参数!$B$2+Z46*参数!$B$13-T46*参数!$B$14-AD46*参数!$B$13+IF(ISNUMBER(AU46),AU46*参数!$B$38,0)-AV46*参数!$B$41-AW46*参数!$B$14),0),0)</f>
        <v>13.674234614174766</v>
      </c>
      <c r="AZ46">
        <f>AY46-MAX(AP46,0)*参数!$B$10</f>
        <v>4.6742346141747664</v>
      </c>
      <c r="BA46">
        <f t="shared" si="1"/>
        <v>4.5580782047249224</v>
      </c>
    </row>
    <row r="47" spans="1:53" x14ac:dyDescent="0.3">
      <c r="A47">
        <v>46</v>
      </c>
      <c r="B47" t="s">
        <v>310</v>
      </c>
      <c r="C47" t="s">
        <v>105</v>
      </c>
      <c r="D47" t="s">
        <v>311</v>
      </c>
      <c r="E47" t="s">
        <v>312</v>
      </c>
      <c r="F47" t="s">
        <v>117</v>
      </c>
      <c r="G47" t="s">
        <v>14</v>
      </c>
      <c r="H47">
        <v>2</v>
      </c>
      <c r="I47">
        <v>2</v>
      </c>
      <c r="J47" t="s">
        <v>313</v>
      </c>
      <c r="L47" t="s">
        <v>120</v>
      </c>
      <c r="M47">
        <v>0</v>
      </c>
      <c r="N47">
        <v>0</v>
      </c>
      <c r="O47">
        <v>1</v>
      </c>
      <c r="P47">
        <v>30</v>
      </c>
      <c r="Q47">
        <v>40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112</v>
      </c>
      <c r="AP47">
        <f t="shared" si="0"/>
        <v>2</v>
      </c>
      <c r="AQ47">
        <v>0</v>
      </c>
      <c r="AR47">
        <v>0</v>
      </c>
      <c r="AT47" t="s">
        <v>113</v>
      </c>
      <c r="AU47">
        <v>0</v>
      </c>
      <c r="AY47">
        <f>IFERROR(MAX(IF(IF(AND(F47="能力",AL47="能力持续"),(参数!$B$2-1)*参数!$B$3,0)+M47*O47*参数!$B$5*IF(AND(F47="能力",AL47="能力持续"),参数!$B$2,1)+P47*参数!$B$6*IF(AND(F47="能力",AL47="能力持续"),参数!$B$2,1)+R47*参数!$B$7*IF(AND(F47="能力",AL47="能力持续"),参数!$B$2,1)+V47*参数!$B$8+IF(X47&lt;0,X47*参数!$B$13,X47*参数!$B$39)+IF(AE47&lt;0,AE47*参数!$B$13,AE47*参数!$B$12)*参数!$B$2+AQ47*参数!$B$15+AB47*参数!$B$11+AF47*参数!$B$40*参数!$B$2+AG47*参数!$B$44*参数!$B$2+AH47*参数!$B$6*参数!$B$2+AI47*参数!$B$39*参数!$B$2+AJ47*参数!$B$6*参数!$B$2+Z47*参数!$B$13-T47*参数!$B$14-AD47*参数!$B$13+IF(ISNUMBER(AU47),AU47*参数!$B$38,0)-AV47*参数!$B$41-AW47*参数!$B$14&gt;参数!$B$17,参数!$B$17+SQRT(IF(AND(F47="能力",AL47="能力持续"),(参数!$B$2-1)*参数!$B$3,0)+M47*O47*参数!$B$5*IF(AND(F47="能力",AL47="能力持续"),参数!$B$2,1)+P47*参数!$B$6*IF(AND(F47="能力",AL47="能力持续"),参数!$B$2,1)+R47*参数!$B$7*IF(AND(F47="能力",AL47="能力持续"),参数!$B$2,1)+V47*参数!$B$8+IF(X47&lt;0,X47*参数!$B$13,X47*参数!$B$39)+IF(AE47&lt;0,AE47*参数!$B$13,AE47*参数!$B$12)*参数!$B$2+AQ47*参数!$B$15+AB47*参数!$B$11+AF47*参数!$B$40*参数!$B$2+AG47*参数!$B$44*参数!$B$2+AH47*参数!$B$6*参数!$B$2+AI47*参数!$B$39*参数!$B$2+AJ47*参数!$B$6*参数!$B$2+Z47*参数!$B$13-T47*参数!$B$14-AD47*参数!$B$13+IF(ISNUMBER(AU47),AU47*参数!$B$38,0)-AV47*参数!$B$41-AW47*参数!$B$14-参数!$B$17)*参数!$B$18,IF(AND(F47="能力",AL47="能力持续"),(参数!$B$2-1)*参数!$B$3,0)+M47*O47*参数!$B$5*IF(AND(F47="能力",AL47="能力持续"),参数!$B$2,1)+P47*参数!$B$6*IF(AND(F47="能力",AL47="能力持续"),参数!$B$2,1)+R47*参数!$B$7*IF(AND(F47="能力",AL47="能力持续"),参数!$B$2,1)+V47*参数!$B$8+IF(X47&lt;0,X47*参数!$B$13,X47*参数!$B$39)+IF(AE47&lt;0,AE47*参数!$B$13,AE47*参数!$B$12)*参数!$B$2+AQ47*参数!$B$15+AB47*参数!$B$11+AF47*参数!$B$40*参数!$B$2+AG47*参数!$B$44*参数!$B$2+AH47*参数!$B$6*参数!$B$2+AI47*参数!$B$39*参数!$B$2+AJ47*参数!$B$6*参数!$B$2+Z47*参数!$B$13-T47*参数!$B$14-AD47*参数!$B$13+IF(ISNUMBER(AU47),AU47*参数!$B$38,0)-AV47*参数!$B$41-AW47*参数!$B$14),0),0)</f>
        <v>17.193747284969078</v>
      </c>
      <c r="AZ47">
        <f>AY47-MAX(AP47,0)*参数!$B$10</f>
        <v>11.193747284969078</v>
      </c>
      <c r="BA47">
        <f t="shared" si="1"/>
        <v>8.5968736424845389</v>
      </c>
    </row>
    <row r="48" spans="1:53" x14ac:dyDescent="0.3">
      <c r="A48">
        <v>47</v>
      </c>
      <c r="B48" t="s">
        <v>314</v>
      </c>
      <c r="C48" t="s">
        <v>105</v>
      </c>
      <c r="D48" t="s">
        <v>315</v>
      </c>
      <c r="E48" t="s">
        <v>316</v>
      </c>
      <c r="F48" t="s">
        <v>117</v>
      </c>
      <c r="G48" t="s">
        <v>12</v>
      </c>
      <c r="H48">
        <v>1</v>
      </c>
      <c r="I48">
        <v>0</v>
      </c>
      <c r="J48" t="s">
        <v>317</v>
      </c>
      <c r="L48" t="s">
        <v>111</v>
      </c>
      <c r="M48">
        <v>9</v>
      </c>
      <c r="N48">
        <v>12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112</v>
      </c>
      <c r="AN48" t="s">
        <v>161</v>
      </c>
      <c r="AP48">
        <f t="shared" si="0"/>
        <v>1</v>
      </c>
      <c r="AQ48">
        <v>0</v>
      </c>
      <c r="AR48">
        <v>0</v>
      </c>
      <c r="AT48" t="s">
        <v>113</v>
      </c>
      <c r="AU48">
        <v>0</v>
      </c>
      <c r="AY48">
        <f>IFERROR(MAX(IF(IF(AND(F48="能力",AL48="能力持续"),(参数!$B$2-1)*参数!$B$3,0)+M48*O48*参数!$B$5*IF(AND(F48="能力",AL48="能力持续"),参数!$B$2,1)+P48*参数!$B$6*IF(AND(F48="能力",AL48="能力持续"),参数!$B$2,1)+R48*参数!$B$7*IF(AND(F48="能力",AL48="能力持续"),参数!$B$2,1)+V48*参数!$B$8+IF(X48&lt;0,X48*参数!$B$13,X48*参数!$B$39)+IF(AE48&lt;0,AE48*参数!$B$13,AE48*参数!$B$12)*参数!$B$2+AQ48*参数!$B$15+AB48*参数!$B$11+AF48*参数!$B$40*参数!$B$2+AG48*参数!$B$44*参数!$B$2+AH48*参数!$B$6*参数!$B$2+AI48*参数!$B$39*参数!$B$2+AJ48*参数!$B$6*参数!$B$2+Z48*参数!$B$13-T48*参数!$B$14-AD48*参数!$B$13+IF(ISNUMBER(AU48),AU48*参数!$B$38,0)-AV48*参数!$B$41-AW48*参数!$B$14&gt;参数!$B$17,参数!$B$17+SQRT(IF(AND(F48="能力",AL48="能力持续"),(参数!$B$2-1)*参数!$B$3,0)+M48*O48*参数!$B$5*IF(AND(F48="能力",AL48="能力持续"),参数!$B$2,1)+P48*参数!$B$6*IF(AND(F48="能力",AL48="能力持续"),参数!$B$2,1)+R48*参数!$B$7*IF(AND(F48="能力",AL48="能力持续"),参数!$B$2,1)+V48*参数!$B$8+IF(X48&lt;0,X48*参数!$B$13,X48*参数!$B$39)+IF(AE48&lt;0,AE48*参数!$B$13,AE48*参数!$B$12)*参数!$B$2+AQ48*参数!$B$15+AB48*参数!$B$11+AF48*参数!$B$40*参数!$B$2+AG48*参数!$B$44*参数!$B$2+AH48*参数!$B$6*参数!$B$2+AI48*参数!$B$39*参数!$B$2+AJ48*参数!$B$6*参数!$B$2+Z48*参数!$B$13-T48*参数!$B$14-AD48*参数!$B$13+IF(ISNUMBER(AU48),AU48*参数!$B$38,0)-AV48*参数!$B$41-AW48*参数!$B$14-参数!$B$17)*参数!$B$18,IF(AND(F48="能力",AL48="能力持续"),(参数!$B$2-1)*参数!$B$3,0)+M48*O48*参数!$B$5*IF(AND(F48="能力",AL48="能力持续"),参数!$B$2,1)+P48*参数!$B$6*IF(AND(F48="能力",AL48="能力持续"),参数!$B$2,1)+R48*参数!$B$7*IF(AND(F48="能力",AL48="能力持续"),参数!$B$2,1)+V48*参数!$B$8+IF(X48&lt;0,X48*参数!$B$13,X48*参数!$B$39)+IF(AE48&lt;0,AE48*参数!$B$13,AE48*参数!$B$12)*参数!$B$2+AQ48*参数!$B$15+AB48*参数!$B$11+AF48*参数!$B$40*参数!$B$2+AG48*参数!$B$44*参数!$B$2+AH48*参数!$B$6*参数!$B$2+AI48*参数!$B$39*参数!$B$2+AJ48*参数!$B$6*参数!$B$2+Z48*参数!$B$13-T48*参数!$B$14-AD48*参数!$B$13+IF(ISNUMBER(AU48),AU48*参数!$B$38,0)-AV48*参数!$B$41-AW48*参数!$B$14),0),0)</f>
        <v>9</v>
      </c>
      <c r="AZ48">
        <f>AY48-MAX(AP48,0)*参数!$B$10</f>
        <v>6</v>
      </c>
      <c r="BA48">
        <f t="shared" si="1"/>
        <v>9</v>
      </c>
    </row>
    <row r="49" spans="1:53" x14ac:dyDescent="0.3">
      <c r="A49">
        <v>48</v>
      </c>
      <c r="B49" t="s">
        <v>318</v>
      </c>
      <c r="C49" t="s">
        <v>105</v>
      </c>
      <c r="D49" t="s">
        <v>319</v>
      </c>
      <c r="E49" t="s">
        <v>320</v>
      </c>
      <c r="F49" t="s">
        <v>124</v>
      </c>
      <c r="G49" t="s">
        <v>12</v>
      </c>
      <c r="H49">
        <v>1</v>
      </c>
      <c r="I49">
        <v>1</v>
      </c>
      <c r="J49" t="s">
        <v>321</v>
      </c>
      <c r="L49" t="s">
        <v>191</v>
      </c>
      <c r="M49">
        <v>6</v>
      </c>
      <c r="N49">
        <v>9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t="s">
        <v>112</v>
      </c>
      <c r="AL49" t="s">
        <v>127</v>
      </c>
      <c r="AN49" t="s">
        <v>322</v>
      </c>
      <c r="AP49">
        <f t="shared" si="0"/>
        <v>1</v>
      </c>
      <c r="AQ49">
        <v>0</v>
      </c>
      <c r="AR49">
        <v>0</v>
      </c>
      <c r="AT49" t="s">
        <v>113</v>
      </c>
      <c r="AU49">
        <v>0</v>
      </c>
      <c r="AV49">
        <v>1</v>
      </c>
      <c r="AY49">
        <f>IFERROR(MAX(IF(IF(AND(F49="能力",AL49="能力持续"),(参数!$B$2-1)*参数!$B$3,0)+M49*O49*参数!$B$5*IF(AND(F49="能力",AL49="能力持续"),参数!$B$2,1)+P49*参数!$B$6*IF(AND(F49="能力",AL49="能力持续"),参数!$B$2,1)+R49*参数!$B$7*IF(AND(F49="能力",AL49="能力持续"),参数!$B$2,1)+V49*参数!$B$8+IF(X49&lt;0,X49*参数!$B$13,X49*参数!$B$39)+IF(AE49&lt;0,AE49*参数!$B$13,AE49*参数!$B$12)*参数!$B$2+AQ49*参数!$B$15+AB49*参数!$B$11+AF49*参数!$B$40*参数!$B$2+AG49*参数!$B$44*参数!$B$2+AH49*参数!$B$6*参数!$B$2+AI49*参数!$B$39*参数!$B$2+AJ49*参数!$B$6*参数!$B$2+Z49*参数!$B$13-T49*参数!$B$14-AD49*参数!$B$13+IF(ISNUMBER(AU49),AU49*参数!$B$38,0)-AV49*参数!$B$41-AW49*参数!$B$14&gt;参数!$B$17,参数!$B$17+SQRT(IF(AND(F49="能力",AL49="能力持续"),(参数!$B$2-1)*参数!$B$3,0)+M49*O49*参数!$B$5*IF(AND(F49="能力",AL49="能力持续"),参数!$B$2,1)+P49*参数!$B$6*IF(AND(F49="能力",AL49="能力持续"),参数!$B$2,1)+R49*参数!$B$7*IF(AND(F49="能力",AL49="能力持续"),参数!$B$2,1)+V49*参数!$B$8+IF(X49&lt;0,X49*参数!$B$13,X49*参数!$B$39)+IF(AE49&lt;0,AE49*参数!$B$13,AE49*参数!$B$12)*参数!$B$2+AQ49*参数!$B$15+AB49*参数!$B$11+AF49*参数!$B$40*参数!$B$2+AG49*参数!$B$44*参数!$B$2+AH49*参数!$B$6*参数!$B$2+AI49*参数!$B$39*参数!$B$2+AJ49*参数!$B$6*参数!$B$2+Z49*参数!$B$13-T49*参数!$B$14-AD49*参数!$B$13+IF(ISNUMBER(AU49),AU49*参数!$B$38,0)-AV49*参数!$B$41-AW49*参数!$B$14-参数!$B$17)*参数!$B$18,IF(AND(F49="能力",AL49="能力持续"),(参数!$B$2-1)*参数!$B$3,0)+M49*O49*参数!$B$5*IF(AND(F49="能力",AL49="能力持续"),参数!$B$2,1)+P49*参数!$B$6*IF(AND(F49="能力",AL49="能力持续"),参数!$B$2,1)+R49*参数!$B$7*IF(AND(F49="能力",AL49="能力持续"),参数!$B$2,1)+V49*参数!$B$8+IF(X49&lt;0,X49*参数!$B$13,X49*参数!$B$39)+IF(AE49&lt;0,AE49*参数!$B$13,AE49*参数!$B$12)*参数!$B$2+AQ49*参数!$B$15+AB49*参数!$B$11+AF49*参数!$B$40*参数!$B$2+AG49*参数!$B$44*参数!$B$2+AH49*参数!$B$6*参数!$B$2+AI49*参数!$B$39*参数!$B$2+AJ49*参数!$B$6*参数!$B$2+Z49*参数!$B$13-T49*参数!$B$14-AD49*参数!$B$13+IF(ISNUMBER(AU49),AU49*参数!$B$38,0)-AV49*参数!$B$41-AW49*参数!$B$14),0),0)</f>
        <v>15.731491952362841</v>
      </c>
      <c r="AZ49">
        <f>AY49-MAX(AP49,0)*参数!$B$10</f>
        <v>12.731491952362841</v>
      </c>
      <c r="BA49">
        <f t="shared" si="1"/>
        <v>15.731491952362841</v>
      </c>
    </row>
    <row r="50" spans="1:53" x14ac:dyDescent="0.3">
      <c r="A50">
        <v>49</v>
      </c>
      <c r="B50" t="s">
        <v>323</v>
      </c>
      <c r="C50" t="s">
        <v>105</v>
      </c>
      <c r="D50" t="s">
        <v>324</v>
      </c>
      <c r="E50" t="s">
        <v>325</v>
      </c>
      <c r="F50" t="s">
        <v>124</v>
      </c>
      <c r="G50" t="s">
        <v>12</v>
      </c>
      <c r="H50">
        <v>1</v>
      </c>
      <c r="I50">
        <v>1</v>
      </c>
      <c r="J50" t="s">
        <v>326</v>
      </c>
      <c r="L50" t="s">
        <v>120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0</v>
      </c>
      <c r="AK50" t="s">
        <v>112</v>
      </c>
      <c r="AN50" t="s">
        <v>124</v>
      </c>
      <c r="AP50">
        <f t="shared" si="0"/>
        <v>1</v>
      </c>
      <c r="AQ50">
        <v>0</v>
      </c>
      <c r="AR50">
        <v>0</v>
      </c>
      <c r="AT50" t="s">
        <v>113</v>
      </c>
      <c r="AU50">
        <v>0</v>
      </c>
      <c r="AY50">
        <f>IFERROR(MAX(IF(IF(AND(F50="能力",AL50="能力持续"),(参数!$B$2-1)*参数!$B$3,0)+M50*O50*参数!$B$5*IF(AND(F50="能力",AL50="能力持续"),参数!$B$2,1)+P50*参数!$B$6*IF(AND(F50="能力",AL50="能力持续"),参数!$B$2,1)+R50*参数!$B$7*IF(AND(F50="能力",AL50="能力持续"),参数!$B$2,1)+V50*参数!$B$8+IF(X50&lt;0,X50*参数!$B$13,X50*参数!$B$39)+IF(AE50&lt;0,AE50*参数!$B$13,AE50*参数!$B$12)*参数!$B$2+AQ50*参数!$B$15+AB50*参数!$B$11+AF50*参数!$B$40*参数!$B$2+AG50*参数!$B$44*参数!$B$2+AH50*参数!$B$6*参数!$B$2+AI50*参数!$B$39*参数!$B$2+AJ50*参数!$B$6*参数!$B$2+Z50*参数!$B$13-T50*参数!$B$14-AD50*参数!$B$13+IF(ISNUMBER(AU50),AU50*参数!$B$38,0)-AV50*参数!$B$41-AW50*参数!$B$14&gt;参数!$B$17,参数!$B$17+SQRT(IF(AND(F50="能力",AL50="能力持续"),(参数!$B$2-1)*参数!$B$3,0)+M50*O50*参数!$B$5*IF(AND(F50="能力",AL50="能力持续"),参数!$B$2,1)+P50*参数!$B$6*IF(AND(F50="能力",AL50="能力持续"),参数!$B$2,1)+R50*参数!$B$7*IF(AND(F50="能力",AL50="能力持续"),参数!$B$2,1)+V50*参数!$B$8+IF(X50&lt;0,X50*参数!$B$13,X50*参数!$B$39)+IF(AE50&lt;0,AE50*参数!$B$13,AE50*参数!$B$12)*参数!$B$2+AQ50*参数!$B$15+AB50*参数!$B$11+AF50*参数!$B$40*参数!$B$2+AG50*参数!$B$44*参数!$B$2+AH50*参数!$B$6*参数!$B$2+AI50*参数!$B$39*参数!$B$2+AJ50*参数!$B$6*参数!$B$2+Z50*参数!$B$13-T50*参数!$B$14-AD50*参数!$B$13+IF(ISNUMBER(AU50),AU50*参数!$B$38,0)-AV50*参数!$B$41-AW50*参数!$B$14-参数!$B$17)*参数!$B$18,IF(AND(F50="能力",AL50="能力持续"),(参数!$B$2-1)*参数!$B$3,0)+M50*O50*参数!$B$5*IF(AND(F50="能力",AL50="能力持续"),参数!$B$2,1)+P50*参数!$B$6*IF(AND(F50="能力",AL50="能力持续"),参数!$B$2,1)+R50*参数!$B$7*IF(AND(F50="能力",AL50="能力持续"),参数!$B$2,1)+V50*参数!$B$8+IF(X50&lt;0,X50*参数!$B$13,X50*参数!$B$39)+IF(AE50&lt;0,AE50*参数!$B$13,AE50*参数!$B$12)*参数!$B$2+AQ50*参数!$B$15+AB50*参数!$B$11+AF50*参数!$B$40*参数!$B$2+AG50*参数!$B$44*参数!$B$2+AH50*参数!$B$6*参数!$B$2+AI50*参数!$B$39*参数!$B$2+AJ50*参数!$B$6*参数!$B$2+Z50*参数!$B$13-T50*参数!$B$14-AD50*参数!$B$13+IF(ISNUMBER(AU50),AU50*参数!$B$38,0)-AV50*参数!$B$41-AW50*参数!$B$14),0),0)</f>
        <v>9.6</v>
      </c>
      <c r="AZ50">
        <f>AY50-MAX(AP50,0)*参数!$B$10</f>
        <v>6.6</v>
      </c>
      <c r="BA50">
        <f t="shared" si="1"/>
        <v>9.6</v>
      </c>
    </row>
    <row r="51" spans="1:53" x14ac:dyDescent="0.3">
      <c r="A51">
        <v>50</v>
      </c>
      <c r="B51" t="s">
        <v>327</v>
      </c>
      <c r="C51" t="s">
        <v>105</v>
      </c>
      <c r="D51" t="s">
        <v>328</v>
      </c>
      <c r="E51" t="s">
        <v>329</v>
      </c>
      <c r="F51" t="s">
        <v>108</v>
      </c>
      <c r="G51" t="s">
        <v>10</v>
      </c>
      <c r="H51">
        <v>1</v>
      </c>
      <c r="I51">
        <v>1</v>
      </c>
      <c r="J51" t="s">
        <v>330</v>
      </c>
      <c r="L51" t="s">
        <v>111</v>
      </c>
      <c r="M51">
        <v>5</v>
      </c>
      <c r="N51">
        <v>7</v>
      </c>
      <c r="O51">
        <v>1</v>
      </c>
      <c r="P51">
        <v>5</v>
      </c>
      <c r="Q51">
        <v>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 t="s">
        <v>112</v>
      </c>
      <c r="AP51">
        <f t="shared" si="0"/>
        <v>1</v>
      </c>
      <c r="AQ51">
        <v>0</v>
      </c>
      <c r="AR51">
        <v>0</v>
      </c>
      <c r="AT51" t="s">
        <v>113</v>
      </c>
      <c r="AU51">
        <v>0</v>
      </c>
      <c r="AY51">
        <f>IFERROR(MAX(IF(IF(AND(F51="能力",AL51="能力持续"),(参数!$B$2-1)*参数!$B$3,0)+M51*O51*参数!$B$5*IF(AND(F51="能力",AL51="能力持续"),参数!$B$2,1)+P51*参数!$B$6*IF(AND(F51="能力",AL51="能力持续"),参数!$B$2,1)+R51*参数!$B$7*IF(AND(F51="能力",AL51="能力持续"),参数!$B$2,1)+V51*参数!$B$8+IF(X51&lt;0,X51*参数!$B$13,X51*参数!$B$39)+IF(AE51&lt;0,AE51*参数!$B$13,AE51*参数!$B$12)*参数!$B$2+AQ51*参数!$B$15+AB51*参数!$B$11+AF51*参数!$B$40*参数!$B$2+AG51*参数!$B$44*参数!$B$2+AH51*参数!$B$6*参数!$B$2+AI51*参数!$B$39*参数!$B$2+AJ51*参数!$B$6*参数!$B$2+Z51*参数!$B$13-T51*参数!$B$14-AD51*参数!$B$13+IF(ISNUMBER(AU51),AU51*参数!$B$38,0)-AV51*参数!$B$41-AW51*参数!$B$14&gt;参数!$B$17,参数!$B$17+SQRT(IF(AND(F51="能力",AL51="能力持续"),(参数!$B$2-1)*参数!$B$3,0)+M51*O51*参数!$B$5*IF(AND(F51="能力",AL51="能力持续"),参数!$B$2,1)+P51*参数!$B$6*IF(AND(F51="能力",AL51="能力持续"),参数!$B$2,1)+R51*参数!$B$7*IF(AND(F51="能力",AL51="能力持续"),参数!$B$2,1)+V51*参数!$B$8+IF(X51&lt;0,X51*参数!$B$13,X51*参数!$B$39)+IF(AE51&lt;0,AE51*参数!$B$13,AE51*参数!$B$12)*参数!$B$2+AQ51*参数!$B$15+AB51*参数!$B$11+AF51*参数!$B$40*参数!$B$2+AG51*参数!$B$44*参数!$B$2+AH51*参数!$B$6*参数!$B$2+AI51*参数!$B$39*参数!$B$2+AJ51*参数!$B$6*参数!$B$2+Z51*参数!$B$13-T51*参数!$B$14-AD51*参数!$B$13+IF(ISNUMBER(AU51),AU51*参数!$B$38,0)-AV51*参数!$B$41-AW51*参数!$B$14-参数!$B$17)*参数!$B$18,IF(AND(F51="能力",AL51="能力持续"),(参数!$B$2-1)*参数!$B$3,0)+M51*O51*参数!$B$5*IF(AND(F51="能力",AL51="能力持续"),参数!$B$2,1)+P51*参数!$B$6*IF(AND(F51="能力",AL51="能力持续"),参数!$B$2,1)+R51*参数!$B$7*IF(AND(F51="能力",AL51="能力持续"),参数!$B$2,1)+V51*参数!$B$8+IF(X51&lt;0,X51*参数!$B$13,X51*参数!$B$39)+IF(AE51&lt;0,AE51*参数!$B$13,AE51*参数!$B$12)*参数!$B$2+AQ51*参数!$B$15+AB51*参数!$B$11+AF51*参数!$B$40*参数!$B$2+AG51*参数!$B$44*参数!$B$2+AH51*参数!$B$6*参数!$B$2+AI51*参数!$B$39*参数!$B$2+AJ51*参数!$B$6*参数!$B$2+Z51*参数!$B$13-T51*参数!$B$14-AD51*参数!$B$13+IF(ISNUMBER(AU51),AU51*参数!$B$38,0)-AV51*参数!$B$41-AW51*参数!$B$14),0),0)</f>
        <v>11.060660171779821</v>
      </c>
      <c r="AZ51">
        <f>AY51-MAX(AP51,0)*参数!$B$10</f>
        <v>8.060660171779821</v>
      </c>
      <c r="BA51">
        <f t="shared" si="1"/>
        <v>11.060660171779821</v>
      </c>
    </row>
    <row r="52" spans="1:53" x14ac:dyDescent="0.3">
      <c r="A52">
        <v>51</v>
      </c>
      <c r="B52" t="s">
        <v>331</v>
      </c>
      <c r="C52" t="s">
        <v>105</v>
      </c>
      <c r="D52" t="s">
        <v>247</v>
      </c>
      <c r="E52" t="s">
        <v>332</v>
      </c>
      <c r="F52" t="s">
        <v>124</v>
      </c>
      <c r="G52" t="s">
        <v>14</v>
      </c>
      <c r="H52">
        <v>2</v>
      </c>
      <c r="I52">
        <v>2</v>
      </c>
      <c r="J52" t="s">
        <v>333</v>
      </c>
      <c r="L52" t="s">
        <v>301</v>
      </c>
      <c r="M52">
        <v>6</v>
      </c>
      <c r="N52">
        <v>8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 t="s">
        <v>112</v>
      </c>
      <c r="AL52" t="s">
        <v>127</v>
      </c>
      <c r="AN52" t="s">
        <v>124</v>
      </c>
      <c r="AP52">
        <f t="shared" si="0"/>
        <v>2</v>
      </c>
      <c r="AQ52">
        <v>0</v>
      </c>
      <c r="AR52">
        <v>0</v>
      </c>
      <c r="AT52" t="s">
        <v>113</v>
      </c>
      <c r="AU52">
        <v>0</v>
      </c>
      <c r="AY52">
        <f>IFERROR(MAX(IF(IF(AND(F52="能力",AL52="能力持续"),(参数!$B$2-1)*参数!$B$3,0)+M52*O52*参数!$B$5*IF(AND(F52="能力",AL52="能力持续"),参数!$B$2,1)+P52*参数!$B$6*IF(AND(F52="能力",AL52="能力持续"),参数!$B$2,1)+R52*参数!$B$7*IF(AND(F52="能力",AL52="能力持续"),参数!$B$2,1)+V52*参数!$B$8+IF(X52&lt;0,X52*参数!$B$13,X52*参数!$B$39)+IF(AE52&lt;0,AE52*参数!$B$13,AE52*参数!$B$12)*参数!$B$2+AQ52*参数!$B$15+AB52*参数!$B$11+AF52*参数!$B$40*参数!$B$2+AG52*参数!$B$44*参数!$B$2+AH52*参数!$B$6*参数!$B$2+AI52*参数!$B$39*参数!$B$2+AJ52*参数!$B$6*参数!$B$2+Z52*参数!$B$13-T52*参数!$B$14-AD52*参数!$B$13+IF(ISNUMBER(AU52),AU52*参数!$B$38,0)-AV52*参数!$B$41-AW52*参数!$B$14&gt;参数!$B$17,参数!$B$17+SQRT(IF(AND(F52="能力",AL52="能力持续"),(参数!$B$2-1)*参数!$B$3,0)+M52*O52*参数!$B$5*IF(AND(F52="能力",AL52="能力持续"),参数!$B$2,1)+P52*参数!$B$6*IF(AND(F52="能力",AL52="能力持续"),参数!$B$2,1)+R52*参数!$B$7*IF(AND(F52="能力",AL52="能力持续"),参数!$B$2,1)+V52*参数!$B$8+IF(X52&lt;0,X52*参数!$B$13,X52*参数!$B$39)+IF(AE52&lt;0,AE52*参数!$B$13,AE52*参数!$B$12)*参数!$B$2+AQ52*参数!$B$15+AB52*参数!$B$11+AF52*参数!$B$40*参数!$B$2+AG52*参数!$B$44*参数!$B$2+AH52*参数!$B$6*参数!$B$2+AI52*参数!$B$39*参数!$B$2+AJ52*参数!$B$6*参数!$B$2+Z52*参数!$B$13-T52*参数!$B$14-AD52*参数!$B$13+IF(ISNUMBER(AU52),AU52*参数!$B$38,0)-AV52*参数!$B$41-AW52*参数!$B$14-参数!$B$17)*参数!$B$18,IF(AND(F52="能力",AL52="能力持续"),(参数!$B$2-1)*参数!$B$3,0)+M52*O52*参数!$B$5*IF(AND(F52="能力",AL52="能力持续"),参数!$B$2,1)+P52*参数!$B$6*IF(AND(F52="能力",AL52="能力持续"),参数!$B$2,1)+R52*参数!$B$7*IF(AND(F52="能力",AL52="能力持续"),参数!$B$2,1)+V52*参数!$B$8+IF(X52&lt;0,X52*参数!$B$13,X52*参数!$B$39)+IF(AE52&lt;0,AE52*参数!$B$13,AE52*参数!$B$12)*参数!$B$2+AQ52*参数!$B$15+AB52*参数!$B$11+AF52*参数!$B$40*参数!$B$2+AG52*参数!$B$44*参数!$B$2+AH52*参数!$B$6*参数!$B$2+AI52*参数!$B$39*参数!$B$2+AJ52*参数!$B$6*参数!$B$2+Z52*参数!$B$13-T52*参数!$B$14-AD52*参数!$B$13+IF(ISNUMBER(AU52),AU52*参数!$B$38,0)-AV52*参数!$B$41-AW52*参数!$B$14),0),0)</f>
        <v>16.292853089020909</v>
      </c>
      <c r="AZ52">
        <f>AY52-MAX(AP52,0)*参数!$B$10</f>
        <v>10.292853089020909</v>
      </c>
      <c r="BA52">
        <f t="shared" si="1"/>
        <v>8.1464265445104544</v>
      </c>
    </row>
    <row r="53" spans="1:53" x14ac:dyDescent="0.3">
      <c r="A53">
        <v>52</v>
      </c>
      <c r="B53" t="s">
        <v>334</v>
      </c>
      <c r="C53" t="s">
        <v>105</v>
      </c>
      <c r="D53" t="s">
        <v>335</v>
      </c>
      <c r="E53" t="s">
        <v>336</v>
      </c>
      <c r="F53" t="s">
        <v>124</v>
      </c>
      <c r="G53" t="s">
        <v>12</v>
      </c>
      <c r="H53">
        <v>1</v>
      </c>
      <c r="I53">
        <v>1</v>
      </c>
      <c r="J53" t="s">
        <v>337</v>
      </c>
      <c r="L53" t="s">
        <v>120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t="s">
        <v>112</v>
      </c>
      <c r="AL53" t="s">
        <v>127</v>
      </c>
      <c r="AN53" t="s">
        <v>124</v>
      </c>
      <c r="AP53">
        <f t="shared" si="0"/>
        <v>1</v>
      </c>
      <c r="AQ53">
        <f>1*参数!$B$48</f>
        <v>8</v>
      </c>
      <c r="AR53">
        <v>0</v>
      </c>
      <c r="AT53" t="s">
        <v>113</v>
      </c>
      <c r="AU53">
        <v>0</v>
      </c>
      <c r="AY53">
        <f>IFERROR(MAX(IF(IF(AND(F53="能力",AL53="能力持续"),(参数!$B$2-1)*参数!$B$3,0)+M53*O53*参数!$B$5*IF(AND(F53="能力",AL53="能力持续"),参数!$B$2,1)+P53*参数!$B$6*IF(AND(F53="能力",AL53="能力持续"),参数!$B$2,1)+R53*参数!$B$7*IF(AND(F53="能力",AL53="能力持续"),参数!$B$2,1)+V53*参数!$B$8+IF(X53&lt;0,X53*参数!$B$13,X53*参数!$B$39)+IF(AE53&lt;0,AE53*参数!$B$13,AE53*参数!$B$12)*参数!$B$2+AQ53*参数!$B$15+AB53*参数!$B$11+AF53*参数!$B$40*参数!$B$2+AG53*参数!$B$44*参数!$B$2+AH53*参数!$B$6*参数!$B$2+AI53*参数!$B$39*参数!$B$2+AJ53*参数!$B$6*参数!$B$2+Z53*参数!$B$13-T53*参数!$B$14-AD53*参数!$B$13+IF(ISNUMBER(AU53),AU53*参数!$B$38,0)-AV53*参数!$B$41-AW53*参数!$B$14&gt;参数!$B$17,参数!$B$17+SQRT(IF(AND(F53="能力",AL53="能力持续"),(参数!$B$2-1)*参数!$B$3,0)+M53*O53*参数!$B$5*IF(AND(F53="能力",AL53="能力持续"),参数!$B$2,1)+P53*参数!$B$6*IF(AND(F53="能力",AL53="能力持续"),参数!$B$2,1)+R53*参数!$B$7*IF(AND(F53="能力",AL53="能力持续"),参数!$B$2,1)+V53*参数!$B$8+IF(X53&lt;0,X53*参数!$B$13,X53*参数!$B$39)+IF(AE53&lt;0,AE53*参数!$B$13,AE53*参数!$B$12)*参数!$B$2+AQ53*参数!$B$15+AB53*参数!$B$11+AF53*参数!$B$40*参数!$B$2+AG53*参数!$B$44*参数!$B$2+AH53*参数!$B$6*参数!$B$2+AI53*参数!$B$39*参数!$B$2+AJ53*参数!$B$6*参数!$B$2+Z53*参数!$B$13-T53*参数!$B$14-AD53*参数!$B$13+IF(ISNUMBER(AU53),AU53*参数!$B$38,0)-AV53*参数!$B$41-AW53*参数!$B$14-参数!$B$17)*参数!$B$18,IF(AND(F53="能力",AL53="能力持续"),(参数!$B$2-1)*参数!$B$3,0)+M53*O53*参数!$B$5*IF(AND(F53="能力",AL53="能力持续"),参数!$B$2,1)+P53*参数!$B$6*IF(AND(F53="能力",AL53="能力持续"),参数!$B$2,1)+R53*参数!$B$7*IF(AND(F53="能力",AL53="能力持续"),参数!$B$2,1)+V53*参数!$B$8+IF(X53&lt;0,X53*参数!$B$13,X53*参数!$B$39)+IF(AE53&lt;0,AE53*参数!$B$13,AE53*参数!$B$12)*参数!$B$2+AQ53*参数!$B$15+AB53*参数!$B$11+AF53*参数!$B$40*参数!$B$2+AG53*参数!$B$44*参数!$B$2+AH53*参数!$B$6*参数!$B$2+AI53*参数!$B$39*参数!$B$2+AJ53*参数!$B$6*参数!$B$2+Z53*参数!$B$13-T53*参数!$B$14-AD53*参数!$B$13+IF(ISNUMBER(AU53),AU53*参数!$B$38,0)-AV53*参数!$B$41-AW53*参数!$B$14),0),0)</f>
        <v>16.292853089020909</v>
      </c>
      <c r="AZ53">
        <f>AY53-MAX(AP53,0)*参数!$B$10</f>
        <v>13.292853089020909</v>
      </c>
      <c r="BA53">
        <f t="shared" si="1"/>
        <v>16.292853089020909</v>
      </c>
    </row>
    <row r="54" spans="1:53" x14ac:dyDescent="0.3">
      <c r="A54">
        <v>53</v>
      </c>
      <c r="B54" t="s">
        <v>338</v>
      </c>
      <c r="C54" t="s">
        <v>105</v>
      </c>
      <c r="D54" t="s">
        <v>339</v>
      </c>
      <c r="E54" t="s">
        <v>340</v>
      </c>
      <c r="F54" t="s">
        <v>108</v>
      </c>
      <c r="G54" t="s">
        <v>14</v>
      </c>
      <c r="H54">
        <v>3</v>
      </c>
      <c r="I54">
        <v>3</v>
      </c>
      <c r="J54" t="s">
        <v>341</v>
      </c>
      <c r="K54" t="s">
        <v>342</v>
      </c>
      <c r="L54" t="s">
        <v>111</v>
      </c>
      <c r="M54">
        <v>20</v>
      </c>
      <c r="N54">
        <v>26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t="s">
        <v>112</v>
      </c>
      <c r="AN54" t="s">
        <v>161</v>
      </c>
      <c r="AO54" t="s">
        <v>342</v>
      </c>
      <c r="AP54">
        <f t="shared" si="0"/>
        <v>3</v>
      </c>
      <c r="AQ54">
        <v>0</v>
      </c>
      <c r="AR54">
        <v>0</v>
      </c>
      <c r="AT54" t="s">
        <v>113</v>
      </c>
      <c r="AU54">
        <v>0</v>
      </c>
      <c r="AY54">
        <f>IFERROR(MAX(IF(IF(AND(F54="能力",AL54="能力持续"),(参数!$B$2-1)*参数!$B$3,0)+M54*O54*参数!$B$5*IF(AND(F54="能力",AL54="能力持续"),参数!$B$2,1)+P54*参数!$B$6*IF(AND(F54="能力",AL54="能力持续"),参数!$B$2,1)+R54*参数!$B$7*IF(AND(F54="能力",AL54="能力持续"),参数!$B$2,1)+V54*参数!$B$8+IF(X54&lt;0,X54*参数!$B$13,X54*参数!$B$39)+IF(AE54&lt;0,AE54*参数!$B$13,AE54*参数!$B$12)*参数!$B$2+AQ54*参数!$B$15+AB54*参数!$B$11+AF54*参数!$B$40*参数!$B$2+AG54*参数!$B$44*参数!$B$2+AH54*参数!$B$6*参数!$B$2+AI54*参数!$B$39*参数!$B$2+AJ54*参数!$B$6*参数!$B$2+Z54*参数!$B$13-T54*参数!$B$14-AD54*参数!$B$13+IF(ISNUMBER(AU54),AU54*参数!$B$38,0)-AV54*参数!$B$41-AW54*参数!$B$14&gt;参数!$B$17,参数!$B$17+SQRT(IF(AND(F54="能力",AL54="能力持续"),(参数!$B$2-1)*参数!$B$3,0)+M54*O54*参数!$B$5*IF(AND(F54="能力",AL54="能力持续"),参数!$B$2,1)+P54*参数!$B$6*IF(AND(F54="能力",AL54="能力持续"),参数!$B$2,1)+R54*参数!$B$7*IF(AND(F54="能力",AL54="能力持续"),参数!$B$2,1)+V54*参数!$B$8+IF(X54&lt;0,X54*参数!$B$13,X54*参数!$B$39)+IF(AE54&lt;0,AE54*参数!$B$13,AE54*参数!$B$12)*参数!$B$2+AQ54*参数!$B$15+AB54*参数!$B$11+AF54*参数!$B$40*参数!$B$2+AG54*参数!$B$44*参数!$B$2+AH54*参数!$B$6*参数!$B$2+AI54*参数!$B$39*参数!$B$2+AJ54*参数!$B$6*参数!$B$2+Z54*参数!$B$13-T54*参数!$B$14-AD54*参数!$B$13+IF(ISNUMBER(AU54),AU54*参数!$B$38,0)-AV54*参数!$B$41-AW54*参数!$B$14-参数!$B$17)*参数!$B$18,IF(AND(F54="能力",AL54="能力持续"),(参数!$B$2-1)*参数!$B$3,0)+M54*O54*参数!$B$5*IF(AND(F54="能力",AL54="能力持续"),参数!$B$2,1)+P54*参数!$B$6*IF(AND(F54="能力",AL54="能力持续"),参数!$B$2,1)+R54*参数!$B$7*IF(AND(F54="能力",AL54="能力持续"),参数!$B$2,1)+V54*参数!$B$8+IF(X54&lt;0,X54*参数!$B$13,X54*参数!$B$39)+IF(AE54&lt;0,AE54*参数!$B$13,AE54*参数!$B$12)*参数!$B$2+AQ54*参数!$B$15+AB54*参数!$B$11+AF54*参数!$B$40*参数!$B$2+AG54*参数!$B$44*参数!$B$2+AH54*参数!$B$6*参数!$B$2+AI54*参数!$B$39*参数!$B$2+AJ54*参数!$B$6*参数!$B$2+Z54*参数!$B$13-T54*参数!$B$14-AD54*参数!$B$13+IF(ISNUMBER(AU54),AU54*参数!$B$38,0)-AV54*参数!$B$41-AW54*参数!$B$14),0),0)</f>
        <v>14.743416490252569</v>
      </c>
      <c r="AZ54">
        <f>AY54-MAX(AP54,0)*参数!$B$10</f>
        <v>5.7434164902525691</v>
      </c>
      <c r="BA54">
        <f t="shared" si="1"/>
        <v>4.914472163417523</v>
      </c>
    </row>
    <row r="55" spans="1:53" x14ac:dyDescent="0.3">
      <c r="A55">
        <v>54</v>
      </c>
      <c r="B55" t="s">
        <v>343</v>
      </c>
      <c r="C55" t="s">
        <v>105</v>
      </c>
      <c r="D55" t="s">
        <v>344</v>
      </c>
      <c r="E55" t="s">
        <v>345</v>
      </c>
      <c r="F55" t="s">
        <v>108</v>
      </c>
      <c r="G55" t="s">
        <v>10</v>
      </c>
      <c r="H55">
        <v>1</v>
      </c>
      <c r="I55">
        <v>1</v>
      </c>
      <c r="J55" t="s">
        <v>346</v>
      </c>
      <c r="L55" t="s">
        <v>111</v>
      </c>
      <c r="M55">
        <v>10</v>
      </c>
      <c r="N55">
        <v>14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112</v>
      </c>
      <c r="AP55">
        <f t="shared" si="0"/>
        <v>1</v>
      </c>
      <c r="AQ55">
        <v>0</v>
      </c>
      <c r="AR55">
        <v>0</v>
      </c>
      <c r="AT55" t="s">
        <v>113</v>
      </c>
      <c r="AU55">
        <v>0</v>
      </c>
      <c r="AY55">
        <f>IFERROR(MAX(IF(IF(AND(F55="能力",AL55="能力持续"),(参数!$B$2-1)*参数!$B$3,0)+M55*O55*参数!$B$5*IF(AND(F55="能力",AL55="能力持续"),参数!$B$2,1)+P55*参数!$B$6*IF(AND(F55="能力",AL55="能力持续"),参数!$B$2,1)+R55*参数!$B$7*IF(AND(F55="能力",AL55="能力持续"),参数!$B$2,1)+V55*参数!$B$8+IF(X55&lt;0,X55*参数!$B$13,X55*参数!$B$39)+IF(AE55&lt;0,AE55*参数!$B$13,AE55*参数!$B$12)*参数!$B$2+AQ55*参数!$B$15+AB55*参数!$B$11+AF55*参数!$B$40*参数!$B$2+AG55*参数!$B$44*参数!$B$2+AH55*参数!$B$6*参数!$B$2+AI55*参数!$B$39*参数!$B$2+AJ55*参数!$B$6*参数!$B$2+Z55*参数!$B$13-T55*参数!$B$14-AD55*参数!$B$13+IF(ISNUMBER(AU55),AU55*参数!$B$38,0)-AV55*参数!$B$41-AW55*参数!$B$14&gt;参数!$B$17,参数!$B$17+SQRT(IF(AND(F55="能力",AL55="能力持续"),(参数!$B$2-1)*参数!$B$3,0)+M55*O55*参数!$B$5*IF(AND(F55="能力",AL55="能力持续"),参数!$B$2,1)+P55*参数!$B$6*IF(AND(F55="能力",AL55="能力持续"),参数!$B$2,1)+R55*参数!$B$7*IF(AND(F55="能力",AL55="能力持续"),参数!$B$2,1)+V55*参数!$B$8+IF(X55&lt;0,X55*参数!$B$13,X55*参数!$B$39)+IF(AE55&lt;0,AE55*参数!$B$13,AE55*参数!$B$12)*参数!$B$2+AQ55*参数!$B$15+AB55*参数!$B$11+AF55*参数!$B$40*参数!$B$2+AG55*参数!$B$44*参数!$B$2+AH55*参数!$B$6*参数!$B$2+AI55*参数!$B$39*参数!$B$2+AJ55*参数!$B$6*参数!$B$2+Z55*参数!$B$13-T55*参数!$B$14-AD55*参数!$B$13+IF(ISNUMBER(AU55),AU55*参数!$B$38,0)-AV55*参数!$B$41-AW55*参数!$B$14-参数!$B$17)*参数!$B$18,IF(AND(F55="能力",AL55="能力持续"),(参数!$B$2-1)*参数!$B$3,0)+M55*O55*参数!$B$5*IF(AND(F55="能力",AL55="能力持续"),参数!$B$2,1)+P55*参数!$B$6*IF(AND(F55="能力",AL55="能力持续"),参数!$B$2,1)+R55*参数!$B$7*IF(AND(F55="能力",AL55="能力持续"),参数!$B$2,1)+V55*参数!$B$8+IF(X55&lt;0,X55*参数!$B$13,X55*参数!$B$39)+IF(AE55&lt;0,AE55*参数!$B$13,AE55*参数!$B$12)*参数!$B$2+AQ55*参数!$B$15+AB55*参数!$B$11+AF55*参数!$B$40*参数!$B$2+AG55*参数!$B$44*参数!$B$2+AH55*参数!$B$6*参数!$B$2+AI55*参数!$B$39*参数!$B$2+AJ55*参数!$B$6*参数!$B$2+Z55*参数!$B$13-T55*参数!$B$14-AD55*参数!$B$13+IF(ISNUMBER(AU55),AU55*参数!$B$38,0)-AV55*参数!$B$41-AW55*参数!$B$14),0),0)</f>
        <v>10</v>
      </c>
      <c r="AZ55">
        <f>AY55-MAX(AP55,0)*参数!$B$10</f>
        <v>7</v>
      </c>
      <c r="BA55">
        <f t="shared" si="1"/>
        <v>10</v>
      </c>
    </row>
    <row r="56" spans="1:53" x14ac:dyDescent="0.3">
      <c r="A56">
        <v>55</v>
      </c>
      <c r="B56" t="s">
        <v>347</v>
      </c>
      <c r="C56" t="s">
        <v>105</v>
      </c>
      <c r="D56" t="s">
        <v>348</v>
      </c>
      <c r="E56" t="s">
        <v>349</v>
      </c>
      <c r="F56" t="s">
        <v>117</v>
      </c>
      <c r="G56" t="s">
        <v>14</v>
      </c>
      <c r="H56">
        <v>0</v>
      </c>
      <c r="I56">
        <v>0</v>
      </c>
      <c r="J56" t="s">
        <v>350</v>
      </c>
      <c r="L56" t="s">
        <v>111</v>
      </c>
      <c r="M56">
        <v>0</v>
      </c>
      <c r="N56">
        <v>0</v>
      </c>
      <c r="O56">
        <v>1</v>
      </c>
      <c r="P56">
        <v>0</v>
      </c>
      <c r="Q56">
        <v>0</v>
      </c>
      <c r="R56">
        <v>3</v>
      </c>
      <c r="S56">
        <v>5</v>
      </c>
      <c r="T56">
        <v>0</v>
      </c>
      <c r="U56">
        <v>0</v>
      </c>
      <c r="V56">
        <v>2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t="s">
        <v>112</v>
      </c>
      <c r="AP56">
        <f t="shared" si="0"/>
        <v>0.4</v>
      </c>
      <c r="AQ56">
        <v>0</v>
      </c>
      <c r="AR56">
        <v>0</v>
      </c>
      <c r="AT56" t="s">
        <v>113</v>
      </c>
      <c r="AU56">
        <v>0</v>
      </c>
      <c r="AV56">
        <v>6</v>
      </c>
      <c r="AY56">
        <f>IFERROR(MAX(IF(IF(AND(F56="能力",AL56="能力持续"),(参数!$B$2-1)*参数!$B$3,0)+M56*O56*参数!$B$5*IF(AND(F56="能力",AL56="能力持续"),参数!$B$2,1)+P56*参数!$B$6*IF(AND(F56="能力",AL56="能力持续"),参数!$B$2,1)+R56*参数!$B$7*IF(AND(F56="能力",AL56="能力持续"),参数!$B$2,1)+V56*参数!$B$8+IF(X56&lt;0,X56*参数!$B$13,X56*参数!$B$39)+IF(AE56&lt;0,AE56*参数!$B$13,AE56*参数!$B$12)*参数!$B$2+AQ56*参数!$B$15+AB56*参数!$B$11+AF56*参数!$B$40*参数!$B$2+AG56*参数!$B$44*参数!$B$2+AH56*参数!$B$6*参数!$B$2+AI56*参数!$B$39*参数!$B$2+AJ56*参数!$B$6*参数!$B$2+Z56*参数!$B$13-T56*参数!$B$14-AD56*参数!$B$13+IF(ISNUMBER(AU56),AU56*参数!$B$38,0)-AV56*参数!$B$41-AW56*参数!$B$14&gt;参数!$B$17,参数!$B$17+SQRT(IF(AND(F56="能力",AL56="能力持续"),(参数!$B$2-1)*参数!$B$3,0)+M56*O56*参数!$B$5*IF(AND(F56="能力",AL56="能力持续"),参数!$B$2,1)+P56*参数!$B$6*IF(AND(F56="能力",AL56="能力持续"),参数!$B$2,1)+R56*参数!$B$7*IF(AND(F56="能力",AL56="能力持续"),参数!$B$2,1)+V56*参数!$B$8+IF(X56&lt;0,X56*参数!$B$13,X56*参数!$B$39)+IF(AE56&lt;0,AE56*参数!$B$13,AE56*参数!$B$12)*参数!$B$2+AQ56*参数!$B$15+AB56*参数!$B$11+AF56*参数!$B$40*参数!$B$2+AG56*参数!$B$44*参数!$B$2+AH56*参数!$B$6*参数!$B$2+AI56*参数!$B$39*参数!$B$2+AJ56*参数!$B$6*参数!$B$2+Z56*参数!$B$13-T56*参数!$B$14-AD56*参数!$B$13+IF(ISNUMBER(AU56),AU56*参数!$B$38,0)-AV56*参数!$B$41-AW56*参数!$B$14-参数!$B$17)*参数!$B$18,IF(AND(F56="能力",AL56="能力持续"),(参数!$B$2-1)*参数!$B$3,0)+M56*O56*参数!$B$5*IF(AND(F56="能力",AL56="能力持续"),参数!$B$2,1)+P56*参数!$B$6*IF(AND(F56="能力",AL56="能力持续"),参数!$B$2,1)+R56*参数!$B$7*IF(AND(F56="能力",AL56="能力持续"),参数!$B$2,1)+V56*参数!$B$8+IF(X56&lt;0,X56*参数!$B$13,X56*参数!$B$39)+IF(AE56&lt;0,AE56*参数!$B$13,AE56*参数!$B$12)*参数!$B$2+AQ56*参数!$B$15+AB56*参数!$B$11+AF56*参数!$B$40*参数!$B$2+AG56*参数!$B$44*参数!$B$2+AH56*参数!$B$6*参数!$B$2+AI56*参数!$B$39*参数!$B$2+AJ56*参数!$B$6*参数!$B$2+Z56*参数!$B$13-T56*参数!$B$14-AD56*参数!$B$13+IF(ISNUMBER(AU56),AU56*参数!$B$38,0)-AV56*参数!$B$41-AW56*参数!$B$14),0),0)</f>
        <v>0</v>
      </c>
      <c r="AZ56">
        <f>AY56-MAX(AP56,0)*参数!$B$10</f>
        <v>-1.2000000000000002</v>
      </c>
      <c r="BA56">
        <f t="shared" si="1"/>
        <v>0</v>
      </c>
    </row>
    <row r="57" spans="1:53" x14ac:dyDescent="0.3">
      <c r="A57">
        <v>56</v>
      </c>
      <c r="B57" t="s">
        <v>351</v>
      </c>
      <c r="C57" t="s">
        <v>105</v>
      </c>
      <c r="D57" t="s">
        <v>352</v>
      </c>
      <c r="E57" t="s">
        <v>353</v>
      </c>
      <c r="F57" t="s">
        <v>117</v>
      </c>
      <c r="G57" t="s">
        <v>14</v>
      </c>
      <c r="H57">
        <v>1</v>
      </c>
      <c r="I57">
        <v>1</v>
      </c>
      <c r="J57" t="s">
        <v>354</v>
      </c>
      <c r="L57" t="s">
        <v>111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112</v>
      </c>
      <c r="AN57" t="s">
        <v>161</v>
      </c>
      <c r="AP57">
        <f t="shared" si="0"/>
        <v>1</v>
      </c>
      <c r="AQ57">
        <f>1*参数!$B$48</f>
        <v>8</v>
      </c>
      <c r="AR57">
        <v>0</v>
      </c>
      <c r="AT57" t="s">
        <v>113</v>
      </c>
      <c r="AU57">
        <v>0</v>
      </c>
      <c r="AY57">
        <f>IFERROR(MAX(IF(IF(AND(F57="能力",AL57="能力持续"),(参数!$B$2-1)*参数!$B$3,0)+M57*O57*参数!$B$5*IF(AND(F57="能力",AL57="能力持续"),参数!$B$2,1)+P57*参数!$B$6*IF(AND(F57="能力",AL57="能力持续"),参数!$B$2,1)+R57*参数!$B$7*IF(AND(F57="能力",AL57="能力持续"),参数!$B$2,1)+V57*参数!$B$8+IF(X57&lt;0,X57*参数!$B$13,X57*参数!$B$39)+IF(AE57&lt;0,AE57*参数!$B$13,AE57*参数!$B$12)*参数!$B$2+AQ57*参数!$B$15+AB57*参数!$B$11+AF57*参数!$B$40*参数!$B$2+AG57*参数!$B$44*参数!$B$2+AH57*参数!$B$6*参数!$B$2+AI57*参数!$B$39*参数!$B$2+AJ57*参数!$B$6*参数!$B$2+Z57*参数!$B$13-T57*参数!$B$14-AD57*参数!$B$13+IF(ISNUMBER(AU57),AU57*参数!$B$38,0)-AV57*参数!$B$41-AW57*参数!$B$14&gt;参数!$B$17,参数!$B$17+SQRT(IF(AND(F57="能力",AL57="能力持续"),(参数!$B$2-1)*参数!$B$3,0)+M57*O57*参数!$B$5*IF(AND(F57="能力",AL57="能力持续"),参数!$B$2,1)+P57*参数!$B$6*IF(AND(F57="能力",AL57="能力持续"),参数!$B$2,1)+R57*参数!$B$7*IF(AND(F57="能力",AL57="能力持续"),参数!$B$2,1)+V57*参数!$B$8+IF(X57&lt;0,X57*参数!$B$13,X57*参数!$B$39)+IF(AE57&lt;0,AE57*参数!$B$13,AE57*参数!$B$12)*参数!$B$2+AQ57*参数!$B$15+AB57*参数!$B$11+AF57*参数!$B$40*参数!$B$2+AG57*参数!$B$44*参数!$B$2+AH57*参数!$B$6*参数!$B$2+AI57*参数!$B$39*参数!$B$2+AJ57*参数!$B$6*参数!$B$2+Z57*参数!$B$13-T57*参数!$B$14-AD57*参数!$B$13+IF(ISNUMBER(AU57),AU57*参数!$B$38,0)-AV57*参数!$B$41-AW57*参数!$B$14-参数!$B$17)*参数!$B$18,IF(AND(F57="能力",AL57="能力持续"),(参数!$B$2-1)*参数!$B$3,0)+M57*O57*参数!$B$5*IF(AND(F57="能力",AL57="能力持续"),参数!$B$2,1)+P57*参数!$B$6*IF(AND(F57="能力",AL57="能力持续"),参数!$B$2,1)+R57*参数!$B$7*IF(AND(F57="能力",AL57="能力持续"),参数!$B$2,1)+V57*参数!$B$8+IF(X57&lt;0,X57*参数!$B$13,X57*参数!$B$39)+IF(AE57&lt;0,AE57*参数!$B$13,AE57*参数!$B$12)*参数!$B$2+AQ57*参数!$B$15+AB57*参数!$B$11+AF57*参数!$B$40*参数!$B$2+AG57*参数!$B$44*参数!$B$2+AH57*参数!$B$6*参数!$B$2+AI57*参数!$B$39*参数!$B$2+AJ57*参数!$B$6*参数!$B$2+Z57*参数!$B$13-T57*参数!$B$14-AD57*参数!$B$13+IF(ISNUMBER(AU57),AU57*参数!$B$38,0)-AV57*参数!$B$41-AW57*参数!$B$14),0),0)</f>
        <v>15.612486080160913</v>
      </c>
      <c r="AZ57">
        <f>AY57-MAX(AP57,0)*参数!$B$10</f>
        <v>12.612486080160913</v>
      </c>
      <c r="BA57">
        <f t="shared" si="1"/>
        <v>15.612486080160913</v>
      </c>
    </row>
    <row r="58" spans="1:53" x14ac:dyDescent="0.3">
      <c r="A58">
        <v>57</v>
      </c>
      <c r="B58" t="s">
        <v>355</v>
      </c>
      <c r="C58" t="s">
        <v>105</v>
      </c>
      <c r="D58" t="s">
        <v>356</v>
      </c>
      <c r="E58" t="s">
        <v>357</v>
      </c>
      <c r="F58" t="s">
        <v>108</v>
      </c>
      <c r="G58" t="s">
        <v>14</v>
      </c>
      <c r="H58">
        <v>0</v>
      </c>
      <c r="I58">
        <v>0</v>
      </c>
      <c r="J58" t="s">
        <v>358</v>
      </c>
      <c r="K58" t="s">
        <v>182</v>
      </c>
      <c r="L58" t="s">
        <v>191</v>
      </c>
      <c r="M58">
        <v>18</v>
      </c>
      <c r="N58">
        <v>24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 t="s">
        <v>112</v>
      </c>
      <c r="AN58" t="s">
        <v>192</v>
      </c>
      <c r="AO58" t="s">
        <v>182</v>
      </c>
      <c r="AP58">
        <f t="shared" si="0"/>
        <v>0.4</v>
      </c>
      <c r="AQ58">
        <v>0</v>
      </c>
      <c r="AR58">
        <v>0</v>
      </c>
      <c r="AT58" t="s">
        <v>113</v>
      </c>
      <c r="AU58">
        <v>0</v>
      </c>
      <c r="AY58">
        <f>IFERROR(MAX(IF(IF(AND(F58="能力",AL58="能力持续"),(参数!$B$2-1)*参数!$B$3,0)+M58*O58*参数!$B$5*IF(AND(F58="能力",AL58="能力持续"),参数!$B$2,1)+P58*参数!$B$6*IF(AND(F58="能力",AL58="能力持续"),参数!$B$2,1)+R58*参数!$B$7*IF(AND(F58="能力",AL58="能力持续"),参数!$B$2,1)+V58*参数!$B$8+IF(X58&lt;0,X58*参数!$B$13,X58*参数!$B$39)+IF(AE58&lt;0,AE58*参数!$B$13,AE58*参数!$B$12)*参数!$B$2+AQ58*参数!$B$15+AB58*参数!$B$11+AF58*参数!$B$40*参数!$B$2+AG58*参数!$B$44*参数!$B$2+AH58*参数!$B$6*参数!$B$2+AI58*参数!$B$39*参数!$B$2+AJ58*参数!$B$6*参数!$B$2+Z58*参数!$B$13-T58*参数!$B$14-AD58*参数!$B$13+IF(ISNUMBER(AU58),AU58*参数!$B$38,0)-AV58*参数!$B$41-AW58*参数!$B$14&gt;参数!$B$17,参数!$B$17+SQRT(IF(AND(F58="能力",AL58="能力持续"),(参数!$B$2-1)*参数!$B$3,0)+M58*O58*参数!$B$5*IF(AND(F58="能力",AL58="能力持续"),参数!$B$2,1)+P58*参数!$B$6*IF(AND(F58="能力",AL58="能力持续"),参数!$B$2,1)+R58*参数!$B$7*IF(AND(F58="能力",AL58="能力持续"),参数!$B$2,1)+V58*参数!$B$8+IF(X58&lt;0,X58*参数!$B$13,X58*参数!$B$39)+IF(AE58&lt;0,AE58*参数!$B$13,AE58*参数!$B$12)*参数!$B$2+AQ58*参数!$B$15+AB58*参数!$B$11+AF58*参数!$B$40*参数!$B$2+AG58*参数!$B$44*参数!$B$2+AH58*参数!$B$6*参数!$B$2+AI58*参数!$B$39*参数!$B$2+AJ58*参数!$B$6*参数!$B$2+Z58*参数!$B$13-T58*参数!$B$14-AD58*参数!$B$13+IF(ISNUMBER(AU58),AU58*参数!$B$38,0)-AV58*参数!$B$41-AW58*参数!$B$14-参数!$B$17)*参数!$B$18,IF(AND(F58="能力",AL58="能力持续"),(参数!$B$2-1)*参数!$B$3,0)+M58*O58*参数!$B$5*IF(AND(F58="能力",AL58="能力持续"),参数!$B$2,1)+P58*参数!$B$6*IF(AND(F58="能力",AL58="能力持续"),参数!$B$2,1)+R58*参数!$B$7*IF(AND(F58="能力",AL58="能力持续"),参数!$B$2,1)+V58*参数!$B$8+IF(X58&lt;0,X58*参数!$B$13,X58*参数!$B$39)+IF(AE58&lt;0,AE58*参数!$B$13,AE58*参数!$B$12)*参数!$B$2+AQ58*参数!$B$15+AB58*参数!$B$11+AF58*参数!$B$40*参数!$B$2+AG58*参数!$B$44*参数!$B$2+AH58*参数!$B$6*参数!$B$2+AI58*参数!$B$39*参数!$B$2+AJ58*参数!$B$6*参数!$B$2+Z58*参数!$B$13-T58*参数!$B$14-AD58*参数!$B$13+IF(ISNUMBER(AU58),AU58*参数!$B$38,0)-AV58*参数!$B$41-AW58*参数!$B$14),0),0)</f>
        <v>14.242640687119286</v>
      </c>
      <c r="AZ58">
        <f>AY58-MAX(AP58,0)*参数!$B$10</f>
        <v>13.042640687119285</v>
      </c>
      <c r="BA58">
        <f t="shared" si="1"/>
        <v>35.606601717798213</v>
      </c>
    </row>
    <row r="59" spans="1:53" x14ac:dyDescent="0.3">
      <c r="A59">
        <v>58</v>
      </c>
      <c r="B59" t="s">
        <v>359</v>
      </c>
      <c r="C59" t="s">
        <v>105</v>
      </c>
      <c r="D59" t="s">
        <v>360</v>
      </c>
      <c r="E59" t="s">
        <v>361</v>
      </c>
      <c r="F59" t="s">
        <v>108</v>
      </c>
      <c r="G59" t="s">
        <v>10</v>
      </c>
      <c r="H59">
        <v>2</v>
      </c>
      <c r="I59">
        <v>2</v>
      </c>
      <c r="J59" t="s">
        <v>362</v>
      </c>
      <c r="L59" t="s">
        <v>111</v>
      </c>
      <c r="M59">
        <v>16</v>
      </c>
      <c r="N59">
        <v>21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t="s">
        <v>112</v>
      </c>
      <c r="AP59">
        <f t="shared" si="0"/>
        <v>2</v>
      </c>
      <c r="AQ59">
        <v>0</v>
      </c>
      <c r="AR59">
        <v>0</v>
      </c>
      <c r="AT59" t="s">
        <v>113</v>
      </c>
      <c r="AU59">
        <v>0</v>
      </c>
      <c r="AW59">
        <v>1</v>
      </c>
      <c r="AY59">
        <f>IFERROR(MAX(IF(IF(AND(F59="能力",AL59="能力持续"),(参数!$B$2-1)*参数!$B$3,0)+M59*O59*参数!$B$5*IF(AND(F59="能力",AL59="能力持续"),参数!$B$2,1)+P59*参数!$B$6*IF(AND(F59="能力",AL59="能力持续"),参数!$B$2,1)+R59*参数!$B$7*IF(AND(F59="能力",AL59="能力持续"),参数!$B$2,1)+V59*参数!$B$8+IF(X59&lt;0,X59*参数!$B$13,X59*参数!$B$39)+IF(AE59&lt;0,AE59*参数!$B$13,AE59*参数!$B$12)*参数!$B$2+AQ59*参数!$B$15+AB59*参数!$B$11+AF59*参数!$B$40*参数!$B$2+AG59*参数!$B$44*参数!$B$2+AH59*参数!$B$6*参数!$B$2+AI59*参数!$B$39*参数!$B$2+AJ59*参数!$B$6*参数!$B$2+Z59*参数!$B$13-T59*参数!$B$14-AD59*参数!$B$13+IF(ISNUMBER(AU59),AU59*参数!$B$38,0)-AV59*参数!$B$41-AW59*参数!$B$14&gt;参数!$B$17,参数!$B$17+SQRT(IF(AND(F59="能力",AL59="能力持续"),(参数!$B$2-1)*参数!$B$3,0)+M59*O59*参数!$B$5*IF(AND(F59="能力",AL59="能力持续"),参数!$B$2,1)+P59*参数!$B$6*IF(AND(F59="能力",AL59="能力持续"),参数!$B$2,1)+R59*参数!$B$7*IF(AND(F59="能力",AL59="能力持续"),参数!$B$2,1)+V59*参数!$B$8+IF(X59&lt;0,X59*参数!$B$13,X59*参数!$B$39)+IF(AE59&lt;0,AE59*参数!$B$13,AE59*参数!$B$12)*参数!$B$2+AQ59*参数!$B$15+AB59*参数!$B$11+AF59*参数!$B$40*参数!$B$2+AG59*参数!$B$44*参数!$B$2+AH59*参数!$B$6*参数!$B$2+AI59*参数!$B$39*参数!$B$2+AJ59*参数!$B$6*参数!$B$2+Z59*参数!$B$13-T59*参数!$B$14-AD59*参数!$B$13+IF(ISNUMBER(AU59),AU59*参数!$B$38,0)-AV59*参数!$B$41-AW59*参数!$B$14-参数!$B$17)*参数!$B$18,IF(AND(F59="能力",AL59="能力持续"),(参数!$B$2-1)*参数!$B$3,0)+M59*O59*参数!$B$5*IF(AND(F59="能力",AL59="能力持续"),参数!$B$2,1)+P59*参数!$B$6*IF(AND(F59="能力",AL59="能力持续"),参数!$B$2,1)+R59*参数!$B$7*IF(AND(F59="能力",AL59="能力持续"),参数!$B$2,1)+V59*参数!$B$8+IF(X59&lt;0,X59*参数!$B$13,X59*参数!$B$39)+IF(AE59&lt;0,AE59*参数!$B$13,AE59*参数!$B$12)*参数!$B$2+AQ59*参数!$B$15+AB59*参数!$B$11+AF59*参数!$B$40*参数!$B$2+AG59*参数!$B$44*参数!$B$2+AH59*参数!$B$6*参数!$B$2+AI59*参数!$B$39*参数!$B$2+AJ59*参数!$B$6*参数!$B$2+Z59*参数!$B$13-T59*参数!$B$14-AD59*参数!$B$13+IF(ISNUMBER(AU59),AU59*参数!$B$38,0)-AV59*参数!$B$41-AW59*参数!$B$14),0),0)</f>
        <v>13.581200915893996</v>
      </c>
      <c r="AZ59">
        <f>AY59-MAX(AP59,0)*参数!$B$10</f>
        <v>7.5812009158939961</v>
      </c>
      <c r="BA59">
        <f t="shared" si="1"/>
        <v>6.7906004579469981</v>
      </c>
    </row>
    <row r="60" spans="1:53" x14ac:dyDescent="0.3">
      <c r="A60">
        <v>59</v>
      </c>
      <c r="B60" t="s">
        <v>363</v>
      </c>
      <c r="C60" t="s">
        <v>105</v>
      </c>
      <c r="D60" t="s">
        <v>364</v>
      </c>
      <c r="E60" t="s">
        <v>365</v>
      </c>
      <c r="F60" t="s">
        <v>108</v>
      </c>
      <c r="G60" t="s">
        <v>12</v>
      </c>
      <c r="H60">
        <v>1</v>
      </c>
      <c r="I60">
        <v>1</v>
      </c>
      <c r="J60" t="s">
        <v>366</v>
      </c>
      <c r="L60" t="s">
        <v>111</v>
      </c>
      <c r="M60">
        <v>6</v>
      </c>
      <c r="N60">
        <v>9</v>
      </c>
      <c r="O60">
        <v>1</v>
      </c>
      <c r="P60">
        <v>0</v>
      </c>
      <c r="Q60">
        <v>0</v>
      </c>
      <c r="R60">
        <v>2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t="s">
        <v>112</v>
      </c>
      <c r="AP60">
        <f t="shared" si="0"/>
        <v>1</v>
      </c>
      <c r="AQ60">
        <v>0</v>
      </c>
      <c r="AR60">
        <v>0</v>
      </c>
      <c r="AT60" t="s">
        <v>113</v>
      </c>
      <c r="AU60">
        <v>0</v>
      </c>
      <c r="AY60">
        <f>IFERROR(MAX(IF(IF(AND(F60="能力",AL60="能力持续"),(参数!$B$2-1)*参数!$B$3,0)+M60*O60*参数!$B$5*IF(AND(F60="能力",AL60="能力持续"),参数!$B$2,1)+P60*参数!$B$6*IF(AND(F60="能力",AL60="能力持续"),参数!$B$2,1)+R60*参数!$B$7*IF(AND(F60="能力",AL60="能力持续"),参数!$B$2,1)+V60*参数!$B$8+IF(X60&lt;0,X60*参数!$B$13,X60*参数!$B$39)+IF(AE60&lt;0,AE60*参数!$B$13,AE60*参数!$B$12)*参数!$B$2+AQ60*参数!$B$15+AB60*参数!$B$11+AF60*参数!$B$40*参数!$B$2+AG60*参数!$B$44*参数!$B$2+AH60*参数!$B$6*参数!$B$2+AI60*参数!$B$39*参数!$B$2+AJ60*参数!$B$6*参数!$B$2+Z60*参数!$B$13-T60*参数!$B$14-AD60*参数!$B$13+IF(ISNUMBER(AU60),AU60*参数!$B$38,0)-AV60*参数!$B$41-AW60*参数!$B$14&gt;参数!$B$17,参数!$B$17+SQRT(IF(AND(F60="能力",AL60="能力持续"),(参数!$B$2-1)*参数!$B$3,0)+M60*O60*参数!$B$5*IF(AND(F60="能力",AL60="能力持续"),参数!$B$2,1)+P60*参数!$B$6*IF(AND(F60="能力",AL60="能力持续"),参数!$B$2,1)+R60*参数!$B$7*IF(AND(F60="能力",AL60="能力持续"),参数!$B$2,1)+V60*参数!$B$8+IF(X60&lt;0,X60*参数!$B$13,X60*参数!$B$39)+IF(AE60&lt;0,AE60*参数!$B$13,AE60*参数!$B$12)*参数!$B$2+AQ60*参数!$B$15+AB60*参数!$B$11+AF60*参数!$B$40*参数!$B$2+AG60*参数!$B$44*参数!$B$2+AH60*参数!$B$6*参数!$B$2+AI60*参数!$B$39*参数!$B$2+AJ60*参数!$B$6*参数!$B$2+Z60*参数!$B$13-T60*参数!$B$14-AD60*参数!$B$13+IF(ISNUMBER(AU60),AU60*参数!$B$38,0)-AV60*参数!$B$41-AW60*参数!$B$14-参数!$B$17)*参数!$B$18,IF(AND(F60="能力",AL60="能力持续"),(参数!$B$2-1)*参数!$B$3,0)+M60*O60*参数!$B$5*IF(AND(F60="能力",AL60="能力持续"),参数!$B$2,1)+P60*参数!$B$6*IF(AND(F60="能力",AL60="能力持续"),参数!$B$2,1)+R60*参数!$B$7*IF(AND(F60="能力",AL60="能力持续"),参数!$B$2,1)+V60*参数!$B$8+IF(X60&lt;0,X60*参数!$B$13,X60*参数!$B$39)+IF(AE60&lt;0,AE60*参数!$B$13,AE60*参数!$B$12)*参数!$B$2+AQ60*参数!$B$15+AB60*参数!$B$11+AF60*参数!$B$40*参数!$B$2+AG60*参数!$B$44*参数!$B$2+AH60*参数!$B$6*参数!$B$2+AI60*参数!$B$39*参数!$B$2+AJ60*参数!$B$6*参数!$B$2+Z60*参数!$B$13-T60*参数!$B$14-AD60*参数!$B$13+IF(ISNUMBER(AU60),AU60*参数!$B$38,0)-AV60*参数!$B$41-AW60*参数!$B$14),0),0)</f>
        <v>7.4</v>
      </c>
      <c r="AZ60">
        <f>AY60-MAX(AP60,0)*参数!$B$10</f>
        <v>4.4000000000000004</v>
      </c>
      <c r="BA60">
        <f t="shared" si="1"/>
        <v>7.4</v>
      </c>
    </row>
    <row r="61" spans="1:53" x14ac:dyDescent="0.3">
      <c r="A61">
        <v>60</v>
      </c>
      <c r="B61" t="s">
        <v>367</v>
      </c>
      <c r="C61" t="s">
        <v>105</v>
      </c>
      <c r="D61" t="s">
        <v>368</v>
      </c>
      <c r="E61" t="s">
        <v>369</v>
      </c>
      <c r="F61" t="s">
        <v>108</v>
      </c>
      <c r="G61" t="s">
        <v>10</v>
      </c>
      <c r="H61">
        <v>1</v>
      </c>
      <c r="I61">
        <v>1</v>
      </c>
      <c r="J61" t="s">
        <v>370</v>
      </c>
      <c r="L61" t="s">
        <v>111</v>
      </c>
      <c r="M61">
        <v>9</v>
      </c>
      <c r="N61">
        <v>10</v>
      </c>
      <c r="O61">
        <v>1</v>
      </c>
      <c r="P61">
        <v>0</v>
      </c>
      <c r="Q61">
        <v>0</v>
      </c>
      <c r="R61">
        <v>1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 t="s">
        <v>112</v>
      </c>
      <c r="AP61">
        <f t="shared" si="0"/>
        <v>1</v>
      </c>
      <c r="AQ61">
        <v>0</v>
      </c>
      <c r="AR61">
        <v>0</v>
      </c>
      <c r="AT61" t="s">
        <v>113</v>
      </c>
      <c r="AU61">
        <v>0</v>
      </c>
      <c r="AY61">
        <f>IFERROR(MAX(IF(IF(AND(F61="能力",AL61="能力持续"),(参数!$B$2-1)*参数!$B$3,0)+M61*O61*参数!$B$5*IF(AND(F61="能力",AL61="能力持续"),参数!$B$2,1)+P61*参数!$B$6*IF(AND(F61="能力",AL61="能力持续"),参数!$B$2,1)+R61*参数!$B$7*IF(AND(F61="能力",AL61="能力持续"),参数!$B$2,1)+V61*参数!$B$8+IF(X61&lt;0,X61*参数!$B$13,X61*参数!$B$39)+IF(AE61&lt;0,AE61*参数!$B$13,AE61*参数!$B$12)*参数!$B$2+AQ61*参数!$B$15+AB61*参数!$B$11+AF61*参数!$B$40*参数!$B$2+AG61*参数!$B$44*参数!$B$2+AH61*参数!$B$6*参数!$B$2+AI61*参数!$B$39*参数!$B$2+AJ61*参数!$B$6*参数!$B$2+Z61*参数!$B$13-T61*参数!$B$14-AD61*参数!$B$13+IF(ISNUMBER(AU61),AU61*参数!$B$38,0)-AV61*参数!$B$41-AW61*参数!$B$14&gt;参数!$B$17,参数!$B$17+SQRT(IF(AND(F61="能力",AL61="能力持续"),(参数!$B$2-1)*参数!$B$3,0)+M61*O61*参数!$B$5*IF(AND(F61="能力",AL61="能力持续"),参数!$B$2,1)+P61*参数!$B$6*IF(AND(F61="能力",AL61="能力持续"),参数!$B$2,1)+R61*参数!$B$7*IF(AND(F61="能力",AL61="能力持续"),参数!$B$2,1)+V61*参数!$B$8+IF(X61&lt;0,X61*参数!$B$13,X61*参数!$B$39)+IF(AE61&lt;0,AE61*参数!$B$13,AE61*参数!$B$12)*参数!$B$2+AQ61*参数!$B$15+AB61*参数!$B$11+AF61*参数!$B$40*参数!$B$2+AG61*参数!$B$44*参数!$B$2+AH61*参数!$B$6*参数!$B$2+AI61*参数!$B$39*参数!$B$2+AJ61*参数!$B$6*参数!$B$2+Z61*参数!$B$13-T61*参数!$B$14-AD61*参数!$B$13+IF(ISNUMBER(AU61),AU61*参数!$B$38,0)-AV61*参数!$B$41-AW61*参数!$B$14-参数!$B$17)*参数!$B$18,IF(AND(F61="能力",AL61="能力持续"),(参数!$B$2-1)*参数!$B$3,0)+M61*O61*参数!$B$5*IF(AND(F61="能力",AL61="能力持续"),参数!$B$2,1)+P61*参数!$B$6*IF(AND(F61="能力",AL61="能力持续"),参数!$B$2,1)+R61*参数!$B$7*IF(AND(F61="能力",AL61="能力持续"),参数!$B$2,1)+V61*参数!$B$8+IF(X61&lt;0,X61*参数!$B$13,X61*参数!$B$39)+IF(AE61&lt;0,AE61*参数!$B$13,AE61*参数!$B$12)*参数!$B$2+AQ61*参数!$B$15+AB61*参数!$B$11+AF61*参数!$B$40*参数!$B$2+AG61*参数!$B$44*参数!$B$2+AH61*参数!$B$6*参数!$B$2+AI61*参数!$B$39*参数!$B$2+AJ61*参数!$B$6*参数!$B$2+Z61*参数!$B$13-T61*参数!$B$14-AD61*参数!$B$13+IF(ISNUMBER(AU61),AU61*参数!$B$38,0)-AV61*参数!$B$41-AW61*参数!$B$14),0),0)</f>
        <v>9.6999999999999993</v>
      </c>
      <c r="AZ61">
        <f>AY61-MAX(AP61,0)*参数!$B$10</f>
        <v>6.6999999999999993</v>
      </c>
      <c r="BA61">
        <f t="shared" si="1"/>
        <v>9.6999999999999993</v>
      </c>
    </row>
    <row r="62" spans="1:53" x14ac:dyDescent="0.3">
      <c r="A62">
        <v>61</v>
      </c>
      <c r="B62" t="s">
        <v>371</v>
      </c>
      <c r="C62" t="s">
        <v>105</v>
      </c>
      <c r="D62" t="s">
        <v>372</v>
      </c>
      <c r="E62" t="s">
        <v>373</v>
      </c>
      <c r="F62" t="s">
        <v>117</v>
      </c>
      <c r="G62" t="s">
        <v>14</v>
      </c>
      <c r="H62">
        <v>0</v>
      </c>
      <c r="I62">
        <v>0</v>
      </c>
      <c r="J62" t="s">
        <v>374</v>
      </c>
      <c r="L62" t="s">
        <v>120</v>
      </c>
      <c r="M62">
        <f>参数!$B$49*参数!$B$47</f>
        <v>40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 t="s">
        <v>112</v>
      </c>
      <c r="AP62">
        <f t="shared" si="0"/>
        <v>0.4</v>
      </c>
      <c r="AQ62">
        <v>0</v>
      </c>
      <c r="AR62">
        <v>0</v>
      </c>
      <c r="AT62" t="s">
        <v>113</v>
      </c>
      <c r="AU62">
        <v>0</v>
      </c>
      <c r="AY62">
        <f>IFERROR(MAX(IF(IF(AND(F62="能力",AL62="能力持续"),(参数!$B$2-1)*参数!$B$3,0)+M62*O62*参数!$B$5*IF(AND(F62="能力",AL62="能力持续"),参数!$B$2,1)+P62*参数!$B$6*IF(AND(F62="能力",AL62="能力持续"),参数!$B$2,1)+R62*参数!$B$7*IF(AND(F62="能力",AL62="能力持续"),参数!$B$2,1)+V62*参数!$B$8+IF(X62&lt;0,X62*参数!$B$13,X62*参数!$B$39)+IF(AE62&lt;0,AE62*参数!$B$13,AE62*参数!$B$12)*参数!$B$2+AQ62*参数!$B$15+AB62*参数!$B$11+AF62*参数!$B$40*参数!$B$2+AG62*参数!$B$44*参数!$B$2+AH62*参数!$B$6*参数!$B$2+AI62*参数!$B$39*参数!$B$2+AJ62*参数!$B$6*参数!$B$2+Z62*参数!$B$13-T62*参数!$B$14-AD62*参数!$B$13+IF(ISNUMBER(AU62),AU62*参数!$B$38,0)-AV62*参数!$B$41-AW62*参数!$B$14&gt;参数!$B$17,参数!$B$17+SQRT(IF(AND(F62="能力",AL62="能力持续"),(参数!$B$2-1)*参数!$B$3,0)+M62*O62*参数!$B$5*IF(AND(F62="能力",AL62="能力持续"),参数!$B$2,1)+P62*参数!$B$6*IF(AND(F62="能力",AL62="能力持续"),参数!$B$2,1)+R62*参数!$B$7*IF(AND(F62="能力",AL62="能力持续"),参数!$B$2,1)+V62*参数!$B$8+IF(X62&lt;0,X62*参数!$B$13,X62*参数!$B$39)+IF(AE62&lt;0,AE62*参数!$B$13,AE62*参数!$B$12)*参数!$B$2+AQ62*参数!$B$15+AB62*参数!$B$11+AF62*参数!$B$40*参数!$B$2+AG62*参数!$B$44*参数!$B$2+AH62*参数!$B$6*参数!$B$2+AI62*参数!$B$39*参数!$B$2+AJ62*参数!$B$6*参数!$B$2+Z62*参数!$B$13-T62*参数!$B$14-AD62*参数!$B$13+IF(ISNUMBER(AU62),AU62*参数!$B$38,0)-AV62*参数!$B$41-AW62*参数!$B$14-参数!$B$17)*参数!$B$18,IF(AND(F62="能力",AL62="能力持续"),(参数!$B$2-1)*参数!$B$3,0)+M62*O62*参数!$B$5*IF(AND(F62="能力",AL62="能力持续"),参数!$B$2,1)+P62*参数!$B$6*IF(AND(F62="能力",AL62="能力持续"),参数!$B$2,1)+R62*参数!$B$7*IF(AND(F62="能力",AL62="能力持续"),参数!$B$2,1)+V62*参数!$B$8+IF(X62&lt;0,X62*参数!$B$13,X62*参数!$B$39)+IF(AE62&lt;0,AE62*参数!$B$13,AE62*参数!$B$12)*参数!$B$2+AQ62*参数!$B$15+AB62*参数!$B$11+AF62*参数!$B$40*参数!$B$2+AG62*参数!$B$44*参数!$B$2+AH62*参数!$B$6*参数!$B$2+AI62*参数!$B$39*参数!$B$2+AJ62*参数!$B$6*参数!$B$2+Z62*参数!$B$13-T62*参数!$B$14-AD62*参数!$B$13+IF(ISNUMBER(AU62),AU62*参数!$B$38,0)-AV62*参数!$B$41-AW62*参数!$B$14),0),0)</f>
        <v>18.215838362577493</v>
      </c>
      <c r="AZ62">
        <f>AY62-MAX(AP62,0)*参数!$B$10</f>
        <v>17.015838362577494</v>
      </c>
      <c r="BA62">
        <f t="shared" si="1"/>
        <v>45.539595906443729</v>
      </c>
    </row>
    <row r="63" spans="1:53" x14ac:dyDescent="0.3">
      <c r="A63">
        <v>62</v>
      </c>
      <c r="B63" t="s">
        <v>375</v>
      </c>
      <c r="C63" t="s">
        <v>105</v>
      </c>
      <c r="D63" t="s">
        <v>376</v>
      </c>
      <c r="E63" t="s">
        <v>377</v>
      </c>
      <c r="F63" t="s">
        <v>124</v>
      </c>
      <c r="G63" t="s">
        <v>14</v>
      </c>
      <c r="H63">
        <v>2</v>
      </c>
      <c r="I63">
        <v>2</v>
      </c>
      <c r="J63" t="s">
        <v>378</v>
      </c>
      <c r="L63" t="s">
        <v>120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f>参数!$B$2*3</f>
        <v>12</v>
      </c>
      <c r="W63">
        <v>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112</v>
      </c>
      <c r="AL63" t="s">
        <v>127</v>
      </c>
      <c r="AN63" t="s">
        <v>124</v>
      </c>
      <c r="AP63">
        <f t="shared" si="0"/>
        <v>0.4</v>
      </c>
      <c r="AQ63">
        <v>0</v>
      </c>
      <c r="AR63">
        <v>0</v>
      </c>
      <c r="AT63" t="s">
        <v>113</v>
      </c>
      <c r="AU63">
        <v>0</v>
      </c>
      <c r="AY63">
        <f>IFERROR(MAX(IF(IF(AND(F63="能力",AL63="能力持续"),(参数!$B$2-1)*参数!$B$3,0)+M63*O63*参数!$B$5*IF(AND(F63="能力",AL63="能力持续"),参数!$B$2,1)+P63*参数!$B$6*IF(AND(F63="能力",AL63="能力持续"),参数!$B$2,1)+R63*参数!$B$7*IF(AND(F63="能力",AL63="能力持续"),参数!$B$2,1)+V63*参数!$B$8+IF(X63&lt;0,X63*参数!$B$13,X63*参数!$B$39)+IF(AE63&lt;0,AE63*参数!$B$13,AE63*参数!$B$12)*参数!$B$2+AQ63*参数!$B$15+AB63*参数!$B$11+AF63*参数!$B$40*参数!$B$2+AG63*参数!$B$44*参数!$B$2+AH63*参数!$B$6*参数!$B$2+AI63*参数!$B$39*参数!$B$2+AJ63*参数!$B$6*参数!$B$2+Z63*参数!$B$13-T63*参数!$B$14-AD63*参数!$B$13+IF(ISNUMBER(AU63),AU63*参数!$B$38,0)-AV63*参数!$B$41-AW63*参数!$B$14&gt;参数!$B$17,参数!$B$17+SQRT(IF(AND(F63="能力",AL63="能力持续"),(参数!$B$2-1)*参数!$B$3,0)+M63*O63*参数!$B$5*IF(AND(F63="能力",AL63="能力持续"),参数!$B$2,1)+P63*参数!$B$6*IF(AND(F63="能力",AL63="能力持续"),参数!$B$2,1)+R63*参数!$B$7*IF(AND(F63="能力",AL63="能力持续"),参数!$B$2,1)+V63*参数!$B$8+IF(X63&lt;0,X63*参数!$B$13,X63*参数!$B$39)+IF(AE63&lt;0,AE63*参数!$B$13,AE63*参数!$B$12)*参数!$B$2+AQ63*参数!$B$15+AB63*参数!$B$11+AF63*参数!$B$40*参数!$B$2+AG63*参数!$B$44*参数!$B$2+AH63*参数!$B$6*参数!$B$2+AI63*参数!$B$39*参数!$B$2+AJ63*参数!$B$6*参数!$B$2+Z63*参数!$B$13-T63*参数!$B$14-AD63*参数!$B$13+IF(ISNUMBER(AU63),AU63*参数!$B$38,0)-AV63*参数!$B$41-AW63*参数!$B$14-参数!$B$17)*参数!$B$18,IF(AND(F63="能力",AL63="能力持续"),(参数!$B$2-1)*参数!$B$3,0)+M63*O63*参数!$B$5*IF(AND(F63="能力",AL63="能力持续"),参数!$B$2,1)+P63*参数!$B$6*IF(AND(F63="能力",AL63="能力持续"),参数!$B$2,1)+R63*参数!$B$7*IF(AND(F63="能力",AL63="能力持续"),参数!$B$2,1)+V63*参数!$B$8+IF(X63&lt;0,X63*参数!$B$13,X63*参数!$B$39)+IF(AE63&lt;0,AE63*参数!$B$13,AE63*参数!$B$12)*参数!$B$2+AQ63*参数!$B$15+AB63*参数!$B$11+AF63*参数!$B$40*参数!$B$2+AG63*参数!$B$44*参数!$B$2+AH63*参数!$B$6*参数!$B$2+AI63*参数!$B$39*参数!$B$2+AJ63*参数!$B$6*参数!$B$2+Z63*参数!$B$13-T63*参数!$B$14-AD63*参数!$B$13+IF(ISNUMBER(AU63),AU63*参数!$B$38,0)-AV63*参数!$B$41-AW63*参数!$B$14),0),0)</f>
        <v>18.160882305241266</v>
      </c>
      <c r="AZ63">
        <f>AY63-MAX(AP63,0)*参数!$B$10</f>
        <v>16.960882305241267</v>
      </c>
      <c r="BA63">
        <f t="shared" si="1"/>
        <v>45.402205763103161</v>
      </c>
    </row>
    <row r="64" spans="1:53" x14ac:dyDescent="0.3">
      <c r="A64">
        <v>63</v>
      </c>
      <c r="B64" t="s">
        <v>379</v>
      </c>
      <c r="C64" t="s">
        <v>105</v>
      </c>
      <c r="D64" t="s">
        <v>380</v>
      </c>
      <c r="E64" t="s">
        <v>381</v>
      </c>
      <c r="F64" t="s">
        <v>117</v>
      </c>
      <c r="G64" t="s">
        <v>12</v>
      </c>
      <c r="H64">
        <v>0</v>
      </c>
      <c r="I64">
        <v>0</v>
      </c>
      <c r="J64" t="s">
        <v>382</v>
      </c>
      <c r="L64" t="s">
        <v>120</v>
      </c>
      <c r="M64">
        <v>0</v>
      </c>
      <c r="N64">
        <v>0</v>
      </c>
      <c r="O64">
        <v>2</v>
      </c>
      <c r="P64">
        <v>3</v>
      </c>
      <c r="Q64">
        <v>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t="s">
        <v>112</v>
      </c>
      <c r="AN64" t="s">
        <v>161</v>
      </c>
      <c r="AP64">
        <f t="shared" si="0"/>
        <v>0.4</v>
      </c>
      <c r="AQ64">
        <v>0</v>
      </c>
      <c r="AR64">
        <v>0</v>
      </c>
      <c r="AT64" t="s">
        <v>113</v>
      </c>
      <c r="AU64">
        <v>0</v>
      </c>
      <c r="AY64">
        <f>IFERROR(MAX(IF(IF(AND(F64="能力",AL64="能力持续"),(参数!$B$2-1)*参数!$B$3,0)+M64*O64*参数!$B$5*IF(AND(F64="能力",AL64="能力持续"),参数!$B$2,1)+P64*参数!$B$6*IF(AND(F64="能力",AL64="能力持续"),参数!$B$2,1)+R64*参数!$B$7*IF(AND(F64="能力",AL64="能力持续"),参数!$B$2,1)+V64*参数!$B$8+IF(X64&lt;0,X64*参数!$B$13,X64*参数!$B$39)+IF(AE64&lt;0,AE64*参数!$B$13,AE64*参数!$B$12)*参数!$B$2+AQ64*参数!$B$15+AB64*参数!$B$11+AF64*参数!$B$40*参数!$B$2+AG64*参数!$B$44*参数!$B$2+AH64*参数!$B$6*参数!$B$2+AI64*参数!$B$39*参数!$B$2+AJ64*参数!$B$6*参数!$B$2+Z64*参数!$B$13-T64*参数!$B$14-AD64*参数!$B$13+IF(ISNUMBER(AU64),AU64*参数!$B$38,0)-AV64*参数!$B$41-AW64*参数!$B$14&gt;参数!$B$17,参数!$B$17+SQRT(IF(AND(F64="能力",AL64="能力持续"),(参数!$B$2-1)*参数!$B$3,0)+M64*O64*参数!$B$5*IF(AND(F64="能力",AL64="能力持续"),参数!$B$2,1)+P64*参数!$B$6*IF(AND(F64="能力",AL64="能力持续"),参数!$B$2,1)+R64*参数!$B$7*IF(AND(F64="能力",AL64="能力持续"),参数!$B$2,1)+V64*参数!$B$8+IF(X64&lt;0,X64*参数!$B$13,X64*参数!$B$39)+IF(AE64&lt;0,AE64*参数!$B$13,AE64*参数!$B$12)*参数!$B$2+AQ64*参数!$B$15+AB64*参数!$B$11+AF64*参数!$B$40*参数!$B$2+AG64*参数!$B$44*参数!$B$2+AH64*参数!$B$6*参数!$B$2+AI64*参数!$B$39*参数!$B$2+AJ64*参数!$B$6*参数!$B$2+Z64*参数!$B$13-T64*参数!$B$14-AD64*参数!$B$13+IF(ISNUMBER(AU64),AU64*参数!$B$38,0)-AV64*参数!$B$41-AW64*参数!$B$14-参数!$B$17)*参数!$B$18,IF(AND(F64="能力",AL64="能力持续"),(参数!$B$2-1)*参数!$B$3,0)+M64*O64*参数!$B$5*IF(AND(F64="能力",AL64="能力持续"),参数!$B$2,1)+P64*参数!$B$6*IF(AND(F64="能力",AL64="能力持续"),参数!$B$2,1)+R64*参数!$B$7*IF(AND(F64="能力",AL64="能力持续"),参数!$B$2,1)+V64*参数!$B$8+IF(X64&lt;0,X64*参数!$B$13,X64*参数!$B$39)+IF(AE64&lt;0,AE64*参数!$B$13,AE64*参数!$B$12)*参数!$B$2+AQ64*参数!$B$15+AB64*参数!$B$11+AF64*参数!$B$40*参数!$B$2+AG64*参数!$B$44*参数!$B$2+AH64*参数!$B$6*参数!$B$2+AI64*参数!$B$39*参数!$B$2+AJ64*参数!$B$6*参数!$B$2+Z64*参数!$B$13-T64*参数!$B$14-AD64*参数!$B$13+IF(ISNUMBER(AU64),AU64*参数!$B$38,0)-AV64*参数!$B$41-AW64*参数!$B$14),0),0)</f>
        <v>3.3000000000000003</v>
      </c>
      <c r="AZ64">
        <f>AY64-MAX(AP64,0)*参数!$B$10</f>
        <v>2.1</v>
      </c>
      <c r="BA64">
        <f t="shared" si="1"/>
        <v>8.25</v>
      </c>
    </row>
    <row r="65" spans="1:53" x14ac:dyDescent="0.3">
      <c r="A65">
        <v>64</v>
      </c>
      <c r="B65" t="s">
        <v>383</v>
      </c>
      <c r="C65" t="s">
        <v>105</v>
      </c>
      <c r="D65" t="s">
        <v>384</v>
      </c>
      <c r="E65" t="s">
        <v>385</v>
      </c>
      <c r="F65" t="s">
        <v>108</v>
      </c>
      <c r="G65" t="s">
        <v>12</v>
      </c>
      <c r="H65">
        <v>1</v>
      </c>
      <c r="I65">
        <v>1</v>
      </c>
      <c r="J65" t="s">
        <v>386</v>
      </c>
      <c r="L65" t="s">
        <v>111</v>
      </c>
      <c r="M65">
        <f>9+5</f>
        <v>14</v>
      </c>
      <c r="N65">
        <f>9+9</f>
        <v>18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112</v>
      </c>
      <c r="AP65">
        <f t="shared" si="0"/>
        <v>1</v>
      </c>
      <c r="AQ65">
        <v>0</v>
      </c>
      <c r="AR65">
        <v>0</v>
      </c>
      <c r="AT65" t="s">
        <v>113</v>
      </c>
      <c r="AU65">
        <v>0</v>
      </c>
      <c r="AW65">
        <v>1</v>
      </c>
      <c r="AY65">
        <f>IFERROR(MAX(IF(IF(AND(F65="能力",AL65="能力持续"),(参数!$B$2-1)*参数!$B$3,0)+M65*O65*参数!$B$5*IF(AND(F65="能力",AL65="能力持续"),参数!$B$2,1)+P65*参数!$B$6*IF(AND(F65="能力",AL65="能力持续"),参数!$B$2,1)+R65*参数!$B$7*IF(AND(F65="能力",AL65="能力持续"),参数!$B$2,1)+V65*参数!$B$8+IF(X65&lt;0,X65*参数!$B$13,X65*参数!$B$39)+IF(AE65&lt;0,AE65*参数!$B$13,AE65*参数!$B$12)*参数!$B$2+AQ65*参数!$B$15+AB65*参数!$B$11+AF65*参数!$B$40*参数!$B$2+AG65*参数!$B$44*参数!$B$2+AH65*参数!$B$6*参数!$B$2+AI65*参数!$B$39*参数!$B$2+AJ65*参数!$B$6*参数!$B$2+Z65*参数!$B$13-T65*参数!$B$14-AD65*参数!$B$13+IF(ISNUMBER(AU65),AU65*参数!$B$38,0)-AV65*参数!$B$41-AW65*参数!$B$14&gt;参数!$B$17,参数!$B$17+SQRT(IF(AND(F65="能力",AL65="能力持续"),(参数!$B$2-1)*参数!$B$3,0)+M65*O65*参数!$B$5*IF(AND(F65="能力",AL65="能力持续"),参数!$B$2,1)+P65*参数!$B$6*IF(AND(F65="能力",AL65="能力持续"),参数!$B$2,1)+R65*参数!$B$7*IF(AND(F65="能力",AL65="能力持续"),参数!$B$2,1)+V65*参数!$B$8+IF(X65&lt;0,X65*参数!$B$13,X65*参数!$B$39)+IF(AE65&lt;0,AE65*参数!$B$13,AE65*参数!$B$12)*参数!$B$2+AQ65*参数!$B$15+AB65*参数!$B$11+AF65*参数!$B$40*参数!$B$2+AG65*参数!$B$44*参数!$B$2+AH65*参数!$B$6*参数!$B$2+AI65*参数!$B$39*参数!$B$2+AJ65*参数!$B$6*参数!$B$2+Z65*参数!$B$13-T65*参数!$B$14-AD65*参数!$B$13+IF(ISNUMBER(AU65),AU65*参数!$B$38,0)-AV65*参数!$B$41-AW65*参数!$B$14-参数!$B$17)*参数!$B$18,IF(AND(F65="能力",AL65="能力持续"),(参数!$B$2-1)*参数!$B$3,0)+M65*O65*参数!$B$5*IF(AND(F65="能力",AL65="能力持续"),参数!$B$2,1)+P65*参数!$B$6*IF(AND(F65="能力",AL65="能力持续"),参数!$B$2,1)+R65*参数!$B$7*IF(AND(F65="能力",AL65="能力持续"),参数!$B$2,1)+V65*参数!$B$8+IF(X65&lt;0,X65*参数!$B$13,X65*参数!$B$39)+IF(AE65&lt;0,AE65*参数!$B$13,AE65*参数!$B$12)*参数!$B$2+AQ65*参数!$B$15+AB65*参数!$B$11+AF65*参数!$B$40*参数!$B$2+AG65*参数!$B$44*参数!$B$2+AH65*参数!$B$6*参数!$B$2+AI65*参数!$B$39*参数!$B$2+AJ65*参数!$B$6*参数!$B$2+Z65*参数!$B$13-T65*参数!$B$14-AD65*参数!$B$13+IF(ISNUMBER(AU65),AU65*参数!$B$38,0)-AV65*参数!$B$41-AW65*参数!$B$14),0),0)</f>
        <v>12.885307609250702</v>
      </c>
      <c r="AZ65">
        <f>AY65-MAX(AP65,0)*参数!$B$10</f>
        <v>9.8853076092507024</v>
      </c>
      <c r="BA65">
        <f t="shared" si="1"/>
        <v>12.885307609250702</v>
      </c>
    </row>
    <row r="66" spans="1:53" x14ac:dyDescent="0.3">
      <c r="A66">
        <v>65</v>
      </c>
      <c r="B66" t="s">
        <v>387</v>
      </c>
      <c r="C66" t="s">
        <v>105</v>
      </c>
      <c r="D66" t="s">
        <v>388</v>
      </c>
      <c r="E66" t="s">
        <v>389</v>
      </c>
      <c r="F66" t="s">
        <v>124</v>
      </c>
      <c r="G66" t="s">
        <v>12</v>
      </c>
      <c r="H66">
        <v>1</v>
      </c>
      <c r="I66">
        <v>1</v>
      </c>
      <c r="J66" t="s">
        <v>390</v>
      </c>
      <c r="L66" t="s">
        <v>120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 t="s">
        <v>112</v>
      </c>
      <c r="AL66" t="s">
        <v>127</v>
      </c>
      <c r="AN66" t="s">
        <v>124</v>
      </c>
      <c r="AP66">
        <f t="shared" ref="AP66:AP129" si="2">IF(ISNUMBER(H66),IF(AND(H66=0,V66=0,AK66="none"),0.4,IF(AK66="exhaust",MAX(H66-V66,0.4),IF(AK66="ethereal",MAX(H66-V66,0.4),MAX(H66-V66,0.4)))),IF(AND(AK66="exhaust",OR(H66="X",H66="∞")),0.4,IF(OR(H66="X",H66="∞"),0.4,0.4)))</f>
        <v>1</v>
      </c>
      <c r="AQ66">
        <v>0</v>
      </c>
      <c r="AR66">
        <v>0</v>
      </c>
      <c r="AT66" t="s">
        <v>113</v>
      </c>
      <c r="AU66">
        <v>0</v>
      </c>
      <c r="AV66">
        <v>2</v>
      </c>
      <c r="AY66">
        <f>IFERROR(MAX(IF(IF(AND(F66="能力",AL66="能力持续"),(参数!$B$2-1)*参数!$B$3,0)+M66*O66*参数!$B$5*IF(AND(F66="能力",AL66="能力持续"),参数!$B$2,1)+P66*参数!$B$6*IF(AND(F66="能力",AL66="能力持续"),参数!$B$2,1)+R66*参数!$B$7*IF(AND(F66="能力",AL66="能力持续"),参数!$B$2,1)+V66*参数!$B$8+IF(X66&lt;0,X66*参数!$B$13,X66*参数!$B$39)+IF(AE66&lt;0,AE66*参数!$B$13,AE66*参数!$B$12)*参数!$B$2+AQ66*参数!$B$15+AB66*参数!$B$11+AF66*参数!$B$40*参数!$B$2+AG66*参数!$B$44*参数!$B$2+AH66*参数!$B$6*参数!$B$2+AI66*参数!$B$39*参数!$B$2+AJ66*参数!$B$6*参数!$B$2+Z66*参数!$B$13-T66*参数!$B$14-AD66*参数!$B$13+IF(ISNUMBER(AU66),AU66*参数!$B$38,0)-AV66*参数!$B$41-AW66*参数!$B$14&gt;参数!$B$17,参数!$B$17+SQRT(IF(AND(F66="能力",AL66="能力持续"),(参数!$B$2-1)*参数!$B$3,0)+M66*O66*参数!$B$5*IF(AND(F66="能力",AL66="能力持续"),参数!$B$2,1)+P66*参数!$B$6*IF(AND(F66="能力",AL66="能力持续"),参数!$B$2,1)+R66*参数!$B$7*IF(AND(F66="能力",AL66="能力持续"),参数!$B$2,1)+V66*参数!$B$8+IF(X66&lt;0,X66*参数!$B$13,X66*参数!$B$39)+IF(AE66&lt;0,AE66*参数!$B$13,AE66*参数!$B$12)*参数!$B$2+AQ66*参数!$B$15+AB66*参数!$B$11+AF66*参数!$B$40*参数!$B$2+AG66*参数!$B$44*参数!$B$2+AH66*参数!$B$6*参数!$B$2+AI66*参数!$B$39*参数!$B$2+AJ66*参数!$B$6*参数!$B$2+Z66*参数!$B$13-T66*参数!$B$14-AD66*参数!$B$13+IF(ISNUMBER(AU66),AU66*参数!$B$38,0)-AV66*参数!$B$41-AW66*参数!$B$14-参数!$B$17)*参数!$B$18,IF(AND(F66="能力",AL66="能力持续"),(参数!$B$2-1)*参数!$B$3,0)+M66*O66*参数!$B$5*IF(AND(F66="能力",AL66="能力持续"),参数!$B$2,1)+P66*参数!$B$6*IF(AND(F66="能力",AL66="能力持续"),参数!$B$2,1)+R66*参数!$B$7*IF(AND(F66="能力",AL66="能力持续"),参数!$B$2,1)+V66*参数!$B$8+IF(X66&lt;0,X66*参数!$B$13,X66*参数!$B$39)+IF(AE66&lt;0,AE66*参数!$B$13,AE66*参数!$B$12)*参数!$B$2+AQ66*参数!$B$15+AB66*参数!$B$11+AF66*参数!$B$40*参数!$B$2+AG66*参数!$B$44*参数!$B$2+AH66*参数!$B$6*参数!$B$2+AI66*参数!$B$39*参数!$B$2+AJ66*参数!$B$6*参数!$B$2+Z66*参数!$B$13-T66*参数!$B$14-AD66*参数!$B$13+IF(ISNUMBER(AU66),AU66*参数!$B$38,0)-AV66*参数!$B$41-AW66*参数!$B$14),0),0)</f>
        <v>2.3999999999999986</v>
      </c>
      <c r="AZ66">
        <f>AY66-MAX(AP66,0)*参数!$B$10</f>
        <v>-0.60000000000000142</v>
      </c>
      <c r="BA66">
        <f t="shared" ref="BA66:BA129" si="3">IF(MAX(AP66,0)=0,AY66,AY66/MAX(AP66,0))</f>
        <v>2.3999999999999986</v>
      </c>
    </row>
    <row r="67" spans="1:53" x14ac:dyDescent="0.3">
      <c r="A67">
        <v>66</v>
      </c>
      <c r="B67" t="s">
        <v>391</v>
      </c>
      <c r="C67" t="s">
        <v>105</v>
      </c>
      <c r="D67" t="s">
        <v>392</v>
      </c>
      <c r="E67" t="s">
        <v>393</v>
      </c>
      <c r="F67" t="s">
        <v>117</v>
      </c>
      <c r="G67" t="s">
        <v>12</v>
      </c>
      <c r="H67">
        <v>1</v>
      </c>
      <c r="I67">
        <v>1</v>
      </c>
      <c r="J67" t="s">
        <v>394</v>
      </c>
      <c r="K67" t="s">
        <v>182</v>
      </c>
      <c r="L67" t="s">
        <v>120</v>
      </c>
      <c r="M67">
        <v>0</v>
      </c>
      <c r="N67">
        <v>0</v>
      </c>
      <c r="O67">
        <v>3</v>
      </c>
      <c r="P67">
        <v>15</v>
      </c>
      <c r="Q67">
        <v>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 t="s">
        <v>112</v>
      </c>
      <c r="AO67" t="s">
        <v>182</v>
      </c>
      <c r="AP67">
        <f t="shared" si="2"/>
        <v>1</v>
      </c>
      <c r="AQ67">
        <v>0</v>
      </c>
      <c r="AR67">
        <v>0</v>
      </c>
      <c r="AT67" t="s">
        <v>113</v>
      </c>
      <c r="AU67">
        <v>0</v>
      </c>
      <c r="AW67">
        <v>3</v>
      </c>
      <c r="AY67">
        <f>IFERROR(MAX(IF(IF(AND(F67="能力",AL67="能力持续"),(参数!$B$2-1)*参数!$B$3,0)+M67*O67*参数!$B$5*IF(AND(F67="能力",AL67="能力持续"),参数!$B$2,1)+P67*参数!$B$6*IF(AND(F67="能力",AL67="能力持续"),参数!$B$2,1)+R67*参数!$B$7*IF(AND(F67="能力",AL67="能力持续"),参数!$B$2,1)+V67*参数!$B$8+IF(X67&lt;0,X67*参数!$B$13,X67*参数!$B$39)+IF(AE67&lt;0,AE67*参数!$B$13,AE67*参数!$B$12)*参数!$B$2+AQ67*参数!$B$15+AB67*参数!$B$11+AF67*参数!$B$40*参数!$B$2+AG67*参数!$B$44*参数!$B$2+AH67*参数!$B$6*参数!$B$2+AI67*参数!$B$39*参数!$B$2+AJ67*参数!$B$6*参数!$B$2+Z67*参数!$B$13-T67*参数!$B$14-AD67*参数!$B$13+IF(ISNUMBER(AU67),AU67*参数!$B$38,0)-AV67*参数!$B$41-AW67*参数!$B$14&gt;参数!$B$17,参数!$B$17+SQRT(IF(AND(F67="能力",AL67="能力持续"),(参数!$B$2-1)*参数!$B$3,0)+M67*O67*参数!$B$5*IF(AND(F67="能力",AL67="能力持续"),参数!$B$2,1)+P67*参数!$B$6*IF(AND(F67="能力",AL67="能力持续"),参数!$B$2,1)+R67*参数!$B$7*IF(AND(F67="能力",AL67="能力持续"),参数!$B$2,1)+V67*参数!$B$8+IF(X67&lt;0,X67*参数!$B$13,X67*参数!$B$39)+IF(AE67&lt;0,AE67*参数!$B$13,AE67*参数!$B$12)*参数!$B$2+AQ67*参数!$B$15+AB67*参数!$B$11+AF67*参数!$B$40*参数!$B$2+AG67*参数!$B$44*参数!$B$2+AH67*参数!$B$6*参数!$B$2+AI67*参数!$B$39*参数!$B$2+AJ67*参数!$B$6*参数!$B$2+Z67*参数!$B$13-T67*参数!$B$14-AD67*参数!$B$13+IF(ISNUMBER(AU67),AU67*参数!$B$38,0)-AV67*参数!$B$41-AW67*参数!$B$14-参数!$B$17)*参数!$B$18,IF(AND(F67="能力",AL67="能力持续"),(参数!$B$2-1)*参数!$B$3,0)+M67*O67*参数!$B$5*IF(AND(F67="能力",AL67="能力持续"),参数!$B$2,1)+P67*参数!$B$6*IF(AND(F67="能力",AL67="能力持续"),参数!$B$2,1)+R67*参数!$B$7*IF(AND(F67="能力",AL67="能力持续"),参数!$B$2,1)+V67*参数!$B$8+IF(X67&lt;0,X67*参数!$B$13,X67*参数!$B$39)+IF(AE67&lt;0,AE67*参数!$B$13,AE67*参数!$B$12)*参数!$B$2+AQ67*参数!$B$15+AB67*参数!$B$11+AF67*参数!$B$40*参数!$B$2+AG67*参数!$B$44*参数!$B$2+AH67*参数!$B$6*参数!$B$2+AI67*参数!$B$39*参数!$B$2+AJ67*参数!$B$6*参数!$B$2+Z67*参数!$B$13-T67*参数!$B$14-AD67*参数!$B$13+IF(ISNUMBER(AU67),AU67*参数!$B$38,0)-AV67*参数!$B$41-AW67*参数!$B$14),0),0)</f>
        <v>13.549647869859768</v>
      </c>
      <c r="AZ67">
        <f>AY67-MAX(AP67,0)*参数!$B$10</f>
        <v>10.549647869859768</v>
      </c>
      <c r="BA67">
        <f t="shared" si="3"/>
        <v>13.549647869859768</v>
      </c>
    </row>
    <row r="68" spans="1:53" x14ac:dyDescent="0.3">
      <c r="A68">
        <v>67</v>
      </c>
      <c r="B68" t="s">
        <v>395</v>
      </c>
      <c r="C68" t="s">
        <v>105</v>
      </c>
      <c r="D68" t="s">
        <v>396</v>
      </c>
      <c r="E68" t="s">
        <v>397</v>
      </c>
      <c r="F68" t="s">
        <v>108</v>
      </c>
      <c r="G68" t="s">
        <v>10</v>
      </c>
      <c r="H68">
        <v>1</v>
      </c>
      <c r="I68">
        <v>1</v>
      </c>
      <c r="J68" t="s">
        <v>398</v>
      </c>
      <c r="L68" t="s">
        <v>111</v>
      </c>
      <c r="M68">
        <v>7</v>
      </c>
      <c r="N68">
        <v>9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0</v>
      </c>
      <c r="AK68" t="s">
        <v>112</v>
      </c>
      <c r="AN68" t="s">
        <v>161</v>
      </c>
      <c r="AP68">
        <f t="shared" si="2"/>
        <v>1</v>
      </c>
      <c r="AQ68">
        <v>0</v>
      </c>
      <c r="AR68">
        <v>0</v>
      </c>
      <c r="AT68" t="s">
        <v>113</v>
      </c>
      <c r="AU68">
        <v>0</v>
      </c>
      <c r="AV68">
        <v>1</v>
      </c>
      <c r="AY68">
        <f>IFERROR(MAX(IF(IF(AND(F68="能力",AL68="能力持续"),(参数!$B$2-1)*参数!$B$3,0)+M68*O68*参数!$B$5*IF(AND(F68="能力",AL68="能力持续"),参数!$B$2,1)+P68*参数!$B$6*IF(AND(F68="能力",AL68="能力持续"),参数!$B$2,1)+R68*参数!$B$7*IF(AND(F68="能力",AL68="能力持续"),参数!$B$2,1)+V68*参数!$B$8+IF(X68&lt;0,X68*参数!$B$13,X68*参数!$B$39)+IF(AE68&lt;0,AE68*参数!$B$13,AE68*参数!$B$12)*参数!$B$2+AQ68*参数!$B$15+AB68*参数!$B$11+AF68*参数!$B$40*参数!$B$2+AG68*参数!$B$44*参数!$B$2+AH68*参数!$B$6*参数!$B$2+AI68*参数!$B$39*参数!$B$2+AJ68*参数!$B$6*参数!$B$2+Z68*参数!$B$13-T68*参数!$B$14-AD68*参数!$B$13+IF(ISNUMBER(AU68),AU68*参数!$B$38,0)-AV68*参数!$B$41-AW68*参数!$B$14&gt;参数!$B$17,参数!$B$17+SQRT(IF(AND(F68="能力",AL68="能力持续"),(参数!$B$2-1)*参数!$B$3,0)+M68*O68*参数!$B$5*IF(AND(F68="能力",AL68="能力持续"),参数!$B$2,1)+P68*参数!$B$6*IF(AND(F68="能力",AL68="能力持续"),参数!$B$2,1)+R68*参数!$B$7*IF(AND(F68="能力",AL68="能力持续"),参数!$B$2,1)+V68*参数!$B$8+IF(X68&lt;0,X68*参数!$B$13,X68*参数!$B$39)+IF(AE68&lt;0,AE68*参数!$B$13,AE68*参数!$B$12)*参数!$B$2+AQ68*参数!$B$15+AB68*参数!$B$11+AF68*参数!$B$40*参数!$B$2+AG68*参数!$B$44*参数!$B$2+AH68*参数!$B$6*参数!$B$2+AI68*参数!$B$39*参数!$B$2+AJ68*参数!$B$6*参数!$B$2+Z68*参数!$B$13-T68*参数!$B$14-AD68*参数!$B$13+IF(ISNUMBER(AU68),AU68*参数!$B$38,0)-AV68*参数!$B$41-AW68*参数!$B$14-参数!$B$17)*参数!$B$18,IF(AND(F68="能力",AL68="能力持续"),(参数!$B$2-1)*参数!$B$3,0)+M68*O68*参数!$B$5*IF(AND(F68="能力",AL68="能力持续"),参数!$B$2,1)+P68*参数!$B$6*IF(AND(F68="能力",AL68="能力持续"),参数!$B$2,1)+R68*参数!$B$7*IF(AND(F68="能力",AL68="能力持续"),参数!$B$2,1)+V68*参数!$B$8+IF(X68&lt;0,X68*参数!$B$13,X68*参数!$B$39)+IF(AE68&lt;0,AE68*参数!$B$13,AE68*参数!$B$12)*参数!$B$2+AQ68*参数!$B$15+AB68*参数!$B$11+AF68*参数!$B$40*参数!$B$2+AG68*参数!$B$44*参数!$B$2+AH68*参数!$B$6*参数!$B$2+AI68*参数!$B$39*参数!$B$2+AJ68*参数!$B$6*参数!$B$2+Z68*参数!$B$13-T68*参数!$B$14-AD68*参数!$B$13+IF(ISNUMBER(AU68),AU68*参数!$B$38,0)-AV68*参数!$B$41-AW68*参数!$B$14),0),0)</f>
        <v>12.846049894151541</v>
      </c>
      <c r="AZ68">
        <f>AY68-MAX(AP68,0)*参数!$B$10</f>
        <v>9.8460498941515411</v>
      </c>
      <c r="BA68">
        <f t="shared" si="3"/>
        <v>12.846049894151541</v>
      </c>
    </row>
    <row r="69" spans="1:53" x14ac:dyDescent="0.3">
      <c r="A69">
        <v>68</v>
      </c>
      <c r="B69" t="s">
        <v>399</v>
      </c>
      <c r="C69" t="s">
        <v>105</v>
      </c>
      <c r="D69" t="s">
        <v>400</v>
      </c>
      <c r="E69" t="s">
        <v>401</v>
      </c>
      <c r="F69" t="s">
        <v>117</v>
      </c>
      <c r="G69" t="s">
        <v>10</v>
      </c>
      <c r="H69">
        <v>1</v>
      </c>
      <c r="I69">
        <v>1</v>
      </c>
      <c r="J69" t="s">
        <v>402</v>
      </c>
      <c r="L69" t="s">
        <v>120</v>
      </c>
      <c r="M69">
        <v>0</v>
      </c>
      <c r="N69">
        <v>0</v>
      </c>
      <c r="O69">
        <v>1</v>
      </c>
      <c r="P69">
        <v>8</v>
      </c>
      <c r="Q69">
        <v>11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t="s">
        <v>112</v>
      </c>
      <c r="AP69">
        <f t="shared" si="2"/>
        <v>1</v>
      </c>
      <c r="AQ69">
        <v>0</v>
      </c>
      <c r="AR69">
        <v>0</v>
      </c>
      <c r="AT69" t="s">
        <v>113</v>
      </c>
      <c r="AU69">
        <v>0</v>
      </c>
      <c r="AY69">
        <f>IFERROR(MAX(IF(IF(AND(F69="能力",AL69="能力持续"),(参数!$B$2-1)*参数!$B$3,0)+M69*O69*参数!$B$5*IF(AND(F69="能力",AL69="能力持续"),参数!$B$2,1)+P69*参数!$B$6*IF(AND(F69="能力",AL69="能力持续"),参数!$B$2,1)+R69*参数!$B$7*IF(AND(F69="能力",AL69="能力持续"),参数!$B$2,1)+V69*参数!$B$8+IF(X69&lt;0,X69*参数!$B$13,X69*参数!$B$39)+IF(AE69&lt;0,AE69*参数!$B$13,AE69*参数!$B$12)*参数!$B$2+AQ69*参数!$B$15+AB69*参数!$B$11+AF69*参数!$B$40*参数!$B$2+AG69*参数!$B$44*参数!$B$2+AH69*参数!$B$6*参数!$B$2+AI69*参数!$B$39*参数!$B$2+AJ69*参数!$B$6*参数!$B$2+Z69*参数!$B$13-T69*参数!$B$14-AD69*参数!$B$13+IF(ISNUMBER(AU69),AU69*参数!$B$38,0)-AV69*参数!$B$41-AW69*参数!$B$14&gt;参数!$B$17,参数!$B$17+SQRT(IF(AND(F69="能力",AL69="能力持续"),(参数!$B$2-1)*参数!$B$3,0)+M69*O69*参数!$B$5*IF(AND(F69="能力",AL69="能力持续"),参数!$B$2,1)+P69*参数!$B$6*IF(AND(F69="能力",AL69="能力持续"),参数!$B$2,1)+R69*参数!$B$7*IF(AND(F69="能力",AL69="能力持续"),参数!$B$2,1)+V69*参数!$B$8+IF(X69&lt;0,X69*参数!$B$13,X69*参数!$B$39)+IF(AE69&lt;0,AE69*参数!$B$13,AE69*参数!$B$12)*参数!$B$2+AQ69*参数!$B$15+AB69*参数!$B$11+AF69*参数!$B$40*参数!$B$2+AG69*参数!$B$44*参数!$B$2+AH69*参数!$B$6*参数!$B$2+AI69*参数!$B$39*参数!$B$2+AJ69*参数!$B$6*参数!$B$2+Z69*参数!$B$13-T69*参数!$B$14-AD69*参数!$B$13+IF(ISNUMBER(AU69),AU69*参数!$B$38,0)-AV69*参数!$B$41-AW69*参数!$B$14-参数!$B$17)*参数!$B$18,IF(AND(F69="能力",AL69="能力持续"),(参数!$B$2-1)*参数!$B$3,0)+M69*O69*参数!$B$5*IF(AND(F69="能力",AL69="能力持续"),参数!$B$2,1)+P69*参数!$B$6*IF(AND(F69="能力",AL69="能力持续"),参数!$B$2,1)+R69*参数!$B$7*IF(AND(F69="能力",AL69="能力持续"),参数!$B$2,1)+V69*参数!$B$8+IF(X69&lt;0,X69*参数!$B$13,X69*参数!$B$39)+IF(AE69&lt;0,AE69*参数!$B$13,AE69*参数!$B$12)*参数!$B$2+AQ69*参数!$B$15+AB69*参数!$B$11+AF69*参数!$B$40*参数!$B$2+AG69*参数!$B$44*参数!$B$2+AH69*参数!$B$6*参数!$B$2+AI69*参数!$B$39*参数!$B$2+AJ69*参数!$B$6*参数!$B$2+Z69*参数!$B$13-T69*参数!$B$14-AD69*参数!$B$13+IF(ISNUMBER(AU69),AU69*参数!$B$38,0)-AV69*参数!$B$41-AW69*参数!$B$14),0),0)</f>
        <v>9.5</v>
      </c>
      <c r="AZ69">
        <f>AY69-MAX(AP69,0)*参数!$B$10</f>
        <v>6.5</v>
      </c>
      <c r="BA69">
        <f t="shared" si="3"/>
        <v>9.5</v>
      </c>
    </row>
    <row r="70" spans="1:53" x14ac:dyDescent="0.3">
      <c r="A70">
        <v>69</v>
      </c>
      <c r="B70" t="s">
        <v>403</v>
      </c>
      <c r="C70" t="s">
        <v>105</v>
      </c>
      <c r="D70" t="s">
        <v>404</v>
      </c>
      <c r="E70" t="s">
        <v>405</v>
      </c>
      <c r="F70" t="s">
        <v>108</v>
      </c>
      <c r="G70" t="s">
        <v>12</v>
      </c>
      <c r="H70">
        <v>0</v>
      </c>
      <c r="I70">
        <v>0</v>
      </c>
      <c r="J70" t="s">
        <v>406</v>
      </c>
      <c r="L70" t="s">
        <v>111</v>
      </c>
      <c r="M70">
        <v>6</v>
      </c>
      <c r="N70">
        <v>8</v>
      </c>
      <c r="O70">
        <v>3</v>
      </c>
      <c r="P70">
        <v>0</v>
      </c>
      <c r="Q70">
        <v>0</v>
      </c>
      <c r="R70">
        <v>1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t="s">
        <v>112</v>
      </c>
      <c r="AN70" t="s">
        <v>161</v>
      </c>
      <c r="AP70">
        <f t="shared" si="2"/>
        <v>0.4</v>
      </c>
      <c r="AQ70">
        <v>0</v>
      </c>
      <c r="AR70">
        <v>0</v>
      </c>
      <c r="AT70" t="s">
        <v>113</v>
      </c>
      <c r="AU70">
        <v>0</v>
      </c>
      <c r="AY70">
        <f>IFERROR(MAX(IF(IF(AND(F70="能力",AL70="能力持续"),(参数!$B$2-1)*参数!$B$3,0)+M70*O70*参数!$B$5*IF(AND(F70="能力",AL70="能力持续"),参数!$B$2,1)+P70*参数!$B$6*IF(AND(F70="能力",AL70="能力持续"),参数!$B$2,1)+R70*参数!$B$7*IF(AND(F70="能力",AL70="能力持续"),参数!$B$2,1)+V70*参数!$B$8+IF(X70&lt;0,X70*参数!$B$13,X70*参数!$B$39)+IF(AE70&lt;0,AE70*参数!$B$13,AE70*参数!$B$12)*参数!$B$2+AQ70*参数!$B$15+AB70*参数!$B$11+AF70*参数!$B$40*参数!$B$2+AG70*参数!$B$44*参数!$B$2+AH70*参数!$B$6*参数!$B$2+AI70*参数!$B$39*参数!$B$2+AJ70*参数!$B$6*参数!$B$2+Z70*参数!$B$13-T70*参数!$B$14-AD70*参数!$B$13+IF(ISNUMBER(AU70),AU70*参数!$B$38,0)-AV70*参数!$B$41-AW70*参数!$B$14&gt;参数!$B$17,参数!$B$17+SQRT(IF(AND(F70="能力",AL70="能力持续"),(参数!$B$2-1)*参数!$B$3,0)+M70*O70*参数!$B$5*IF(AND(F70="能力",AL70="能力持续"),参数!$B$2,1)+P70*参数!$B$6*IF(AND(F70="能力",AL70="能力持续"),参数!$B$2,1)+R70*参数!$B$7*IF(AND(F70="能力",AL70="能力持续"),参数!$B$2,1)+V70*参数!$B$8+IF(X70&lt;0,X70*参数!$B$13,X70*参数!$B$39)+IF(AE70&lt;0,AE70*参数!$B$13,AE70*参数!$B$12)*参数!$B$2+AQ70*参数!$B$15+AB70*参数!$B$11+AF70*参数!$B$40*参数!$B$2+AG70*参数!$B$44*参数!$B$2+AH70*参数!$B$6*参数!$B$2+AI70*参数!$B$39*参数!$B$2+AJ70*参数!$B$6*参数!$B$2+Z70*参数!$B$13-T70*参数!$B$14-AD70*参数!$B$13+IF(ISNUMBER(AU70),AU70*参数!$B$38,0)-AV70*参数!$B$41-AW70*参数!$B$14-参数!$B$17)*参数!$B$18,IF(AND(F70="能力",AL70="能力持续"),(参数!$B$2-1)*参数!$B$3,0)+M70*O70*参数!$B$5*IF(AND(F70="能力",AL70="能力持续"),参数!$B$2,1)+P70*参数!$B$6*IF(AND(F70="能力",AL70="能力持续"),参数!$B$2,1)+R70*参数!$B$7*IF(AND(F70="能力",AL70="能力持续"),参数!$B$2,1)+V70*参数!$B$8+IF(X70&lt;0,X70*参数!$B$13,X70*参数!$B$39)+IF(AE70&lt;0,AE70*参数!$B$13,AE70*参数!$B$12)*参数!$B$2+AQ70*参数!$B$15+AB70*参数!$B$11+AF70*参数!$B$40*参数!$B$2+AG70*参数!$B$44*参数!$B$2+AH70*参数!$B$6*参数!$B$2+AI70*参数!$B$39*参数!$B$2+AJ70*参数!$B$6*参数!$B$2+Z70*参数!$B$13-T70*参数!$B$14-AD70*参数!$B$13+IF(ISNUMBER(AU70),AU70*参数!$B$38,0)-AV70*参数!$B$41-AW70*参数!$B$14),0),0)</f>
        <v>14.424364361125788</v>
      </c>
      <c r="AZ70">
        <f>AY70-MAX(AP70,0)*参数!$B$10</f>
        <v>13.224364361125787</v>
      </c>
      <c r="BA70">
        <f t="shared" si="3"/>
        <v>36.06091090281447</v>
      </c>
    </row>
    <row r="71" spans="1:53" x14ac:dyDescent="0.3">
      <c r="A71">
        <v>70</v>
      </c>
      <c r="B71" t="s">
        <v>407</v>
      </c>
      <c r="C71" t="s">
        <v>105</v>
      </c>
      <c r="D71" t="s">
        <v>408</v>
      </c>
      <c r="E71" t="s">
        <v>409</v>
      </c>
      <c r="F71" t="s">
        <v>124</v>
      </c>
      <c r="G71" t="s">
        <v>12</v>
      </c>
      <c r="H71">
        <v>2</v>
      </c>
      <c r="I71">
        <v>1</v>
      </c>
      <c r="J71" t="s">
        <v>410</v>
      </c>
      <c r="L71" t="s">
        <v>301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t="s">
        <v>112</v>
      </c>
      <c r="AL71" t="s">
        <v>127</v>
      </c>
      <c r="AN71" t="s">
        <v>124</v>
      </c>
      <c r="AP71">
        <f t="shared" si="2"/>
        <v>2</v>
      </c>
      <c r="AQ71">
        <f>参数!$B$48</f>
        <v>8</v>
      </c>
      <c r="AR71">
        <v>0</v>
      </c>
      <c r="AT71" t="s">
        <v>113</v>
      </c>
      <c r="AU71">
        <v>0</v>
      </c>
      <c r="AY71">
        <f>IFERROR(MAX(IF(IF(AND(F71="能力",AL71="能力持续"),(参数!$B$2-1)*参数!$B$3,0)+M71*O71*参数!$B$5*IF(AND(F71="能力",AL71="能力持续"),参数!$B$2,1)+P71*参数!$B$6*IF(AND(F71="能力",AL71="能力持续"),参数!$B$2,1)+R71*参数!$B$7*IF(AND(F71="能力",AL71="能力持续"),参数!$B$2,1)+V71*参数!$B$8+IF(X71&lt;0,X71*参数!$B$13,X71*参数!$B$39)+IF(AE71&lt;0,AE71*参数!$B$13,AE71*参数!$B$12)*参数!$B$2+AQ71*参数!$B$15+AB71*参数!$B$11+AF71*参数!$B$40*参数!$B$2+AG71*参数!$B$44*参数!$B$2+AH71*参数!$B$6*参数!$B$2+AI71*参数!$B$39*参数!$B$2+AJ71*参数!$B$6*参数!$B$2+Z71*参数!$B$13-T71*参数!$B$14-AD71*参数!$B$13+IF(ISNUMBER(AU71),AU71*参数!$B$38,0)-AV71*参数!$B$41-AW71*参数!$B$14&gt;参数!$B$17,参数!$B$17+SQRT(IF(AND(F71="能力",AL71="能力持续"),(参数!$B$2-1)*参数!$B$3,0)+M71*O71*参数!$B$5*IF(AND(F71="能力",AL71="能力持续"),参数!$B$2,1)+P71*参数!$B$6*IF(AND(F71="能力",AL71="能力持续"),参数!$B$2,1)+R71*参数!$B$7*IF(AND(F71="能力",AL71="能力持续"),参数!$B$2,1)+V71*参数!$B$8+IF(X71&lt;0,X71*参数!$B$13,X71*参数!$B$39)+IF(AE71&lt;0,AE71*参数!$B$13,AE71*参数!$B$12)*参数!$B$2+AQ71*参数!$B$15+AB71*参数!$B$11+AF71*参数!$B$40*参数!$B$2+AG71*参数!$B$44*参数!$B$2+AH71*参数!$B$6*参数!$B$2+AI71*参数!$B$39*参数!$B$2+AJ71*参数!$B$6*参数!$B$2+Z71*参数!$B$13-T71*参数!$B$14-AD71*参数!$B$13+IF(ISNUMBER(AU71),AU71*参数!$B$38,0)-AV71*参数!$B$41-AW71*参数!$B$14-参数!$B$17)*参数!$B$18,IF(AND(F71="能力",AL71="能力持续"),(参数!$B$2-1)*参数!$B$3,0)+M71*O71*参数!$B$5*IF(AND(F71="能力",AL71="能力持续"),参数!$B$2,1)+P71*参数!$B$6*IF(AND(F71="能力",AL71="能力持续"),参数!$B$2,1)+R71*参数!$B$7*IF(AND(F71="能力",AL71="能力持续"),参数!$B$2,1)+V71*参数!$B$8+IF(X71&lt;0,X71*参数!$B$13,X71*参数!$B$39)+IF(AE71&lt;0,AE71*参数!$B$13,AE71*参数!$B$12)*参数!$B$2+AQ71*参数!$B$15+AB71*参数!$B$11+AF71*参数!$B$40*参数!$B$2+AG71*参数!$B$44*参数!$B$2+AH71*参数!$B$6*参数!$B$2+AI71*参数!$B$39*参数!$B$2+AJ71*参数!$B$6*参数!$B$2+Z71*参数!$B$13-T71*参数!$B$14-AD71*参数!$B$13+IF(ISNUMBER(AU71),AU71*参数!$B$38,0)-AV71*参数!$B$41-AW71*参数!$B$14),0),0)</f>
        <v>16.292853089020909</v>
      </c>
      <c r="AZ71">
        <f>AY71-MAX(AP71,0)*参数!$B$10</f>
        <v>10.292853089020909</v>
      </c>
      <c r="BA71">
        <f t="shared" si="3"/>
        <v>8.1464265445104544</v>
      </c>
    </row>
    <row r="72" spans="1:53" x14ac:dyDescent="0.3">
      <c r="A72">
        <v>71</v>
      </c>
      <c r="B72" t="s">
        <v>411</v>
      </c>
      <c r="C72" t="s">
        <v>105</v>
      </c>
      <c r="D72" t="s">
        <v>412</v>
      </c>
      <c r="E72" t="s">
        <v>413</v>
      </c>
      <c r="F72" t="s">
        <v>117</v>
      </c>
      <c r="G72" t="s">
        <v>14</v>
      </c>
      <c r="H72">
        <v>1</v>
      </c>
      <c r="I72">
        <v>1</v>
      </c>
      <c r="J72" t="s">
        <v>414</v>
      </c>
      <c r="K72" t="s">
        <v>182</v>
      </c>
      <c r="L72" t="s">
        <v>111</v>
      </c>
      <c r="M72">
        <v>0</v>
      </c>
      <c r="N72">
        <v>0</v>
      </c>
      <c r="O72">
        <v>1</v>
      </c>
      <c r="P72">
        <v>0</v>
      </c>
      <c r="Q72">
        <v>0</v>
      </c>
      <c r="R72">
        <f>参数!$B$49</f>
        <v>5</v>
      </c>
      <c r="S72">
        <v>0</v>
      </c>
      <c r="T72">
        <f>参数!$B$49</f>
        <v>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t="s">
        <v>112</v>
      </c>
      <c r="AO72" t="s">
        <v>182</v>
      </c>
      <c r="AP72">
        <f t="shared" si="2"/>
        <v>1</v>
      </c>
      <c r="AQ72">
        <v>0</v>
      </c>
      <c r="AR72">
        <v>0</v>
      </c>
      <c r="AT72" t="s">
        <v>113</v>
      </c>
      <c r="AU72">
        <v>0</v>
      </c>
      <c r="AY72">
        <f>IFERROR(MAX(IF(IF(AND(F72="能力",AL72="能力持续"),(参数!$B$2-1)*参数!$B$3,0)+M72*O72*参数!$B$5*IF(AND(F72="能力",AL72="能力持续"),参数!$B$2,1)+P72*参数!$B$6*IF(AND(F72="能力",AL72="能力持续"),参数!$B$2,1)+R72*参数!$B$7*IF(AND(F72="能力",AL72="能力持续"),参数!$B$2,1)+V72*参数!$B$8+IF(X72&lt;0,X72*参数!$B$13,X72*参数!$B$39)+IF(AE72&lt;0,AE72*参数!$B$13,AE72*参数!$B$12)*参数!$B$2+AQ72*参数!$B$15+AB72*参数!$B$11+AF72*参数!$B$40*参数!$B$2+AG72*参数!$B$44*参数!$B$2+AH72*参数!$B$6*参数!$B$2+AI72*参数!$B$39*参数!$B$2+AJ72*参数!$B$6*参数!$B$2+Z72*参数!$B$13-T72*参数!$B$14-AD72*参数!$B$13+IF(ISNUMBER(AU72),AU72*参数!$B$38,0)-AV72*参数!$B$41-AW72*参数!$B$14&gt;参数!$B$17,参数!$B$17+SQRT(IF(AND(F72="能力",AL72="能力持续"),(参数!$B$2-1)*参数!$B$3,0)+M72*O72*参数!$B$5*IF(AND(F72="能力",AL72="能力持续"),参数!$B$2,1)+P72*参数!$B$6*IF(AND(F72="能力",AL72="能力持续"),参数!$B$2,1)+R72*参数!$B$7*IF(AND(F72="能力",AL72="能力持续"),参数!$B$2,1)+V72*参数!$B$8+IF(X72&lt;0,X72*参数!$B$13,X72*参数!$B$39)+IF(AE72&lt;0,AE72*参数!$B$13,AE72*参数!$B$12)*参数!$B$2+AQ72*参数!$B$15+AB72*参数!$B$11+AF72*参数!$B$40*参数!$B$2+AG72*参数!$B$44*参数!$B$2+AH72*参数!$B$6*参数!$B$2+AI72*参数!$B$39*参数!$B$2+AJ72*参数!$B$6*参数!$B$2+Z72*参数!$B$13-T72*参数!$B$14-AD72*参数!$B$13+IF(ISNUMBER(AU72),AU72*参数!$B$38,0)-AV72*参数!$B$41-AW72*参数!$B$14-参数!$B$17)*参数!$B$18,IF(AND(F72="能力",AL72="能力持续"),(参数!$B$2-1)*参数!$B$3,0)+M72*O72*参数!$B$5*IF(AND(F72="能力",AL72="能力持续"),参数!$B$2,1)+P72*参数!$B$6*IF(AND(F72="能力",AL72="能力持续"),参数!$B$2,1)+R72*参数!$B$7*IF(AND(F72="能力",AL72="能力持续"),参数!$B$2,1)+V72*参数!$B$8+IF(X72&lt;0,X72*参数!$B$13,X72*参数!$B$39)+IF(AE72&lt;0,AE72*参数!$B$13,AE72*参数!$B$12)*参数!$B$2+AQ72*参数!$B$15+AB72*参数!$B$11+AF72*参数!$B$40*参数!$B$2+AG72*参数!$B$44*参数!$B$2+AH72*参数!$B$6*参数!$B$2+AI72*参数!$B$39*参数!$B$2+AJ72*参数!$B$6*参数!$B$2+Z72*参数!$B$13-T72*参数!$B$14-AD72*参数!$B$13+IF(ISNUMBER(AU72),AU72*参数!$B$38,0)-AV72*参数!$B$41-AW72*参数!$B$14),0),0)</f>
        <v>2</v>
      </c>
      <c r="AZ72">
        <f>AY72-MAX(AP72,0)*参数!$B$10</f>
        <v>-1</v>
      </c>
      <c r="BA72">
        <f t="shared" si="3"/>
        <v>2</v>
      </c>
    </row>
    <row r="73" spans="1:53" x14ac:dyDescent="0.3">
      <c r="A73">
        <v>72</v>
      </c>
      <c r="B73" t="s">
        <v>415</v>
      </c>
      <c r="C73" t="s">
        <v>105</v>
      </c>
      <c r="D73" t="s">
        <v>416</v>
      </c>
      <c r="E73" t="s">
        <v>417</v>
      </c>
      <c r="F73" t="s">
        <v>108</v>
      </c>
      <c r="G73" t="s">
        <v>12</v>
      </c>
      <c r="H73">
        <v>3</v>
      </c>
      <c r="I73">
        <v>3</v>
      </c>
      <c r="J73" t="s">
        <v>418</v>
      </c>
      <c r="L73" t="s">
        <v>191</v>
      </c>
      <c r="M73">
        <v>12</v>
      </c>
      <c r="N73">
        <v>15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112</v>
      </c>
      <c r="AN73" t="s">
        <v>217</v>
      </c>
      <c r="AP73">
        <f t="shared" si="2"/>
        <v>3</v>
      </c>
      <c r="AQ73">
        <v>0</v>
      </c>
      <c r="AR73">
        <v>0</v>
      </c>
      <c r="AT73" t="s">
        <v>113</v>
      </c>
      <c r="AU73">
        <v>0</v>
      </c>
      <c r="AY73">
        <f>IFERROR(MAX(IF(IF(AND(F73="能力",AL73="能力持续"),(参数!$B$2-1)*参数!$B$3,0)+M73*O73*参数!$B$5*IF(AND(F73="能力",AL73="能力持续"),参数!$B$2,1)+P73*参数!$B$6*IF(AND(F73="能力",AL73="能力持续"),参数!$B$2,1)+R73*参数!$B$7*IF(AND(F73="能力",AL73="能力持续"),参数!$B$2,1)+V73*参数!$B$8+IF(X73&lt;0,X73*参数!$B$13,X73*参数!$B$39)+IF(AE73&lt;0,AE73*参数!$B$13,AE73*参数!$B$12)*参数!$B$2+AQ73*参数!$B$15+AB73*参数!$B$11+AF73*参数!$B$40*参数!$B$2+AG73*参数!$B$44*参数!$B$2+AH73*参数!$B$6*参数!$B$2+AI73*参数!$B$39*参数!$B$2+AJ73*参数!$B$6*参数!$B$2+Z73*参数!$B$13-T73*参数!$B$14-AD73*参数!$B$13+IF(ISNUMBER(AU73),AU73*参数!$B$38,0)-AV73*参数!$B$41-AW73*参数!$B$14&gt;参数!$B$17,参数!$B$17+SQRT(IF(AND(F73="能力",AL73="能力持续"),(参数!$B$2-1)*参数!$B$3,0)+M73*O73*参数!$B$5*IF(AND(F73="能力",AL73="能力持续"),参数!$B$2,1)+P73*参数!$B$6*IF(AND(F73="能力",AL73="能力持续"),参数!$B$2,1)+R73*参数!$B$7*IF(AND(F73="能力",AL73="能力持续"),参数!$B$2,1)+V73*参数!$B$8+IF(X73&lt;0,X73*参数!$B$13,X73*参数!$B$39)+IF(AE73&lt;0,AE73*参数!$B$13,AE73*参数!$B$12)*参数!$B$2+AQ73*参数!$B$15+AB73*参数!$B$11+AF73*参数!$B$40*参数!$B$2+AG73*参数!$B$44*参数!$B$2+AH73*参数!$B$6*参数!$B$2+AI73*参数!$B$39*参数!$B$2+AJ73*参数!$B$6*参数!$B$2+Z73*参数!$B$13-T73*参数!$B$14-AD73*参数!$B$13+IF(ISNUMBER(AU73),AU73*参数!$B$38,0)-AV73*参数!$B$41-AW73*参数!$B$14-参数!$B$17)*参数!$B$18,IF(AND(F73="能力",AL73="能力持续"),(参数!$B$2-1)*参数!$B$3,0)+M73*O73*参数!$B$5*IF(AND(F73="能力",AL73="能力持续"),参数!$B$2,1)+P73*参数!$B$6*IF(AND(F73="能力",AL73="能力持续"),参数!$B$2,1)+R73*参数!$B$7*IF(AND(F73="能力",AL73="能力持续"),参数!$B$2,1)+V73*参数!$B$8+IF(X73&lt;0,X73*参数!$B$13,X73*参数!$B$39)+IF(AE73&lt;0,AE73*参数!$B$13,AE73*参数!$B$12)*参数!$B$2+AQ73*参数!$B$15+AB73*参数!$B$11+AF73*参数!$B$40*参数!$B$2+AG73*参数!$B$44*参数!$B$2+AH73*参数!$B$6*参数!$B$2+AI73*参数!$B$39*参数!$B$2+AJ73*参数!$B$6*参数!$B$2+Z73*参数!$B$13-T73*参数!$B$14-AD73*参数!$B$13+IF(ISNUMBER(AU73),AU73*参数!$B$38,0)-AV73*参数!$B$41-AW73*参数!$B$14),0),0)</f>
        <v>12.121320343559642</v>
      </c>
      <c r="AZ73">
        <f>AY73-MAX(AP73,0)*参数!$B$10</f>
        <v>3.1213203435596419</v>
      </c>
      <c r="BA73">
        <f t="shared" si="3"/>
        <v>4.0404401145198809</v>
      </c>
    </row>
    <row r="74" spans="1:53" x14ac:dyDescent="0.3">
      <c r="A74">
        <v>73</v>
      </c>
      <c r="B74" t="s">
        <v>419</v>
      </c>
      <c r="C74" t="s">
        <v>105</v>
      </c>
      <c r="D74" t="s">
        <v>420</v>
      </c>
      <c r="E74" t="s">
        <v>421</v>
      </c>
      <c r="F74" t="s">
        <v>124</v>
      </c>
      <c r="G74" t="s">
        <v>12</v>
      </c>
      <c r="H74">
        <v>1</v>
      </c>
      <c r="I74">
        <v>1</v>
      </c>
      <c r="J74" t="s">
        <v>422</v>
      </c>
      <c r="L74" t="s">
        <v>120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</v>
      </c>
      <c r="AK74" t="s">
        <v>112</v>
      </c>
      <c r="AN74" t="s">
        <v>124</v>
      </c>
      <c r="AP74">
        <f t="shared" si="2"/>
        <v>1</v>
      </c>
      <c r="AQ74">
        <v>0</v>
      </c>
      <c r="AR74">
        <v>0</v>
      </c>
      <c r="AT74" t="s">
        <v>113</v>
      </c>
      <c r="AU74">
        <v>0</v>
      </c>
      <c r="AY74">
        <f>IFERROR(MAX(IF(IF(AND(F74="能力",AL74="能力持续"),(参数!$B$2-1)*参数!$B$3,0)+M74*O74*参数!$B$5*IF(AND(F74="能力",AL74="能力持续"),参数!$B$2,1)+P74*参数!$B$6*IF(AND(F74="能力",AL74="能力持续"),参数!$B$2,1)+R74*参数!$B$7*IF(AND(F74="能力",AL74="能力持续"),参数!$B$2,1)+V74*参数!$B$8+IF(X74&lt;0,X74*参数!$B$13,X74*参数!$B$39)+IF(AE74&lt;0,AE74*参数!$B$13,AE74*参数!$B$12)*参数!$B$2+AQ74*参数!$B$15+AB74*参数!$B$11+AF74*参数!$B$40*参数!$B$2+AG74*参数!$B$44*参数!$B$2+AH74*参数!$B$6*参数!$B$2+AI74*参数!$B$39*参数!$B$2+AJ74*参数!$B$6*参数!$B$2+Z74*参数!$B$13-T74*参数!$B$14-AD74*参数!$B$13+IF(ISNUMBER(AU74),AU74*参数!$B$38,0)-AV74*参数!$B$41-AW74*参数!$B$14&gt;参数!$B$17,参数!$B$17+SQRT(IF(AND(F74="能力",AL74="能力持续"),(参数!$B$2-1)*参数!$B$3,0)+M74*O74*参数!$B$5*IF(AND(F74="能力",AL74="能力持续"),参数!$B$2,1)+P74*参数!$B$6*IF(AND(F74="能力",AL74="能力持续"),参数!$B$2,1)+R74*参数!$B$7*IF(AND(F74="能力",AL74="能力持续"),参数!$B$2,1)+V74*参数!$B$8+IF(X74&lt;0,X74*参数!$B$13,X74*参数!$B$39)+IF(AE74&lt;0,AE74*参数!$B$13,AE74*参数!$B$12)*参数!$B$2+AQ74*参数!$B$15+AB74*参数!$B$11+AF74*参数!$B$40*参数!$B$2+AG74*参数!$B$44*参数!$B$2+AH74*参数!$B$6*参数!$B$2+AI74*参数!$B$39*参数!$B$2+AJ74*参数!$B$6*参数!$B$2+Z74*参数!$B$13-T74*参数!$B$14-AD74*参数!$B$13+IF(ISNUMBER(AU74),AU74*参数!$B$38,0)-AV74*参数!$B$41-AW74*参数!$B$14-参数!$B$17)*参数!$B$18,IF(AND(F74="能力",AL74="能力持续"),(参数!$B$2-1)*参数!$B$3,0)+M74*O74*参数!$B$5*IF(AND(F74="能力",AL74="能力持续"),参数!$B$2,1)+P74*参数!$B$6*IF(AND(F74="能力",AL74="能力持续"),参数!$B$2,1)+R74*参数!$B$7*IF(AND(F74="能力",AL74="能力持续"),参数!$B$2,1)+V74*参数!$B$8+IF(X74&lt;0,X74*参数!$B$13,X74*参数!$B$39)+IF(AE74&lt;0,AE74*参数!$B$13,AE74*参数!$B$12)*参数!$B$2+AQ74*参数!$B$15+AB74*参数!$B$11+AF74*参数!$B$40*参数!$B$2+AG74*参数!$B$44*参数!$B$2+AH74*参数!$B$6*参数!$B$2+AI74*参数!$B$39*参数!$B$2+AJ74*参数!$B$6*参数!$B$2+Z74*参数!$B$13-T74*参数!$B$14-AD74*参数!$B$13+IF(ISNUMBER(AU74),AU74*参数!$B$38,0)-AV74*参数!$B$41-AW74*参数!$B$14),0),0)</f>
        <v>14.135214625627068</v>
      </c>
      <c r="AZ74">
        <f>AY74-MAX(AP74,0)*参数!$B$10</f>
        <v>11.135214625627068</v>
      </c>
      <c r="BA74">
        <f t="shared" si="3"/>
        <v>14.135214625627068</v>
      </c>
    </row>
    <row r="75" spans="1:53" x14ac:dyDescent="0.3">
      <c r="A75">
        <v>74</v>
      </c>
      <c r="B75" t="s">
        <v>423</v>
      </c>
      <c r="C75" t="s">
        <v>105</v>
      </c>
      <c r="D75" t="s">
        <v>424</v>
      </c>
      <c r="E75" t="s">
        <v>425</v>
      </c>
      <c r="F75" t="s">
        <v>108</v>
      </c>
      <c r="G75" t="s">
        <v>10</v>
      </c>
      <c r="H75">
        <v>1</v>
      </c>
      <c r="I75">
        <v>1</v>
      </c>
      <c r="J75" t="s">
        <v>426</v>
      </c>
      <c r="L75" t="s">
        <v>301</v>
      </c>
      <c r="M75">
        <v>3</v>
      </c>
      <c r="N75">
        <v>3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t="s">
        <v>112</v>
      </c>
      <c r="AP75">
        <f t="shared" si="2"/>
        <v>1</v>
      </c>
      <c r="AQ75">
        <v>0</v>
      </c>
      <c r="AR75">
        <v>0</v>
      </c>
      <c r="AT75" t="s">
        <v>113</v>
      </c>
      <c r="AU75">
        <v>0</v>
      </c>
      <c r="AY75">
        <f>IFERROR(MAX(IF(IF(AND(F75="能力",AL75="能力持续"),(参数!$B$2-1)*参数!$B$3,0)+M75*O75*参数!$B$5*IF(AND(F75="能力",AL75="能力持续"),参数!$B$2,1)+P75*参数!$B$6*IF(AND(F75="能力",AL75="能力持续"),参数!$B$2,1)+R75*参数!$B$7*IF(AND(F75="能力",AL75="能力持续"),参数!$B$2,1)+V75*参数!$B$8+IF(X75&lt;0,X75*参数!$B$13,X75*参数!$B$39)+IF(AE75&lt;0,AE75*参数!$B$13,AE75*参数!$B$12)*参数!$B$2+AQ75*参数!$B$15+AB75*参数!$B$11+AF75*参数!$B$40*参数!$B$2+AG75*参数!$B$44*参数!$B$2+AH75*参数!$B$6*参数!$B$2+AI75*参数!$B$39*参数!$B$2+AJ75*参数!$B$6*参数!$B$2+Z75*参数!$B$13-T75*参数!$B$14-AD75*参数!$B$13+IF(ISNUMBER(AU75),AU75*参数!$B$38,0)-AV75*参数!$B$41-AW75*参数!$B$14&gt;参数!$B$17,参数!$B$17+SQRT(IF(AND(F75="能力",AL75="能力持续"),(参数!$B$2-1)*参数!$B$3,0)+M75*O75*参数!$B$5*IF(AND(F75="能力",AL75="能力持续"),参数!$B$2,1)+P75*参数!$B$6*IF(AND(F75="能力",AL75="能力持续"),参数!$B$2,1)+R75*参数!$B$7*IF(AND(F75="能力",AL75="能力持续"),参数!$B$2,1)+V75*参数!$B$8+IF(X75&lt;0,X75*参数!$B$13,X75*参数!$B$39)+IF(AE75&lt;0,AE75*参数!$B$13,AE75*参数!$B$12)*参数!$B$2+AQ75*参数!$B$15+AB75*参数!$B$11+AF75*参数!$B$40*参数!$B$2+AG75*参数!$B$44*参数!$B$2+AH75*参数!$B$6*参数!$B$2+AI75*参数!$B$39*参数!$B$2+AJ75*参数!$B$6*参数!$B$2+Z75*参数!$B$13-T75*参数!$B$14-AD75*参数!$B$13+IF(ISNUMBER(AU75),AU75*参数!$B$38,0)-AV75*参数!$B$41-AW75*参数!$B$14-参数!$B$17)*参数!$B$18,IF(AND(F75="能力",AL75="能力持续"),(参数!$B$2-1)*参数!$B$3,0)+M75*O75*参数!$B$5*IF(AND(F75="能力",AL75="能力持续"),参数!$B$2,1)+P75*参数!$B$6*IF(AND(F75="能力",AL75="能力持续"),参数!$B$2,1)+R75*参数!$B$7*IF(AND(F75="能力",AL75="能力持续"),参数!$B$2,1)+V75*参数!$B$8+IF(X75&lt;0,X75*参数!$B$13,X75*参数!$B$39)+IF(AE75&lt;0,AE75*参数!$B$13,AE75*参数!$B$12)*参数!$B$2+AQ75*参数!$B$15+AB75*参数!$B$11+AF75*参数!$B$40*参数!$B$2+AG75*参数!$B$44*参数!$B$2+AH75*参数!$B$6*参数!$B$2+AI75*参数!$B$39*参数!$B$2+AJ75*参数!$B$6*参数!$B$2+Z75*参数!$B$13-T75*参数!$B$14-AD75*参数!$B$13+IF(ISNUMBER(AU75),AU75*参数!$B$38,0)-AV75*参数!$B$41-AW75*参数!$B$14),0),0)</f>
        <v>9</v>
      </c>
      <c r="AZ75">
        <f>AY75-MAX(AP75,0)*参数!$B$10</f>
        <v>6</v>
      </c>
      <c r="BA75">
        <f t="shared" si="3"/>
        <v>9</v>
      </c>
    </row>
    <row r="76" spans="1:53" x14ac:dyDescent="0.3">
      <c r="A76">
        <v>75</v>
      </c>
      <c r="B76" t="s">
        <v>427</v>
      </c>
      <c r="C76" t="s">
        <v>105</v>
      </c>
      <c r="D76" t="s">
        <v>428</v>
      </c>
      <c r="E76" t="s">
        <v>429</v>
      </c>
      <c r="F76" t="s">
        <v>124</v>
      </c>
      <c r="G76" t="s">
        <v>14</v>
      </c>
      <c r="H76">
        <v>1</v>
      </c>
      <c r="I76">
        <v>0</v>
      </c>
      <c r="J76" t="s">
        <v>430</v>
      </c>
      <c r="L76" t="s">
        <v>120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t="s">
        <v>112</v>
      </c>
      <c r="AL76" t="s">
        <v>127</v>
      </c>
      <c r="AN76" t="s">
        <v>124</v>
      </c>
      <c r="AP76">
        <f t="shared" si="2"/>
        <v>1</v>
      </c>
      <c r="AQ76">
        <v>8</v>
      </c>
      <c r="AR76">
        <v>0</v>
      </c>
      <c r="AT76" t="s">
        <v>113</v>
      </c>
      <c r="AU76">
        <v>0</v>
      </c>
      <c r="AY76">
        <f>IFERROR(MAX(IF(IF(AND(F76="能力",AL76="能力持续"),(参数!$B$2-1)*参数!$B$3,0)+M76*O76*参数!$B$5*IF(AND(F76="能力",AL76="能力持续"),参数!$B$2,1)+P76*参数!$B$6*IF(AND(F76="能力",AL76="能力持续"),参数!$B$2,1)+R76*参数!$B$7*IF(AND(F76="能力",AL76="能力持续"),参数!$B$2,1)+V76*参数!$B$8+IF(X76&lt;0,X76*参数!$B$13,X76*参数!$B$39)+IF(AE76&lt;0,AE76*参数!$B$13,AE76*参数!$B$12)*参数!$B$2+AQ76*参数!$B$15+AB76*参数!$B$11+AF76*参数!$B$40*参数!$B$2+AG76*参数!$B$44*参数!$B$2+AH76*参数!$B$6*参数!$B$2+AI76*参数!$B$39*参数!$B$2+AJ76*参数!$B$6*参数!$B$2+Z76*参数!$B$13-T76*参数!$B$14-AD76*参数!$B$13+IF(ISNUMBER(AU76),AU76*参数!$B$38,0)-AV76*参数!$B$41-AW76*参数!$B$14&gt;参数!$B$17,参数!$B$17+SQRT(IF(AND(F76="能力",AL76="能力持续"),(参数!$B$2-1)*参数!$B$3,0)+M76*O76*参数!$B$5*IF(AND(F76="能力",AL76="能力持续"),参数!$B$2,1)+P76*参数!$B$6*IF(AND(F76="能力",AL76="能力持续"),参数!$B$2,1)+R76*参数!$B$7*IF(AND(F76="能力",AL76="能力持续"),参数!$B$2,1)+V76*参数!$B$8+IF(X76&lt;0,X76*参数!$B$13,X76*参数!$B$39)+IF(AE76&lt;0,AE76*参数!$B$13,AE76*参数!$B$12)*参数!$B$2+AQ76*参数!$B$15+AB76*参数!$B$11+AF76*参数!$B$40*参数!$B$2+AG76*参数!$B$44*参数!$B$2+AH76*参数!$B$6*参数!$B$2+AI76*参数!$B$39*参数!$B$2+AJ76*参数!$B$6*参数!$B$2+Z76*参数!$B$13-T76*参数!$B$14-AD76*参数!$B$13+IF(ISNUMBER(AU76),AU76*参数!$B$38,0)-AV76*参数!$B$41-AW76*参数!$B$14-参数!$B$17)*参数!$B$18,IF(AND(F76="能力",AL76="能力持续"),(参数!$B$2-1)*参数!$B$3,0)+M76*O76*参数!$B$5*IF(AND(F76="能力",AL76="能力持续"),参数!$B$2,1)+P76*参数!$B$6*IF(AND(F76="能力",AL76="能力持续"),参数!$B$2,1)+R76*参数!$B$7*IF(AND(F76="能力",AL76="能力持续"),参数!$B$2,1)+V76*参数!$B$8+IF(X76&lt;0,X76*参数!$B$13,X76*参数!$B$39)+IF(AE76&lt;0,AE76*参数!$B$13,AE76*参数!$B$12)*参数!$B$2+AQ76*参数!$B$15+AB76*参数!$B$11+AF76*参数!$B$40*参数!$B$2+AG76*参数!$B$44*参数!$B$2+AH76*参数!$B$6*参数!$B$2+AI76*参数!$B$39*参数!$B$2+AJ76*参数!$B$6*参数!$B$2+Z76*参数!$B$13-T76*参数!$B$14-AD76*参数!$B$13+IF(ISNUMBER(AU76),AU76*参数!$B$38,0)-AV76*参数!$B$41-AW76*参数!$B$14),0),0)</f>
        <v>16.292853089020909</v>
      </c>
      <c r="AZ76">
        <f>AY76-MAX(AP76,0)*参数!$B$10</f>
        <v>13.292853089020909</v>
      </c>
      <c r="BA76">
        <f t="shared" si="3"/>
        <v>16.292853089020909</v>
      </c>
    </row>
    <row r="77" spans="1:53" x14ac:dyDescent="0.3">
      <c r="A77">
        <v>76</v>
      </c>
      <c r="B77" t="s">
        <v>431</v>
      </c>
      <c r="C77" t="s">
        <v>105</v>
      </c>
      <c r="D77" t="s">
        <v>432</v>
      </c>
      <c r="E77" t="s">
        <v>433</v>
      </c>
      <c r="F77" t="s">
        <v>117</v>
      </c>
      <c r="G77" t="s">
        <v>12</v>
      </c>
      <c r="H77">
        <v>1</v>
      </c>
      <c r="I77">
        <v>1</v>
      </c>
      <c r="J77" t="s">
        <v>434</v>
      </c>
      <c r="L77" t="s">
        <v>120</v>
      </c>
      <c r="M77">
        <v>0</v>
      </c>
      <c r="N77">
        <v>0</v>
      </c>
      <c r="O77">
        <v>1</v>
      </c>
      <c r="P77">
        <v>7</v>
      </c>
      <c r="Q77">
        <v>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112</v>
      </c>
      <c r="AP77">
        <f t="shared" si="2"/>
        <v>1</v>
      </c>
      <c r="AQ77">
        <v>0</v>
      </c>
      <c r="AR77">
        <v>0</v>
      </c>
      <c r="AT77" t="s">
        <v>113</v>
      </c>
      <c r="AU77">
        <v>0</v>
      </c>
      <c r="AY77">
        <f>IFERROR(MAX(IF(IF(AND(F77="能力",AL77="能力持续"),(参数!$B$2-1)*参数!$B$3,0)+M77*O77*参数!$B$5*IF(AND(F77="能力",AL77="能力持续"),参数!$B$2,1)+P77*参数!$B$6*IF(AND(F77="能力",AL77="能力持续"),参数!$B$2,1)+R77*参数!$B$7*IF(AND(F77="能力",AL77="能力持续"),参数!$B$2,1)+V77*参数!$B$8+IF(X77&lt;0,X77*参数!$B$13,X77*参数!$B$39)+IF(AE77&lt;0,AE77*参数!$B$13,AE77*参数!$B$12)*参数!$B$2+AQ77*参数!$B$15+AB77*参数!$B$11+AF77*参数!$B$40*参数!$B$2+AG77*参数!$B$44*参数!$B$2+AH77*参数!$B$6*参数!$B$2+AI77*参数!$B$39*参数!$B$2+AJ77*参数!$B$6*参数!$B$2+Z77*参数!$B$13-T77*参数!$B$14-AD77*参数!$B$13+IF(ISNUMBER(AU77),AU77*参数!$B$38,0)-AV77*参数!$B$41-AW77*参数!$B$14&gt;参数!$B$17,参数!$B$17+SQRT(IF(AND(F77="能力",AL77="能力持续"),(参数!$B$2-1)*参数!$B$3,0)+M77*O77*参数!$B$5*IF(AND(F77="能力",AL77="能力持续"),参数!$B$2,1)+P77*参数!$B$6*IF(AND(F77="能力",AL77="能力持续"),参数!$B$2,1)+R77*参数!$B$7*IF(AND(F77="能力",AL77="能力持续"),参数!$B$2,1)+V77*参数!$B$8+IF(X77&lt;0,X77*参数!$B$13,X77*参数!$B$39)+IF(AE77&lt;0,AE77*参数!$B$13,AE77*参数!$B$12)*参数!$B$2+AQ77*参数!$B$15+AB77*参数!$B$11+AF77*参数!$B$40*参数!$B$2+AG77*参数!$B$44*参数!$B$2+AH77*参数!$B$6*参数!$B$2+AI77*参数!$B$39*参数!$B$2+AJ77*参数!$B$6*参数!$B$2+Z77*参数!$B$13-T77*参数!$B$14-AD77*参数!$B$13+IF(ISNUMBER(AU77),AU77*参数!$B$38,0)-AV77*参数!$B$41-AW77*参数!$B$14-参数!$B$17)*参数!$B$18,IF(AND(F77="能力",AL77="能力持续"),(参数!$B$2-1)*参数!$B$3,0)+M77*O77*参数!$B$5*IF(AND(F77="能力",AL77="能力持续"),参数!$B$2,1)+P77*参数!$B$6*IF(AND(F77="能力",AL77="能力持续"),参数!$B$2,1)+R77*参数!$B$7*IF(AND(F77="能力",AL77="能力持续"),参数!$B$2,1)+V77*参数!$B$8+IF(X77&lt;0,X77*参数!$B$13,X77*参数!$B$39)+IF(AE77&lt;0,AE77*参数!$B$13,AE77*参数!$B$12)*参数!$B$2+AQ77*参数!$B$15+AB77*参数!$B$11+AF77*参数!$B$40*参数!$B$2+AG77*参数!$B$44*参数!$B$2+AH77*参数!$B$6*参数!$B$2+AI77*参数!$B$39*参数!$B$2+AJ77*参数!$B$6*参数!$B$2+Z77*参数!$B$13-T77*参数!$B$14-AD77*参数!$B$13+IF(ISNUMBER(AU77),AU77*参数!$B$38,0)-AV77*参数!$B$41-AW77*参数!$B$14),0),0)</f>
        <v>9.0000000000000018</v>
      </c>
      <c r="AZ77">
        <f>AY77-MAX(AP77,0)*参数!$B$10</f>
        <v>6.0000000000000018</v>
      </c>
      <c r="BA77">
        <f t="shared" si="3"/>
        <v>9.0000000000000018</v>
      </c>
    </row>
    <row r="78" spans="1:53" x14ac:dyDescent="0.3">
      <c r="A78">
        <v>77</v>
      </c>
      <c r="B78" t="s">
        <v>435</v>
      </c>
      <c r="C78" t="s">
        <v>105</v>
      </c>
      <c r="D78" t="s">
        <v>436</v>
      </c>
      <c r="E78" t="s">
        <v>437</v>
      </c>
      <c r="F78" t="s">
        <v>108</v>
      </c>
      <c r="G78" t="s">
        <v>14</v>
      </c>
      <c r="H78">
        <v>2</v>
      </c>
      <c r="I78">
        <v>2</v>
      </c>
      <c r="J78" t="s">
        <v>438</v>
      </c>
      <c r="L78" t="s">
        <v>111</v>
      </c>
      <c r="M78">
        <v>5</v>
      </c>
      <c r="N78">
        <v>7</v>
      </c>
      <c r="O78">
        <v>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112</v>
      </c>
      <c r="AP78">
        <f t="shared" si="2"/>
        <v>2</v>
      </c>
      <c r="AQ78">
        <v>0</v>
      </c>
      <c r="AR78">
        <v>0</v>
      </c>
      <c r="AT78" t="s">
        <v>113</v>
      </c>
      <c r="AU78">
        <v>0</v>
      </c>
      <c r="AY78">
        <f>IFERROR(MAX(IF(IF(AND(F78="能力",AL78="能力持续"),(参数!$B$2-1)*参数!$B$3,0)+M78*O78*参数!$B$5*IF(AND(F78="能力",AL78="能力持续"),参数!$B$2,1)+P78*参数!$B$6*IF(AND(F78="能力",AL78="能力持续"),参数!$B$2,1)+R78*参数!$B$7*IF(AND(F78="能力",AL78="能力持续"),参数!$B$2,1)+V78*参数!$B$8+IF(X78&lt;0,X78*参数!$B$13,X78*参数!$B$39)+IF(AE78&lt;0,AE78*参数!$B$13,AE78*参数!$B$12)*参数!$B$2+AQ78*参数!$B$15+AB78*参数!$B$11+AF78*参数!$B$40*参数!$B$2+AG78*参数!$B$44*参数!$B$2+AH78*参数!$B$6*参数!$B$2+AI78*参数!$B$39*参数!$B$2+AJ78*参数!$B$6*参数!$B$2+Z78*参数!$B$13-T78*参数!$B$14-AD78*参数!$B$13+IF(ISNUMBER(AU78),AU78*参数!$B$38,0)-AV78*参数!$B$41-AW78*参数!$B$14&gt;参数!$B$17,参数!$B$17+SQRT(IF(AND(F78="能力",AL78="能力持续"),(参数!$B$2-1)*参数!$B$3,0)+M78*O78*参数!$B$5*IF(AND(F78="能力",AL78="能力持续"),参数!$B$2,1)+P78*参数!$B$6*IF(AND(F78="能力",AL78="能力持续"),参数!$B$2,1)+R78*参数!$B$7*IF(AND(F78="能力",AL78="能力持续"),参数!$B$2,1)+V78*参数!$B$8+IF(X78&lt;0,X78*参数!$B$13,X78*参数!$B$39)+IF(AE78&lt;0,AE78*参数!$B$13,AE78*参数!$B$12)*参数!$B$2+AQ78*参数!$B$15+AB78*参数!$B$11+AF78*参数!$B$40*参数!$B$2+AG78*参数!$B$44*参数!$B$2+AH78*参数!$B$6*参数!$B$2+AI78*参数!$B$39*参数!$B$2+AJ78*参数!$B$6*参数!$B$2+Z78*参数!$B$13-T78*参数!$B$14-AD78*参数!$B$13+IF(ISNUMBER(AU78),AU78*参数!$B$38,0)-AV78*参数!$B$41-AW78*参数!$B$14-参数!$B$17)*参数!$B$18,IF(AND(F78="能力",AL78="能力持续"),(参数!$B$2-1)*参数!$B$3,0)+M78*O78*参数!$B$5*IF(AND(F78="能力",AL78="能力持续"),参数!$B$2,1)+P78*参数!$B$6*IF(AND(F78="能力",AL78="能力持续"),参数!$B$2,1)+R78*参数!$B$7*IF(AND(F78="能力",AL78="能力持续"),参数!$B$2,1)+V78*参数!$B$8+IF(X78&lt;0,X78*参数!$B$13,X78*参数!$B$39)+IF(AE78&lt;0,AE78*参数!$B$13,AE78*参数!$B$12)*参数!$B$2+AQ78*参数!$B$15+AB78*参数!$B$11+AF78*参数!$B$40*参数!$B$2+AG78*参数!$B$44*参数!$B$2+AH78*参数!$B$6*参数!$B$2+AI78*参数!$B$39*参数!$B$2+AJ78*参数!$B$6*参数!$B$2+Z78*参数!$B$13-T78*参数!$B$14-AD78*参数!$B$13+IF(ISNUMBER(AU78),AU78*参数!$B$38,0)-AV78*参数!$B$41-AW78*参数!$B$14),0),0)</f>
        <v>13.354101966249685</v>
      </c>
      <c r="AZ78">
        <f>AY78-MAX(AP78,0)*参数!$B$10</f>
        <v>7.3541019662496847</v>
      </c>
      <c r="BA78">
        <f t="shared" si="3"/>
        <v>6.6770509831248424</v>
      </c>
    </row>
    <row r="79" spans="1:53" x14ac:dyDescent="0.3">
      <c r="A79">
        <v>78</v>
      </c>
      <c r="B79" t="s">
        <v>439</v>
      </c>
      <c r="C79" t="s">
        <v>105</v>
      </c>
      <c r="D79" t="s">
        <v>440</v>
      </c>
      <c r="E79" t="s">
        <v>441</v>
      </c>
      <c r="F79" t="s">
        <v>108</v>
      </c>
      <c r="G79" t="s">
        <v>14</v>
      </c>
      <c r="H79">
        <v>1</v>
      </c>
      <c r="I79">
        <v>1</v>
      </c>
      <c r="J79" t="s">
        <v>442</v>
      </c>
      <c r="K79" t="s">
        <v>182</v>
      </c>
      <c r="L79" t="s">
        <v>111</v>
      </c>
      <c r="M79">
        <v>4</v>
      </c>
      <c r="N79">
        <v>6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112</v>
      </c>
      <c r="AO79" t="s">
        <v>182</v>
      </c>
      <c r="AP79">
        <f t="shared" si="2"/>
        <v>1</v>
      </c>
      <c r="AQ79">
        <v>0</v>
      </c>
      <c r="AR79">
        <v>0</v>
      </c>
      <c r="AT79" t="s">
        <v>113</v>
      </c>
      <c r="AU79">
        <v>0</v>
      </c>
      <c r="AY79">
        <f>IFERROR(MAX(IF(IF(AND(F79="能力",AL79="能力持续"),(参数!$B$2-1)*参数!$B$3,0)+M79*O79*参数!$B$5*IF(AND(F79="能力",AL79="能力持续"),参数!$B$2,1)+P79*参数!$B$6*IF(AND(F79="能力",AL79="能力持续"),参数!$B$2,1)+R79*参数!$B$7*IF(AND(F79="能力",AL79="能力持续"),参数!$B$2,1)+V79*参数!$B$8+IF(X79&lt;0,X79*参数!$B$13,X79*参数!$B$39)+IF(AE79&lt;0,AE79*参数!$B$13,AE79*参数!$B$12)*参数!$B$2+AQ79*参数!$B$15+AB79*参数!$B$11+AF79*参数!$B$40*参数!$B$2+AG79*参数!$B$44*参数!$B$2+AH79*参数!$B$6*参数!$B$2+AI79*参数!$B$39*参数!$B$2+AJ79*参数!$B$6*参数!$B$2+Z79*参数!$B$13-T79*参数!$B$14-AD79*参数!$B$13+IF(ISNUMBER(AU79),AU79*参数!$B$38,0)-AV79*参数!$B$41-AW79*参数!$B$14&gt;参数!$B$17,参数!$B$17+SQRT(IF(AND(F79="能力",AL79="能力持续"),(参数!$B$2-1)*参数!$B$3,0)+M79*O79*参数!$B$5*IF(AND(F79="能力",AL79="能力持续"),参数!$B$2,1)+P79*参数!$B$6*IF(AND(F79="能力",AL79="能力持续"),参数!$B$2,1)+R79*参数!$B$7*IF(AND(F79="能力",AL79="能力持续"),参数!$B$2,1)+V79*参数!$B$8+IF(X79&lt;0,X79*参数!$B$13,X79*参数!$B$39)+IF(AE79&lt;0,AE79*参数!$B$13,AE79*参数!$B$12)*参数!$B$2+AQ79*参数!$B$15+AB79*参数!$B$11+AF79*参数!$B$40*参数!$B$2+AG79*参数!$B$44*参数!$B$2+AH79*参数!$B$6*参数!$B$2+AI79*参数!$B$39*参数!$B$2+AJ79*参数!$B$6*参数!$B$2+Z79*参数!$B$13-T79*参数!$B$14-AD79*参数!$B$13+IF(ISNUMBER(AU79),AU79*参数!$B$38,0)-AV79*参数!$B$41-AW79*参数!$B$14-参数!$B$17)*参数!$B$18,IF(AND(F79="能力",AL79="能力持续"),(参数!$B$2-1)*参数!$B$3,0)+M79*O79*参数!$B$5*IF(AND(F79="能力",AL79="能力持续"),参数!$B$2,1)+P79*参数!$B$6*IF(AND(F79="能力",AL79="能力持续"),参数!$B$2,1)+R79*参数!$B$7*IF(AND(F79="能力",AL79="能力持续"),参数!$B$2,1)+V79*参数!$B$8+IF(X79&lt;0,X79*参数!$B$13,X79*参数!$B$39)+IF(AE79&lt;0,AE79*参数!$B$13,AE79*参数!$B$12)*参数!$B$2+AQ79*参数!$B$15+AB79*参数!$B$11+AF79*参数!$B$40*参数!$B$2+AG79*参数!$B$44*参数!$B$2+AH79*参数!$B$6*参数!$B$2+AI79*参数!$B$39*参数!$B$2+AJ79*参数!$B$6*参数!$B$2+Z79*参数!$B$13-T79*参数!$B$14-AD79*参数!$B$13+IF(ISNUMBER(AU79),AU79*参数!$B$38,0)-AV79*参数!$B$41-AW79*参数!$B$14),0),0)</f>
        <v>8</v>
      </c>
      <c r="AZ79">
        <f>AY79-MAX(AP79,0)*参数!$B$10</f>
        <v>5</v>
      </c>
      <c r="BA79">
        <f t="shared" si="3"/>
        <v>8</v>
      </c>
    </row>
    <row r="80" spans="1:53" x14ac:dyDescent="0.3">
      <c r="A80">
        <v>79</v>
      </c>
      <c r="B80" t="s">
        <v>443</v>
      </c>
      <c r="C80" t="s">
        <v>105</v>
      </c>
      <c r="D80" t="s">
        <v>444</v>
      </c>
      <c r="E80" t="s">
        <v>445</v>
      </c>
      <c r="F80" t="s">
        <v>108</v>
      </c>
      <c r="G80" t="s">
        <v>10</v>
      </c>
      <c r="H80">
        <v>1</v>
      </c>
      <c r="I80">
        <v>1</v>
      </c>
      <c r="J80" t="s">
        <v>446</v>
      </c>
      <c r="L80" t="s">
        <v>191</v>
      </c>
      <c r="M80">
        <v>4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t="s">
        <v>112</v>
      </c>
      <c r="AN80" t="s">
        <v>192</v>
      </c>
      <c r="AP80">
        <f t="shared" si="2"/>
        <v>1</v>
      </c>
      <c r="AQ80">
        <v>0</v>
      </c>
      <c r="AR80">
        <v>0</v>
      </c>
      <c r="AT80" t="s">
        <v>113</v>
      </c>
      <c r="AU80">
        <v>0</v>
      </c>
      <c r="AY80">
        <f>IFERROR(MAX(IF(IF(AND(F80="能力",AL80="能力持续"),(参数!$B$2-1)*参数!$B$3,0)+M80*O80*参数!$B$5*IF(AND(F80="能力",AL80="能力持续"),参数!$B$2,1)+P80*参数!$B$6*IF(AND(F80="能力",AL80="能力持续"),参数!$B$2,1)+R80*参数!$B$7*IF(AND(F80="能力",AL80="能力持续"),参数!$B$2,1)+V80*参数!$B$8+IF(X80&lt;0,X80*参数!$B$13,X80*参数!$B$39)+IF(AE80&lt;0,AE80*参数!$B$13,AE80*参数!$B$12)*参数!$B$2+AQ80*参数!$B$15+AB80*参数!$B$11+AF80*参数!$B$40*参数!$B$2+AG80*参数!$B$44*参数!$B$2+AH80*参数!$B$6*参数!$B$2+AI80*参数!$B$39*参数!$B$2+AJ80*参数!$B$6*参数!$B$2+Z80*参数!$B$13-T80*参数!$B$14-AD80*参数!$B$13+IF(ISNUMBER(AU80),AU80*参数!$B$38,0)-AV80*参数!$B$41-AW80*参数!$B$14&gt;参数!$B$17,参数!$B$17+SQRT(IF(AND(F80="能力",AL80="能力持续"),(参数!$B$2-1)*参数!$B$3,0)+M80*O80*参数!$B$5*IF(AND(F80="能力",AL80="能力持续"),参数!$B$2,1)+P80*参数!$B$6*IF(AND(F80="能力",AL80="能力持续"),参数!$B$2,1)+R80*参数!$B$7*IF(AND(F80="能力",AL80="能力持续"),参数!$B$2,1)+V80*参数!$B$8+IF(X80&lt;0,X80*参数!$B$13,X80*参数!$B$39)+IF(AE80&lt;0,AE80*参数!$B$13,AE80*参数!$B$12)*参数!$B$2+AQ80*参数!$B$15+AB80*参数!$B$11+AF80*参数!$B$40*参数!$B$2+AG80*参数!$B$44*参数!$B$2+AH80*参数!$B$6*参数!$B$2+AI80*参数!$B$39*参数!$B$2+AJ80*参数!$B$6*参数!$B$2+Z80*参数!$B$13-T80*参数!$B$14-AD80*参数!$B$13+IF(ISNUMBER(AU80),AU80*参数!$B$38,0)-AV80*参数!$B$41-AW80*参数!$B$14-参数!$B$17)*参数!$B$18,IF(AND(F80="能力",AL80="能力持续"),(参数!$B$2-1)*参数!$B$3,0)+M80*O80*参数!$B$5*IF(AND(F80="能力",AL80="能力持续"),参数!$B$2,1)+P80*参数!$B$6*IF(AND(F80="能力",AL80="能力持续"),参数!$B$2,1)+R80*参数!$B$7*IF(AND(F80="能力",AL80="能力持续"),参数!$B$2,1)+V80*参数!$B$8+IF(X80&lt;0,X80*参数!$B$13,X80*参数!$B$39)+IF(AE80&lt;0,AE80*参数!$B$13,AE80*参数!$B$12)*参数!$B$2+AQ80*参数!$B$15+AB80*参数!$B$11+AF80*参数!$B$40*参数!$B$2+AG80*参数!$B$44*参数!$B$2+AH80*参数!$B$6*参数!$B$2+AI80*参数!$B$39*参数!$B$2+AJ80*参数!$B$6*参数!$B$2+Z80*参数!$B$13-T80*参数!$B$14-AD80*参数!$B$13+IF(ISNUMBER(AU80),AU80*参数!$B$38,0)-AV80*参数!$B$41-AW80*参数!$B$14),0),0)</f>
        <v>5.3</v>
      </c>
      <c r="AZ80">
        <f>AY80-MAX(AP80,0)*参数!$B$10</f>
        <v>2.2999999999999998</v>
      </c>
      <c r="BA80">
        <f t="shared" si="3"/>
        <v>5.3</v>
      </c>
    </row>
    <row r="81" spans="1:53" x14ac:dyDescent="0.3">
      <c r="A81">
        <v>80</v>
      </c>
      <c r="B81" t="s">
        <v>447</v>
      </c>
      <c r="C81" t="s">
        <v>105</v>
      </c>
      <c r="D81" t="s">
        <v>448</v>
      </c>
      <c r="E81" t="s">
        <v>449</v>
      </c>
      <c r="F81" t="s">
        <v>117</v>
      </c>
      <c r="G81" t="s">
        <v>10</v>
      </c>
      <c r="H81">
        <v>1</v>
      </c>
      <c r="I81">
        <v>1</v>
      </c>
      <c r="J81" t="s">
        <v>450</v>
      </c>
      <c r="L81" t="s">
        <v>111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t="s">
        <v>112</v>
      </c>
      <c r="AP81">
        <f t="shared" si="2"/>
        <v>1</v>
      </c>
      <c r="AQ81">
        <v>0</v>
      </c>
      <c r="AR81">
        <v>0</v>
      </c>
      <c r="AT81" t="s">
        <v>113</v>
      </c>
      <c r="AU81">
        <v>0</v>
      </c>
      <c r="AY81">
        <f>IFERROR(MAX(IF(IF(AND(F81="能力",AL81="能力持续"),(参数!$B$2-1)*参数!$B$3,0)+M81*O81*参数!$B$5*IF(AND(F81="能力",AL81="能力持续"),参数!$B$2,1)+P81*参数!$B$6*IF(AND(F81="能力",AL81="能力持续"),参数!$B$2,1)+R81*参数!$B$7*IF(AND(F81="能力",AL81="能力持续"),参数!$B$2,1)+V81*参数!$B$8+IF(X81&lt;0,X81*参数!$B$13,X81*参数!$B$39)+IF(AE81&lt;0,AE81*参数!$B$13,AE81*参数!$B$12)*参数!$B$2+AQ81*参数!$B$15+AB81*参数!$B$11+AF81*参数!$B$40*参数!$B$2+AG81*参数!$B$44*参数!$B$2+AH81*参数!$B$6*参数!$B$2+AI81*参数!$B$39*参数!$B$2+AJ81*参数!$B$6*参数!$B$2+Z81*参数!$B$13-T81*参数!$B$14-AD81*参数!$B$13+IF(ISNUMBER(AU81),AU81*参数!$B$38,0)-AV81*参数!$B$41-AW81*参数!$B$14&gt;参数!$B$17,参数!$B$17+SQRT(IF(AND(F81="能力",AL81="能力持续"),(参数!$B$2-1)*参数!$B$3,0)+M81*O81*参数!$B$5*IF(AND(F81="能力",AL81="能力持续"),参数!$B$2,1)+P81*参数!$B$6*IF(AND(F81="能力",AL81="能力持续"),参数!$B$2,1)+R81*参数!$B$7*IF(AND(F81="能力",AL81="能力持续"),参数!$B$2,1)+V81*参数!$B$8+IF(X81&lt;0,X81*参数!$B$13,X81*参数!$B$39)+IF(AE81&lt;0,AE81*参数!$B$13,AE81*参数!$B$12)*参数!$B$2+AQ81*参数!$B$15+AB81*参数!$B$11+AF81*参数!$B$40*参数!$B$2+AG81*参数!$B$44*参数!$B$2+AH81*参数!$B$6*参数!$B$2+AI81*参数!$B$39*参数!$B$2+AJ81*参数!$B$6*参数!$B$2+Z81*参数!$B$13-T81*参数!$B$14-AD81*参数!$B$13+IF(ISNUMBER(AU81),AU81*参数!$B$38,0)-AV81*参数!$B$41-AW81*参数!$B$14-参数!$B$17)*参数!$B$18,IF(AND(F81="能力",AL81="能力持续"),(参数!$B$2-1)*参数!$B$3,0)+M81*O81*参数!$B$5*IF(AND(F81="能力",AL81="能力持续"),参数!$B$2,1)+P81*参数!$B$6*IF(AND(F81="能力",AL81="能力持续"),参数!$B$2,1)+R81*参数!$B$7*IF(AND(F81="能力",AL81="能力持续"),参数!$B$2,1)+V81*参数!$B$8+IF(X81&lt;0,X81*参数!$B$13,X81*参数!$B$39)+IF(AE81&lt;0,AE81*参数!$B$13,AE81*参数!$B$12)*参数!$B$2+AQ81*参数!$B$15+AB81*参数!$B$11+AF81*参数!$B$40*参数!$B$2+AG81*参数!$B$44*参数!$B$2+AH81*参数!$B$6*参数!$B$2+AI81*参数!$B$39*参数!$B$2+AJ81*参数!$B$6*参数!$B$2+Z81*参数!$B$13-T81*参数!$B$14-AD81*参数!$B$13+IF(ISNUMBER(AU81),AU81*参数!$B$38,0)-AV81*参数!$B$41-AW81*参数!$B$14),0),0)</f>
        <v>3.9000000000000004</v>
      </c>
      <c r="AZ81">
        <f>AY81-MAX(AP81,0)*参数!$B$10</f>
        <v>0.90000000000000036</v>
      </c>
      <c r="BA81">
        <f t="shared" si="3"/>
        <v>3.9000000000000004</v>
      </c>
    </row>
    <row r="82" spans="1:53" s="11" customFormat="1" x14ac:dyDescent="0.3">
      <c r="A82" s="11">
        <v>81</v>
      </c>
      <c r="B82" s="11" t="s">
        <v>451</v>
      </c>
      <c r="C82" s="11" t="s">
        <v>452</v>
      </c>
      <c r="D82" s="11" t="s">
        <v>453</v>
      </c>
      <c r="E82" s="11" t="s">
        <v>454</v>
      </c>
      <c r="F82" s="11" t="s">
        <v>124</v>
      </c>
      <c r="G82" s="11" t="s">
        <v>14</v>
      </c>
      <c r="H82" s="11">
        <v>3</v>
      </c>
      <c r="I82" s="11">
        <v>2</v>
      </c>
      <c r="J82" s="11" t="s">
        <v>455</v>
      </c>
      <c r="L82" s="11" t="s">
        <v>120</v>
      </c>
      <c r="M82" s="11">
        <v>0</v>
      </c>
      <c r="N82" s="11">
        <v>0</v>
      </c>
      <c r="O82" s="11">
        <v>1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1</v>
      </c>
      <c r="AI82" s="11">
        <v>0</v>
      </c>
      <c r="AJ82" s="11">
        <v>0</v>
      </c>
      <c r="AK82" s="11" t="s">
        <v>112</v>
      </c>
      <c r="AN82" s="11" t="s">
        <v>124</v>
      </c>
      <c r="AP82" s="11">
        <f t="shared" si="2"/>
        <v>3</v>
      </c>
      <c r="AQ82" s="11">
        <v>0</v>
      </c>
      <c r="AR82" s="11">
        <v>0</v>
      </c>
      <c r="AT82" s="11" t="s">
        <v>113</v>
      </c>
      <c r="AU82" s="11">
        <v>0</v>
      </c>
      <c r="AY82" s="11">
        <f>IFERROR(MAX(IF(IF(AND(F82="能力",AL82="能力持续"),(参数!$B$2-1)*参数!$B$3,0)+M82*O82*参数!$B$5*IF(AND(F82="能力",AL82="能力持续"),参数!$B$2,1)+P82*参数!$B$6*IF(AND(F82="能力",AL82="能力持续"),参数!$B$2,1)+R82*参数!$B$7*IF(AND(F82="能力",AL82="能力持续"),参数!$B$2,1)+V82*参数!$B$8+IF(X82&lt;0,X82*参数!$B$13,X82*参数!$B$39)+IF(AE82&lt;0,AE82*参数!$B$13,AE82*参数!$B$12)*参数!$B$2+AQ82*参数!$B$15+AB82*参数!$B$11+AF82*参数!$B$40*参数!$B$2+AG82*参数!$B$44*参数!$B$2+AH82*参数!$B$6*参数!$B$2+AI82*参数!$B$39*参数!$B$2+AJ82*参数!$B$6*参数!$B$2+Z82*参数!$B$13-T82*参数!$B$14-AD82*参数!$B$13+IF(ISNUMBER(AU82),AU82*参数!$B$38,0)-AV82*参数!$B$41-AW82*参数!$B$14&gt;参数!$B$17,参数!$B$17+SQRT(IF(AND(F82="能力",AL82="能力持续"),(参数!$B$2-1)*参数!$B$3,0)+M82*O82*参数!$B$5*IF(AND(F82="能力",AL82="能力持续"),参数!$B$2,1)+P82*参数!$B$6*IF(AND(F82="能力",AL82="能力持续"),参数!$B$2,1)+R82*参数!$B$7*IF(AND(F82="能力",AL82="能力持续"),参数!$B$2,1)+V82*参数!$B$8+IF(X82&lt;0,X82*参数!$B$13,X82*参数!$B$39)+IF(AE82&lt;0,AE82*参数!$B$13,AE82*参数!$B$12)*参数!$B$2+AQ82*参数!$B$15+AB82*参数!$B$11+AF82*参数!$B$40*参数!$B$2+AG82*参数!$B$44*参数!$B$2+AH82*参数!$B$6*参数!$B$2+AI82*参数!$B$39*参数!$B$2+AJ82*参数!$B$6*参数!$B$2+Z82*参数!$B$13-T82*参数!$B$14-AD82*参数!$B$13+IF(ISNUMBER(AU82),AU82*参数!$B$38,0)-AV82*参数!$B$41-AW82*参数!$B$14-参数!$B$17)*参数!$B$18,IF(AND(F82="能力",AL82="能力持续"),(参数!$B$2-1)*参数!$B$3,0)+M82*O82*参数!$B$5*IF(AND(F82="能力",AL82="能力持续"),参数!$B$2,1)+P82*参数!$B$6*IF(AND(F82="能力",AL82="能力持续"),参数!$B$2,1)+R82*参数!$B$7*IF(AND(F82="能力",AL82="能力持续"),参数!$B$2,1)+V82*参数!$B$8+IF(X82&lt;0,X82*参数!$B$13,X82*参数!$B$39)+IF(AE82&lt;0,AE82*参数!$B$13,AE82*参数!$B$12)*参数!$B$2+AQ82*参数!$B$15+AB82*参数!$B$11+AF82*参数!$B$40*参数!$B$2+AG82*参数!$B$44*参数!$B$2+AH82*参数!$B$6*参数!$B$2+AI82*参数!$B$39*参数!$B$2+AJ82*参数!$B$6*参数!$B$2+Z82*参数!$B$13-T82*参数!$B$14-AD82*参数!$B$13+IF(ISNUMBER(AU82),AU82*参数!$B$38,0)-AV82*参数!$B$41-AW82*参数!$B$14),0),0)</f>
        <v>4.4000000000000004</v>
      </c>
      <c r="AZ82" s="11">
        <f>AY82-MAX(AP82,0)*参数!$B$10</f>
        <v>-4.5999999999999996</v>
      </c>
      <c r="BA82" s="11">
        <f t="shared" si="3"/>
        <v>1.4666666666666668</v>
      </c>
    </row>
    <row r="83" spans="1:53" x14ac:dyDescent="0.3">
      <c r="A83">
        <v>82</v>
      </c>
      <c r="B83" t="s">
        <v>456</v>
      </c>
      <c r="C83" t="s">
        <v>452</v>
      </c>
      <c r="D83" t="s">
        <v>457</v>
      </c>
      <c r="E83" t="s">
        <v>458</v>
      </c>
      <c r="F83" t="s">
        <v>124</v>
      </c>
      <c r="G83" t="s">
        <v>14</v>
      </c>
      <c r="H83">
        <v>1</v>
      </c>
      <c r="I83">
        <v>1</v>
      </c>
      <c r="J83" t="s">
        <v>459</v>
      </c>
      <c r="L83" t="s">
        <v>120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t="s">
        <v>112</v>
      </c>
      <c r="AL83" t="s">
        <v>127</v>
      </c>
      <c r="AN83" t="s">
        <v>124</v>
      </c>
      <c r="AP83">
        <f t="shared" si="2"/>
        <v>1</v>
      </c>
      <c r="AQ83">
        <f>参数!$B$40*5</f>
        <v>5</v>
      </c>
      <c r="AR83">
        <v>0</v>
      </c>
      <c r="AT83" t="s">
        <v>113</v>
      </c>
      <c r="AU83">
        <v>0</v>
      </c>
      <c r="AY83">
        <f>IFERROR(MAX(IF(IF(AND(F83="能力",AL83="能力持续"),(参数!$B$2-1)*参数!$B$3,0)+M83*O83*参数!$B$5*IF(AND(F83="能力",AL83="能力持续"),参数!$B$2,1)+P83*参数!$B$6*IF(AND(F83="能力",AL83="能力持续"),参数!$B$2,1)+R83*参数!$B$7*IF(AND(F83="能力",AL83="能力持续"),参数!$B$2,1)+V83*参数!$B$8+IF(X83&lt;0,X83*参数!$B$13,X83*参数!$B$39)+IF(AE83&lt;0,AE83*参数!$B$13,AE83*参数!$B$12)*参数!$B$2+AQ83*参数!$B$15+AB83*参数!$B$11+AF83*参数!$B$40*参数!$B$2+AG83*参数!$B$44*参数!$B$2+AH83*参数!$B$6*参数!$B$2+AI83*参数!$B$39*参数!$B$2+AJ83*参数!$B$6*参数!$B$2+Z83*参数!$B$13-T83*参数!$B$14-AD83*参数!$B$13+IF(ISNUMBER(AU83),AU83*参数!$B$38,0)-AV83*参数!$B$41-AW83*参数!$B$14&gt;参数!$B$17,参数!$B$17+SQRT(IF(AND(F83="能力",AL83="能力持续"),(参数!$B$2-1)*参数!$B$3,0)+M83*O83*参数!$B$5*IF(AND(F83="能力",AL83="能力持续"),参数!$B$2,1)+P83*参数!$B$6*IF(AND(F83="能力",AL83="能力持续"),参数!$B$2,1)+R83*参数!$B$7*IF(AND(F83="能力",AL83="能力持续"),参数!$B$2,1)+V83*参数!$B$8+IF(X83&lt;0,X83*参数!$B$13,X83*参数!$B$39)+IF(AE83&lt;0,AE83*参数!$B$13,AE83*参数!$B$12)*参数!$B$2+AQ83*参数!$B$15+AB83*参数!$B$11+AF83*参数!$B$40*参数!$B$2+AG83*参数!$B$44*参数!$B$2+AH83*参数!$B$6*参数!$B$2+AI83*参数!$B$39*参数!$B$2+AJ83*参数!$B$6*参数!$B$2+Z83*参数!$B$13-T83*参数!$B$14-AD83*参数!$B$13+IF(ISNUMBER(AU83),AU83*参数!$B$38,0)-AV83*参数!$B$41-AW83*参数!$B$14-参数!$B$17)*参数!$B$18,IF(AND(F83="能力",AL83="能力持续"),(参数!$B$2-1)*参数!$B$3,0)+M83*O83*参数!$B$5*IF(AND(F83="能力",AL83="能力持续"),参数!$B$2,1)+P83*参数!$B$6*IF(AND(F83="能力",AL83="能力持续"),参数!$B$2,1)+R83*参数!$B$7*IF(AND(F83="能力",AL83="能力持续"),参数!$B$2,1)+V83*参数!$B$8+IF(X83&lt;0,X83*参数!$B$13,X83*参数!$B$39)+IF(AE83&lt;0,AE83*参数!$B$13,AE83*参数!$B$12)*参数!$B$2+AQ83*参数!$B$15+AB83*参数!$B$11+AF83*参数!$B$40*参数!$B$2+AG83*参数!$B$44*参数!$B$2+AH83*参数!$B$6*参数!$B$2+AI83*参数!$B$39*参数!$B$2+AJ83*参数!$B$6*参数!$B$2+Z83*参数!$B$13-T83*参数!$B$14-AD83*参数!$B$13+IF(ISNUMBER(AU83),AU83*参数!$B$38,0)-AV83*参数!$B$41-AW83*参数!$B$14),0),0)</f>
        <v>14.398863489584555</v>
      </c>
      <c r="AZ83">
        <f>AY83-MAX(AP83,0)*参数!$B$10</f>
        <v>11.398863489584555</v>
      </c>
      <c r="BA83">
        <f t="shared" si="3"/>
        <v>14.398863489584555</v>
      </c>
    </row>
    <row r="84" spans="1:53" x14ac:dyDescent="0.3">
      <c r="A84">
        <v>83</v>
      </c>
      <c r="B84" t="s">
        <v>460</v>
      </c>
      <c r="C84" t="s">
        <v>452</v>
      </c>
      <c r="D84" t="s">
        <v>461</v>
      </c>
      <c r="E84" t="s">
        <v>462</v>
      </c>
      <c r="F84" t="s">
        <v>124</v>
      </c>
      <c r="G84" t="s">
        <v>12</v>
      </c>
      <c r="H84">
        <v>1</v>
      </c>
      <c r="I84">
        <v>1</v>
      </c>
      <c r="J84" t="s">
        <v>463</v>
      </c>
      <c r="L84" t="s">
        <v>120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 t="s">
        <v>112</v>
      </c>
      <c r="AL84" t="s">
        <v>127</v>
      </c>
      <c r="AN84" t="s">
        <v>124</v>
      </c>
      <c r="AP84">
        <f t="shared" si="2"/>
        <v>1</v>
      </c>
      <c r="AQ84">
        <v>12</v>
      </c>
      <c r="AR84">
        <v>0</v>
      </c>
      <c r="AT84" t="s">
        <v>113</v>
      </c>
      <c r="AU84">
        <v>0</v>
      </c>
      <c r="AY84">
        <f>IFERROR(MAX(IF(IF(AND(F84="能力",AL84="能力持续"),(参数!$B$2-1)*参数!$B$3,0)+M84*O84*参数!$B$5*IF(AND(F84="能力",AL84="能力持续"),参数!$B$2,1)+P84*参数!$B$6*IF(AND(F84="能力",AL84="能力持续"),参数!$B$2,1)+R84*参数!$B$7*IF(AND(F84="能力",AL84="能力持续"),参数!$B$2,1)+V84*参数!$B$8+IF(X84&lt;0,X84*参数!$B$13,X84*参数!$B$39)+IF(AE84&lt;0,AE84*参数!$B$13,AE84*参数!$B$12)*参数!$B$2+AQ84*参数!$B$15+AB84*参数!$B$11+AF84*参数!$B$40*参数!$B$2+AG84*参数!$B$44*参数!$B$2+AH84*参数!$B$6*参数!$B$2+AI84*参数!$B$39*参数!$B$2+AJ84*参数!$B$6*参数!$B$2+Z84*参数!$B$13-T84*参数!$B$14-AD84*参数!$B$13+IF(ISNUMBER(AU84),AU84*参数!$B$38,0)-AV84*参数!$B$41-AW84*参数!$B$14&gt;参数!$B$17,参数!$B$17+SQRT(IF(AND(F84="能力",AL84="能力持续"),(参数!$B$2-1)*参数!$B$3,0)+M84*O84*参数!$B$5*IF(AND(F84="能力",AL84="能力持续"),参数!$B$2,1)+P84*参数!$B$6*IF(AND(F84="能力",AL84="能力持续"),参数!$B$2,1)+R84*参数!$B$7*IF(AND(F84="能力",AL84="能力持续"),参数!$B$2,1)+V84*参数!$B$8+IF(X84&lt;0,X84*参数!$B$13,X84*参数!$B$39)+IF(AE84&lt;0,AE84*参数!$B$13,AE84*参数!$B$12)*参数!$B$2+AQ84*参数!$B$15+AB84*参数!$B$11+AF84*参数!$B$40*参数!$B$2+AG84*参数!$B$44*参数!$B$2+AH84*参数!$B$6*参数!$B$2+AI84*参数!$B$39*参数!$B$2+AJ84*参数!$B$6*参数!$B$2+Z84*参数!$B$13-T84*参数!$B$14-AD84*参数!$B$13+IF(ISNUMBER(AU84),AU84*参数!$B$38,0)-AV84*参数!$B$41-AW84*参数!$B$14-参数!$B$17)*参数!$B$18,IF(AND(F84="能力",AL84="能力持续"),(参数!$B$2-1)*参数!$B$3,0)+M84*O84*参数!$B$5*IF(AND(F84="能力",AL84="能力持续"),参数!$B$2,1)+P84*参数!$B$6*IF(AND(F84="能力",AL84="能力持续"),参数!$B$2,1)+R84*参数!$B$7*IF(AND(F84="能力",AL84="能力持续"),参数!$B$2,1)+V84*参数!$B$8+IF(X84&lt;0,X84*参数!$B$13,X84*参数!$B$39)+IF(AE84&lt;0,AE84*参数!$B$13,AE84*参数!$B$12)*参数!$B$2+AQ84*参数!$B$15+AB84*参数!$B$11+AF84*参数!$B$40*参数!$B$2+AG84*参数!$B$44*参数!$B$2+AH84*参数!$B$6*参数!$B$2+AI84*参数!$B$39*参数!$B$2+AJ84*参数!$B$6*参数!$B$2+Z84*参数!$B$13-T84*参数!$B$14-AD84*参数!$B$13+IF(ISNUMBER(AU84),AU84*参数!$B$38,0)-AV84*参数!$B$41-AW84*参数!$B$14),0),0)</f>
        <v>18.160882305241266</v>
      </c>
      <c r="AZ84">
        <f>AY84-MAX(AP84,0)*参数!$B$10</f>
        <v>15.160882305241266</v>
      </c>
      <c r="BA84">
        <f t="shared" si="3"/>
        <v>18.160882305241266</v>
      </c>
    </row>
    <row r="85" spans="1:53" x14ac:dyDescent="0.3">
      <c r="A85">
        <v>84</v>
      </c>
      <c r="B85" t="s">
        <v>464</v>
      </c>
      <c r="C85" t="s">
        <v>452</v>
      </c>
      <c r="D85" t="s">
        <v>465</v>
      </c>
      <c r="E85" t="s">
        <v>466</v>
      </c>
      <c r="F85" t="s">
        <v>117</v>
      </c>
      <c r="G85" t="s">
        <v>10</v>
      </c>
      <c r="H85">
        <v>1</v>
      </c>
      <c r="I85">
        <v>1</v>
      </c>
      <c r="J85" t="s">
        <v>467</v>
      </c>
      <c r="L85" t="s">
        <v>120</v>
      </c>
      <c r="M85">
        <v>0</v>
      </c>
      <c r="N85">
        <v>0</v>
      </c>
      <c r="O85">
        <v>1</v>
      </c>
      <c r="P85">
        <v>0</v>
      </c>
      <c r="Q85">
        <v>0</v>
      </c>
      <c r="R85">
        <v>3</v>
      </c>
      <c r="S85">
        <v>4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t="s">
        <v>112</v>
      </c>
      <c r="AP85">
        <f t="shared" si="2"/>
        <v>1</v>
      </c>
      <c r="AQ85">
        <v>0</v>
      </c>
      <c r="AR85">
        <v>0</v>
      </c>
      <c r="AT85" t="s">
        <v>113</v>
      </c>
      <c r="AU85">
        <v>0</v>
      </c>
      <c r="AY85">
        <f>IFERROR(MAX(IF(IF(AND(F85="能力",AL85="能力持续"),(参数!$B$2-1)*参数!$B$3,0)+M85*O85*参数!$B$5*IF(AND(F85="能力",AL85="能力持续"),参数!$B$2,1)+P85*参数!$B$6*IF(AND(F85="能力",AL85="能力持续"),参数!$B$2,1)+R85*参数!$B$7*IF(AND(F85="能力",AL85="能力持续"),参数!$B$2,1)+V85*参数!$B$8+IF(X85&lt;0,X85*参数!$B$13,X85*参数!$B$39)+IF(AE85&lt;0,AE85*参数!$B$13,AE85*参数!$B$12)*参数!$B$2+AQ85*参数!$B$15+AB85*参数!$B$11+AF85*参数!$B$40*参数!$B$2+AG85*参数!$B$44*参数!$B$2+AH85*参数!$B$6*参数!$B$2+AI85*参数!$B$39*参数!$B$2+AJ85*参数!$B$6*参数!$B$2+Z85*参数!$B$13-T85*参数!$B$14-AD85*参数!$B$13+IF(ISNUMBER(AU85),AU85*参数!$B$38,0)-AV85*参数!$B$41-AW85*参数!$B$14&gt;参数!$B$17,参数!$B$17+SQRT(IF(AND(F85="能力",AL85="能力持续"),(参数!$B$2-1)*参数!$B$3,0)+M85*O85*参数!$B$5*IF(AND(F85="能力",AL85="能力持续"),参数!$B$2,1)+P85*参数!$B$6*IF(AND(F85="能力",AL85="能力持续"),参数!$B$2,1)+R85*参数!$B$7*IF(AND(F85="能力",AL85="能力持续"),参数!$B$2,1)+V85*参数!$B$8+IF(X85&lt;0,X85*参数!$B$13,X85*参数!$B$39)+IF(AE85&lt;0,AE85*参数!$B$13,AE85*参数!$B$12)*参数!$B$2+AQ85*参数!$B$15+AB85*参数!$B$11+AF85*参数!$B$40*参数!$B$2+AG85*参数!$B$44*参数!$B$2+AH85*参数!$B$6*参数!$B$2+AI85*参数!$B$39*参数!$B$2+AJ85*参数!$B$6*参数!$B$2+Z85*参数!$B$13-T85*参数!$B$14-AD85*参数!$B$13+IF(ISNUMBER(AU85),AU85*参数!$B$38,0)-AV85*参数!$B$41-AW85*参数!$B$14-参数!$B$17)*参数!$B$18,IF(AND(F85="能力",AL85="能力持续"),(参数!$B$2-1)*参数!$B$3,0)+M85*O85*参数!$B$5*IF(AND(F85="能力",AL85="能力持续"),参数!$B$2,1)+P85*参数!$B$6*IF(AND(F85="能力",AL85="能力持续"),参数!$B$2,1)+R85*参数!$B$7*IF(AND(F85="能力",AL85="能力持续"),参数!$B$2,1)+V85*参数!$B$8+IF(X85&lt;0,X85*参数!$B$13,X85*参数!$B$39)+IF(AE85&lt;0,AE85*参数!$B$13,AE85*参数!$B$12)*参数!$B$2+AQ85*参数!$B$15+AB85*参数!$B$11+AF85*参数!$B$40*参数!$B$2+AG85*参数!$B$44*参数!$B$2+AH85*参数!$B$6*参数!$B$2+AI85*参数!$B$39*参数!$B$2+AJ85*参数!$B$6*参数!$B$2+Z85*参数!$B$13-T85*参数!$B$14-AD85*参数!$B$13+IF(ISNUMBER(AU85),AU85*参数!$B$38,0)-AV85*参数!$B$41-AW85*参数!$B$14),0),0)</f>
        <v>1.7999999999999996</v>
      </c>
      <c r="AZ85">
        <f>AY85-MAX(AP85,0)*参数!$B$10</f>
        <v>-1.2000000000000004</v>
      </c>
      <c r="BA85">
        <f t="shared" si="3"/>
        <v>1.7999999999999996</v>
      </c>
    </row>
    <row r="86" spans="1:53" x14ac:dyDescent="0.3">
      <c r="A86">
        <v>85</v>
      </c>
      <c r="B86" t="s">
        <v>468</v>
      </c>
      <c r="C86" t="s">
        <v>452</v>
      </c>
      <c r="D86" t="s">
        <v>469</v>
      </c>
      <c r="E86" t="s">
        <v>470</v>
      </c>
      <c r="F86" t="s">
        <v>117</v>
      </c>
      <c r="G86" t="s">
        <v>14</v>
      </c>
      <c r="H86">
        <v>0</v>
      </c>
      <c r="I86">
        <v>0</v>
      </c>
      <c r="J86" t="s">
        <v>471</v>
      </c>
      <c r="K86" t="s">
        <v>472</v>
      </c>
      <c r="L86" t="s">
        <v>120</v>
      </c>
      <c r="M86">
        <v>0</v>
      </c>
      <c r="N86">
        <v>0</v>
      </c>
      <c r="O86">
        <v>1</v>
      </c>
      <c r="P86">
        <v>0</v>
      </c>
      <c r="Q86">
        <v>0</v>
      </c>
      <c r="R86">
        <v>2</v>
      </c>
      <c r="S86">
        <v>2</v>
      </c>
      <c r="T86">
        <v>0</v>
      </c>
      <c r="U86">
        <v>0</v>
      </c>
      <c r="V86">
        <v>1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112</v>
      </c>
      <c r="AO86" t="s">
        <v>472</v>
      </c>
      <c r="AP86">
        <f t="shared" si="2"/>
        <v>0.4</v>
      </c>
      <c r="AQ86">
        <v>0</v>
      </c>
      <c r="AR86">
        <v>0</v>
      </c>
      <c r="AT86" t="s">
        <v>113</v>
      </c>
      <c r="AU86">
        <v>0</v>
      </c>
      <c r="AY86">
        <f>IFERROR(MAX(IF(IF(AND(F86="能力",AL86="能力持续"),(参数!$B$2-1)*参数!$B$3,0)+M86*O86*参数!$B$5*IF(AND(F86="能力",AL86="能力持续"),参数!$B$2,1)+P86*参数!$B$6*IF(AND(F86="能力",AL86="能力持续"),参数!$B$2,1)+R86*参数!$B$7*IF(AND(F86="能力",AL86="能力持续"),参数!$B$2,1)+V86*参数!$B$8+IF(X86&lt;0,X86*参数!$B$13,X86*参数!$B$39)+IF(AE86&lt;0,AE86*参数!$B$13,AE86*参数!$B$12)*参数!$B$2+AQ86*参数!$B$15+AB86*参数!$B$11+AF86*参数!$B$40*参数!$B$2+AG86*参数!$B$44*参数!$B$2+AH86*参数!$B$6*参数!$B$2+AI86*参数!$B$39*参数!$B$2+AJ86*参数!$B$6*参数!$B$2+Z86*参数!$B$13-T86*参数!$B$14-AD86*参数!$B$13+IF(ISNUMBER(AU86),AU86*参数!$B$38,0)-AV86*参数!$B$41-AW86*参数!$B$14&gt;参数!$B$17,参数!$B$17+SQRT(IF(AND(F86="能力",AL86="能力持续"),(参数!$B$2-1)*参数!$B$3,0)+M86*O86*参数!$B$5*IF(AND(F86="能力",AL86="能力持续"),参数!$B$2,1)+P86*参数!$B$6*IF(AND(F86="能力",AL86="能力持续"),参数!$B$2,1)+R86*参数!$B$7*IF(AND(F86="能力",AL86="能力持续"),参数!$B$2,1)+V86*参数!$B$8+IF(X86&lt;0,X86*参数!$B$13,X86*参数!$B$39)+IF(AE86&lt;0,AE86*参数!$B$13,AE86*参数!$B$12)*参数!$B$2+AQ86*参数!$B$15+AB86*参数!$B$11+AF86*参数!$B$40*参数!$B$2+AG86*参数!$B$44*参数!$B$2+AH86*参数!$B$6*参数!$B$2+AI86*参数!$B$39*参数!$B$2+AJ86*参数!$B$6*参数!$B$2+Z86*参数!$B$13-T86*参数!$B$14-AD86*参数!$B$13+IF(ISNUMBER(AU86),AU86*参数!$B$38,0)-AV86*参数!$B$41-AW86*参数!$B$14-参数!$B$17)*参数!$B$18,IF(AND(F86="能力",AL86="能力持续"),(参数!$B$2-1)*参数!$B$3,0)+M86*O86*参数!$B$5*IF(AND(F86="能力",AL86="能力持续"),参数!$B$2,1)+P86*参数!$B$6*IF(AND(F86="能力",AL86="能力持续"),参数!$B$2,1)+R86*参数!$B$7*IF(AND(F86="能力",AL86="能力持续"),参数!$B$2,1)+V86*参数!$B$8+IF(X86&lt;0,X86*参数!$B$13,X86*参数!$B$39)+IF(AE86&lt;0,AE86*参数!$B$13,AE86*参数!$B$12)*参数!$B$2+AQ86*参数!$B$15+AB86*参数!$B$11+AF86*参数!$B$40*参数!$B$2+AG86*参数!$B$44*参数!$B$2+AH86*参数!$B$6*参数!$B$2+AI86*参数!$B$39*参数!$B$2+AJ86*参数!$B$6*参数!$B$2+Z86*参数!$B$13-T86*参数!$B$14-AD86*参数!$B$13+IF(ISNUMBER(AU86),AU86*参数!$B$38,0)-AV86*参数!$B$41-AW86*参数!$B$14),0),0)</f>
        <v>4.4000000000000004</v>
      </c>
      <c r="AZ86">
        <f>AY86-MAX(AP86,0)*参数!$B$10</f>
        <v>3.2</v>
      </c>
      <c r="BA86">
        <f t="shared" si="3"/>
        <v>11</v>
      </c>
    </row>
    <row r="87" spans="1:53" x14ac:dyDescent="0.3">
      <c r="A87">
        <v>86</v>
      </c>
      <c r="B87" t="s">
        <v>473</v>
      </c>
      <c r="C87" t="s">
        <v>452</v>
      </c>
      <c r="D87" t="s">
        <v>474</v>
      </c>
      <c r="E87" t="s">
        <v>475</v>
      </c>
      <c r="F87" t="s">
        <v>124</v>
      </c>
      <c r="G87" t="s">
        <v>14</v>
      </c>
      <c r="H87">
        <v>1</v>
      </c>
      <c r="I87">
        <v>1</v>
      </c>
      <c r="J87" t="s">
        <v>476</v>
      </c>
      <c r="L87" t="s">
        <v>120</v>
      </c>
      <c r="M87">
        <v>0</v>
      </c>
      <c r="N87">
        <v>0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112</v>
      </c>
      <c r="AL87" t="s">
        <v>127</v>
      </c>
      <c r="AN87" t="s">
        <v>124</v>
      </c>
      <c r="AP87">
        <f t="shared" si="2"/>
        <v>1</v>
      </c>
      <c r="AQ87">
        <v>0</v>
      </c>
      <c r="AR87">
        <v>0</v>
      </c>
      <c r="AT87" t="s">
        <v>113</v>
      </c>
      <c r="AU87">
        <v>0</v>
      </c>
      <c r="AY87">
        <f>IFERROR(MAX(IF(IF(AND(F87="能力",AL87="能力持续"),(参数!$B$2-1)*参数!$B$3,0)+M87*O87*参数!$B$5*IF(AND(F87="能力",AL87="能力持续"),参数!$B$2,1)+P87*参数!$B$6*IF(AND(F87="能力",AL87="能力持续"),参数!$B$2,1)+R87*参数!$B$7*IF(AND(F87="能力",AL87="能力持续"),参数!$B$2,1)+V87*参数!$B$8+IF(X87&lt;0,X87*参数!$B$13,X87*参数!$B$39)+IF(AE87&lt;0,AE87*参数!$B$13,AE87*参数!$B$12)*参数!$B$2+AQ87*参数!$B$15+AB87*参数!$B$11+AF87*参数!$B$40*参数!$B$2+AG87*参数!$B$44*参数!$B$2+AH87*参数!$B$6*参数!$B$2+AI87*参数!$B$39*参数!$B$2+AJ87*参数!$B$6*参数!$B$2+Z87*参数!$B$13-T87*参数!$B$14-AD87*参数!$B$13+IF(ISNUMBER(AU87),AU87*参数!$B$38,0)-AV87*参数!$B$41-AW87*参数!$B$14&gt;参数!$B$17,参数!$B$17+SQRT(IF(AND(F87="能力",AL87="能力持续"),(参数!$B$2-1)*参数!$B$3,0)+M87*O87*参数!$B$5*IF(AND(F87="能力",AL87="能力持续"),参数!$B$2,1)+P87*参数!$B$6*IF(AND(F87="能力",AL87="能力持续"),参数!$B$2,1)+R87*参数!$B$7*IF(AND(F87="能力",AL87="能力持续"),参数!$B$2,1)+V87*参数!$B$8+IF(X87&lt;0,X87*参数!$B$13,X87*参数!$B$39)+IF(AE87&lt;0,AE87*参数!$B$13,AE87*参数!$B$12)*参数!$B$2+AQ87*参数!$B$15+AB87*参数!$B$11+AF87*参数!$B$40*参数!$B$2+AG87*参数!$B$44*参数!$B$2+AH87*参数!$B$6*参数!$B$2+AI87*参数!$B$39*参数!$B$2+AJ87*参数!$B$6*参数!$B$2+Z87*参数!$B$13-T87*参数!$B$14-AD87*参数!$B$13+IF(ISNUMBER(AU87),AU87*参数!$B$38,0)-AV87*参数!$B$41-AW87*参数!$B$14-参数!$B$17)*参数!$B$18,IF(AND(F87="能力",AL87="能力持续"),(参数!$B$2-1)*参数!$B$3,0)+M87*O87*参数!$B$5*IF(AND(F87="能力",AL87="能力持续"),参数!$B$2,1)+P87*参数!$B$6*IF(AND(F87="能力",AL87="能力持续"),参数!$B$2,1)+R87*参数!$B$7*IF(AND(F87="能力",AL87="能力持续"),参数!$B$2,1)+V87*参数!$B$8+IF(X87&lt;0,X87*参数!$B$13,X87*参数!$B$39)+IF(AE87&lt;0,AE87*参数!$B$13,AE87*参数!$B$12)*参数!$B$2+AQ87*参数!$B$15+AB87*参数!$B$11+AF87*参数!$B$40*参数!$B$2+AG87*参数!$B$44*参数!$B$2+AH87*参数!$B$6*参数!$B$2+AI87*参数!$B$39*参数!$B$2+AJ87*参数!$B$6*参数!$B$2+Z87*参数!$B$13-T87*参数!$B$14-AD87*参数!$B$13+IF(ISNUMBER(AU87),AU87*参数!$B$38,0)-AV87*参数!$B$41-AW87*参数!$B$14),0),0)</f>
        <v>8</v>
      </c>
      <c r="AZ87">
        <f>AY87-MAX(AP87,0)*参数!$B$10</f>
        <v>5</v>
      </c>
      <c r="BA87">
        <f t="shared" si="3"/>
        <v>8</v>
      </c>
    </row>
    <row r="88" spans="1:53" x14ac:dyDescent="0.3">
      <c r="A88">
        <v>87</v>
      </c>
      <c r="B88" t="s">
        <v>477</v>
      </c>
      <c r="C88" t="s">
        <v>452</v>
      </c>
      <c r="D88" t="s">
        <v>478</v>
      </c>
      <c r="E88" t="s">
        <v>479</v>
      </c>
      <c r="F88" t="s">
        <v>117</v>
      </c>
      <c r="G88" t="s">
        <v>10</v>
      </c>
      <c r="H88">
        <v>0</v>
      </c>
      <c r="I88">
        <v>0</v>
      </c>
      <c r="J88" t="s">
        <v>480</v>
      </c>
      <c r="L88" t="s">
        <v>120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 t="s">
        <v>112</v>
      </c>
      <c r="AN88" t="s">
        <v>161</v>
      </c>
      <c r="AP88">
        <f t="shared" si="2"/>
        <v>0.4</v>
      </c>
      <c r="AQ88">
        <v>0</v>
      </c>
      <c r="AR88">
        <v>0</v>
      </c>
      <c r="AT88" t="s">
        <v>113</v>
      </c>
      <c r="AU88">
        <v>0</v>
      </c>
      <c r="AY88">
        <f>IFERROR(MAX(IF(IF(AND(F88="能力",AL88="能力持续"),(参数!$B$2-1)*参数!$B$3,0)+M88*O88*参数!$B$5*IF(AND(F88="能力",AL88="能力持续"),参数!$B$2,1)+P88*参数!$B$6*IF(AND(F88="能力",AL88="能力持续"),参数!$B$2,1)+R88*参数!$B$7*IF(AND(F88="能力",AL88="能力持续"),参数!$B$2,1)+V88*参数!$B$8+IF(X88&lt;0,X88*参数!$B$13,X88*参数!$B$39)+IF(AE88&lt;0,AE88*参数!$B$13,AE88*参数!$B$12)*参数!$B$2+AQ88*参数!$B$15+AB88*参数!$B$11+AF88*参数!$B$40*参数!$B$2+AG88*参数!$B$44*参数!$B$2+AH88*参数!$B$6*参数!$B$2+AI88*参数!$B$39*参数!$B$2+AJ88*参数!$B$6*参数!$B$2+Z88*参数!$B$13-T88*参数!$B$14-AD88*参数!$B$13+IF(ISNUMBER(AU88),AU88*参数!$B$38,0)-AV88*参数!$B$41-AW88*参数!$B$14&gt;参数!$B$17,参数!$B$17+SQRT(IF(AND(F88="能力",AL88="能力持续"),(参数!$B$2-1)*参数!$B$3,0)+M88*O88*参数!$B$5*IF(AND(F88="能力",AL88="能力持续"),参数!$B$2,1)+P88*参数!$B$6*IF(AND(F88="能力",AL88="能力持续"),参数!$B$2,1)+R88*参数!$B$7*IF(AND(F88="能力",AL88="能力持续"),参数!$B$2,1)+V88*参数!$B$8+IF(X88&lt;0,X88*参数!$B$13,X88*参数!$B$39)+IF(AE88&lt;0,AE88*参数!$B$13,AE88*参数!$B$12)*参数!$B$2+AQ88*参数!$B$15+AB88*参数!$B$11+AF88*参数!$B$40*参数!$B$2+AG88*参数!$B$44*参数!$B$2+AH88*参数!$B$6*参数!$B$2+AI88*参数!$B$39*参数!$B$2+AJ88*参数!$B$6*参数!$B$2+Z88*参数!$B$13-T88*参数!$B$14-AD88*参数!$B$13+IF(ISNUMBER(AU88),AU88*参数!$B$38,0)-AV88*参数!$B$41-AW88*参数!$B$14-参数!$B$17)*参数!$B$18,IF(AND(F88="能力",AL88="能力持续"),(参数!$B$2-1)*参数!$B$3,0)+M88*O88*参数!$B$5*IF(AND(F88="能力",AL88="能力持续"),参数!$B$2,1)+P88*参数!$B$6*IF(AND(F88="能力",AL88="能力持续"),参数!$B$2,1)+R88*参数!$B$7*IF(AND(F88="能力",AL88="能力持续"),参数!$B$2,1)+V88*参数!$B$8+IF(X88&lt;0,X88*参数!$B$13,X88*参数!$B$39)+IF(AE88&lt;0,AE88*参数!$B$13,AE88*参数!$B$12)*参数!$B$2+AQ88*参数!$B$15+AB88*参数!$B$11+AF88*参数!$B$40*参数!$B$2+AG88*参数!$B$44*参数!$B$2+AH88*参数!$B$6*参数!$B$2+AI88*参数!$B$39*参数!$B$2+AJ88*参数!$B$6*参数!$B$2+Z88*参数!$B$13-T88*参数!$B$14-AD88*参数!$B$13+IF(ISNUMBER(AU88),AU88*参数!$B$38,0)-AV88*参数!$B$41-AW88*参数!$B$14),0),0)</f>
        <v>8.8000000000000007</v>
      </c>
      <c r="AZ88">
        <f>AY88-MAX(AP88,0)*参数!$B$10</f>
        <v>7.6000000000000005</v>
      </c>
      <c r="BA88">
        <f t="shared" si="3"/>
        <v>22</v>
      </c>
    </row>
    <row r="89" spans="1:53" x14ac:dyDescent="0.3">
      <c r="A89">
        <v>88</v>
      </c>
      <c r="B89" t="s">
        <v>481</v>
      </c>
      <c r="C89" t="s">
        <v>452</v>
      </c>
      <c r="D89" t="s">
        <v>482</v>
      </c>
      <c r="E89" t="s">
        <v>483</v>
      </c>
      <c r="F89" t="s">
        <v>108</v>
      </c>
      <c r="G89" t="s">
        <v>14</v>
      </c>
      <c r="H89">
        <v>0</v>
      </c>
      <c r="I89">
        <v>0</v>
      </c>
      <c r="J89" t="s">
        <v>484</v>
      </c>
      <c r="L89" t="s">
        <v>111</v>
      </c>
      <c r="M89">
        <v>10</v>
      </c>
      <c r="N89">
        <v>13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112</v>
      </c>
      <c r="AP89">
        <f t="shared" si="2"/>
        <v>0.4</v>
      </c>
      <c r="AQ89">
        <v>0</v>
      </c>
      <c r="AR89">
        <v>0</v>
      </c>
      <c r="AT89" t="s">
        <v>113</v>
      </c>
      <c r="AU89">
        <v>0</v>
      </c>
      <c r="AY89">
        <f>IFERROR(MAX(IF(IF(AND(F89="能力",AL89="能力持续"),(参数!$B$2-1)*参数!$B$3,0)+M89*O89*参数!$B$5*IF(AND(F89="能力",AL89="能力持续"),参数!$B$2,1)+P89*参数!$B$6*IF(AND(F89="能力",AL89="能力持续"),参数!$B$2,1)+R89*参数!$B$7*IF(AND(F89="能力",AL89="能力持续"),参数!$B$2,1)+V89*参数!$B$8+IF(X89&lt;0,X89*参数!$B$13,X89*参数!$B$39)+IF(AE89&lt;0,AE89*参数!$B$13,AE89*参数!$B$12)*参数!$B$2+AQ89*参数!$B$15+AB89*参数!$B$11+AF89*参数!$B$40*参数!$B$2+AG89*参数!$B$44*参数!$B$2+AH89*参数!$B$6*参数!$B$2+AI89*参数!$B$39*参数!$B$2+AJ89*参数!$B$6*参数!$B$2+Z89*参数!$B$13-T89*参数!$B$14-AD89*参数!$B$13+IF(ISNUMBER(AU89),AU89*参数!$B$38,0)-AV89*参数!$B$41-AW89*参数!$B$14&gt;参数!$B$17,参数!$B$17+SQRT(IF(AND(F89="能力",AL89="能力持续"),(参数!$B$2-1)*参数!$B$3,0)+M89*O89*参数!$B$5*IF(AND(F89="能力",AL89="能力持续"),参数!$B$2,1)+P89*参数!$B$6*IF(AND(F89="能力",AL89="能力持续"),参数!$B$2,1)+R89*参数!$B$7*IF(AND(F89="能力",AL89="能力持续"),参数!$B$2,1)+V89*参数!$B$8+IF(X89&lt;0,X89*参数!$B$13,X89*参数!$B$39)+IF(AE89&lt;0,AE89*参数!$B$13,AE89*参数!$B$12)*参数!$B$2+AQ89*参数!$B$15+AB89*参数!$B$11+AF89*参数!$B$40*参数!$B$2+AG89*参数!$B$44*参数!$B$2+AH89*参数!$B$6*参数!$B$2+AI89*参数!$B$39*参数!$B$2+AJ89*参数!$B$6*参数!$B$2+Z89*参数!$B$13-T89*参数!$B$14-AD89*参数!$B$13+IF(ISNUMBER(AU89),AU89*参数!$B$38,0)-AV89*参数!$B$41-AW89*参数!$B$14-参数!$B$17)*参数!$B$18,IF(AND(F89="能力",AL89="能力持续"),(参数!$B$2-1)*参数!$B$3,0)+M89*O89*参数!$B$5*IF(AND(F89="能力",AL89="能力持续"),参数!$B$2,1)+P89*参数!$B$6*IF(AND(F89="能力",AL89="能力持续"),参数!$B$2,1)+R89*参数!$B$7*IF(AND(F89="能力",AL89="能力持续"),参数!$B$2,1)+V89*参数!$B$8+IF(X89&lt;0,X89*参数!$B$13,X89*参数!$B$39)+IF(AE89&lt;0,AE89*参数!$B$13,AE89*参数!$B$12)*参数!$B$2+AQ89*参数!$B$15+AB89*参数!$B$11+AF89*参数!$B$40*参数!$B$2+AG89*参数!$B$44*参数!$B$2+AH89*参数!$B$6*参数!$B$2+AI89*参数!$B$39*参数!$B$2+AJ89*参数!$B$6*参数!$B$2+Z89*参数!$B$13-T89*参数!$B$14-AD89*参数!$B$13+IF(ISNUMBER(AU89),AU89*参数!$B$38,0)-AV89*参数!$B$41-AW89*参数!$B$14),0),0)</f>
        <v>11.710263137648708</v>
      </c>
      <c r="AZ89">
        <f>AY89-MAX(AP89,0)*参数!$B$10</f>
        <v>10.510263137648707</v>
      </c>
      <c r="BA89">
        <f t="shared" si="3"/>
        <v>29.275657844121767</v>
      </c>
    </row>
    <row r="90" spans="1:53" x14ac:dyDescent="0.3">
      <c r="A90">
        <v>89</v>
      </c>
      <c r="B90" t="s">
        <v>485</v>
      </c>
      <c r="C90" t="s">
        <v>452</v>
      </c>
      <c r="D90" t="s">
        <v>486</v>
      </c>
      <c r="E90" t="s">
        <v>487</v>
      </c>
      <c r="F90" t="s">
        <v>117</v>
      </c>
      <c r="G90" t="s">
        <v>10</v>
      </c>
      <c r="H90">
        <v>1</v>
      </c>
      <c r="I90">
        <v>1</v>
      </c>
      <c r="J90" t="s">
        <v>488</v>
      </c>
      <c r="L90" t="s">
        <v>120</v>
      </c>
      <c r="M90">
        <v>0</v>
      </c>
      <c r="N90">
        <v>0</v>
      </c>
      <c r="O90">
        <v>1</v>
      </c>
      <c r="P90">
        <v>5</v>
      </c>
      <c r="Q90">
        <v>8</v>
      </c>
      <c r="R90">
        <v>2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t="s">
        <v>112</v>
      </c>
      <c r="AP90">
        <f t="shared" si="2"/>
        <v>1</v>
      </c>
      <c r="AQ90">
        <v>0</v>
      </c>
      <c r="AR90">
        <v>0</v>
      </c>
      <c r="AT90" t="s">
        <v>113</v>
      </c>
      <c r="AU90">
        <v>0</v>
      </c>
      <c r="AY90">
        <f>IFERROR(MAX(IF(IF(AND(F90="能力",AL90="能力持续"),(参数!$B$2-1)*参数!$B$3,0)+M90*O90*参数!$B$5*IF(AND(F90="能力",AL90="能力持续"),参数!$B$2,1)+P90*参数!$B$6*IF(AND(F90="能力",AL90="能力持续"),参数!$B$2,1)+R90*参数!$B$7*IF(AND(F90="能力",AL90="能力持续"),参数!$B$2,1)+V90*参数!$B$8+IF(X90&lt;0,X90*参数!$B$13,X90*参数!$B$39)+IF(AE90&lt;0,AE90*参数!$B$13,AE90*参数!$B$12)*参数!$B$2+AQ90*参数!$B$15+AB90*参数!$B$11+AF90*参数!$B$40*参数!$B$2+AG90*参数!$B$44*参数!$B$2+AH90*参数!$B$6*参数!$B$2+AI90*参数!$B$39*参数!$B$2+AJ90*参数!$B$6*参数!$B$2+Z90*参数!$B$13-T90*参数!$B$14-AD90*参数!$B$13+IF(ISNUMBER(AU90),AU90*参数!$B$38,0)-AV90*参数!$B$41-AW90*参数!$B$14&gt;参数!$B$17,参数!$B$17+SQRT(IF(AND(F90="能力",AL90="能力持续"),(参数!$B$2-1)*参数!$B$3,0)+M90*O90*参数!$B$5*IF(AND(F90="能力",AL90="能力持续"),参数!$B$2,1)+P90*参数!$B$6*IF(AND(F90="能力",AL90="能力持续"),参数!$B$2,1)+R90*参数!$B$7*IF(AND(F90="能力",AL90="能力持续"),参数!$B$2,1)+V90*参数!$B$8+IF(X90&lt;0,X90*参数!$B$13,X90*参数!$B$39)+IF(AE90&lt;0,AE90*参数!$B$13,AE90*参数!$B$12)*参数!$B$2+AQ90*参数!$B$15+AB90*参数!$B$11+AF90*参数!$B$40*参数!$B$2+AG90*参数!$B$44*参数!$B$2+AH90*参数!$B$6*参数!$B$2+AI90*参数!$B$39*参数!$B$2+AJ90*参数!$B$6*参数!$B$2+Z90*参数!$B$13-T90*参数!$B$14-AD90*参数!$B$13+IF(ISNUMBER(AU90),AU90*参数!$B$38,0)-AV90*参数!$B$41-AW90*参数!$B$14-参数!$B$17)*参数!$B$18,IF(AND(F90="能力",AL90="能力持续"),(参数!$B$2-1)*参数!$B$3,0)+M90*O90*参数!$B$5*IF(AND(F90="能力",AL90="能力持续"),参数!$B$2,1)+P90*参数!$B$6*IF(AND(F90="能力",AL90="能力持续"),参数!$B$2,1)+R90*参数!$B$7*IF(AND(F90="能力",AL90="能力持续"),参数!$B$2,1)+V90*参数!$B$8+IF(X90&lt;0,X90*参数!$B$13,X90*参数!$B$39)+IF(AE90&lt;0,AE90*参数!$B$13,AE90*参数!$B$12)*参数!$B$2+AQ90*参数!$B$15+AB90*参数!$B$11+AF90*参数!$B$40*参数!$B$2+AG90*参数!$B$44*参数!$B$2+AH90*参数!$B$6*参数!$B$2+AI90*参数!$B$39*参数!$B$2+AJ90*参数!$B$6*参数!$B$2+Z90*参数!$B$13-T90*参数!$B$14-AD90*参数!$B$13+IF(ISNUMBER(AU90),AU90*参数!$B$38,0)-AV90*参数!$B$41-AW90*参数!$B$14),0),0)</f>
        <v>6.9</v>
      </c>
      <c r="AZ90">
        <f>AY90-MAX(AP90,0)*参数!$B$10</f>
        <v>3.9000000000000004</v>
      </c>
      <c r="BA90">
        <f t="shared" si="3"/>
        <v>6.9</v>
      </c>
    </row>
    <row r="91" spans="1:53" x14ac:dyDescent="0.3">
      <c r="A91">
        <v>90</v>
      </c>
      <c r="B91" t="s">
        <v>489</v>
      </c>
      <c r="C91" t="s">
        <v>452</v>
      </c>
      <c r="D91" t="s">
        <v>490</v>
      </c>
      <c r="E91" t="s">
        <v>491</v>
      </c>
      <c r="F91" t="s">
        <v>108</v>
      </c>
      <c r="G91" t="s">
        <v>12</v>
      </c>
      <c r="H91">
        <v>0</v>
      </c>
      <c r="I91">
        <v>0</v>
      </c>
      <c r="J91" t="s">
        <v>492</v>
      </c>
      <c r="L91" t="s">
        <v>111</v>
      </c>
      <c r="M91">
        <v>11</v>
      </c>
      <c r="N91">
        <v>15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t="s">
        <v>112</v>
      </c>
      <c r="AP91">
        <f t="shared" si="2"/>
        <v>0.4</v>
      </c>
      <c r="AQ91">
        <v>0</v>
      </c>
      <c r="AR91">
        <v>0</v>
      </c>
      <c r="AT91" t="s">
        <v>113</v>
      </c>
      <c r="AU91">
        <v>0</v>
      </c>
      <c r="AY91">
        <f>IFERROR(MAX(IF(IF(AND(F91="能力",AL91="能力持续"),(参数!$B$2-1)*参数!$B$3,0)+M91*O91*参数!$B$5*IF(AND(F91="能力",AL91="能力持续"),参数!$B$2,1)+P91*参数!$B$6*IF(AND(F91="能力",AL91="能力持续"),参数!$B$2,1)+R91*参数!$B$7*IF(AND(F91="能力",AL91="能力持续"),参数!$B$2,1)+V91*参数!$B$8+IF(X91&lt;0,X91*参数!$B$13,X91*参数!$B$39)+IF(AE91&lt;0,AE91*参数!$B$13,AE91*参数!$B$12)*参数!$B$2+AQ91*参数!$B$15+AB91*参数!$B$11+AF91*参数!$B$40*参数!$B$2+AG91*参数!$B$44*参数!$B$2+AH91*参数!$B$6*参数!$B$2+AI91*参数!$B$39*参数!$B$2+AJ91*参数!$B$6*参数!$B$2+Z91*参数!$B$13-T91*参数!$B$14-AD91*参数!$B$13+IF(ISNUMBER(AU91),AU91*参数!$B$38,0)-AV91*参数!$B$41-AW91*参数!$B$14&gt;参数!$B$17,参数!$B$17+SQRT(IF(AND(F91="能力",AL91="能力持续"),(参数!$B$2-1)*参数!$B$3,0)+M91*O91*参数!$B$5*IF(AND(F91="能力",AL91="能力持续"),参数!$B$2,1)+P91*参数!$B$6*IF(AND(F91="能力",AL91="能力持续"),参数!$B$2,1)+R91*参数!$B$7*IF(AND(F91="能力",AL91="能力持续"),参数!$B$2,1)+V91*参数!$B$8+IF(X91&lt;0,X91*参数!$B$13,X91*参数!$B$39)+IF(AE91&lt;0,AE91*参数!$B$13,AE91*参数!$B$12)*参数!$B$2+AQ91*参数!$B$15+AB91*参数!$B$11+AF91*参数!$B$40*参数!$B$2+AG91*参数!$B$44*参数!$B$2+AH91*参数!$B$6*参数!$B$2+AI91*参数!$B$39*参数!$B$2+AJ91*参数!$B$6*参数!$B$2+Z91*参数!$B$13-T91*参数!$B$14-AD91*参数!$B$13+IF(ISNUMBER(AU91),AU91*参数!$B$38,0)-AV91*参数!$B$41-AW91*参数!$B$14-参数!$B$17)*参数!$B$18,IF(AND(F91="能力",AL91="能力持续"),(参数!$B$2-1)*参数!$B$3,0)+M91*O91*参数!$B$5*IF(AND(F91="能力",AL91="能力持续"),参数!$B$2,1)+P91*参数!$B$6*IF(AND(F91="能力",AL91="能力持续"),参数!$B$2,1)+R91*参数!$B$7*IF(AND(F91="能力",AL91="能力持续"),参数!$B$2,1)+V91*参数!$B$8+IF(X91&lt;0,X91*参数!$B$13,X91*参数!$B$39)+IF(AE91&lt;0,AE91*参数!$B$13,AE91*参数!$B$12)*参数!$B$2+AQ91*参数!$B$15+AB91*参数!$B$11+AF91*参数!$B$40*参数!$B$2+AG91*参数!$B$44*参数!$B$2+AH91*参数!$B$6*参数!$B$2+AI91*参数!$B$39*参数!$B$2+AJ91*参数!$B$6*参数!$B$2+Z91*参数!$B$13-T91*参数!$B$14-AD91*参数!$B$13+IF(ISNUMBER(AU91),AU91*参数!$B$38,0)-AV91*参数!$B$41-AW91*参数!$B$14),0),0)</f>
        <v>11.5</v>
      </c>
      <c r="AZ91">
        <f>AY91-MAX(AP91,0)*参数!$B$10</f>
        <v>10.3</v>
      </c>
      <c r="BA91">
        <f t="shared" si="3"/>
        <v>28.75</v>
      </c>
    </row>
    <row r="92" spans="1:53" x14ac:dyDescent="0.3">
      <c r="A92">
        <v>91</v>
      </c>
      <c r="B92" t="s">
        <v>493</v>
      </c>
      <c r="C92" t="s">
        <v>452</v>
      </c>
      <c r="D92" t="s">
        <v>494</v>
      </c>
      <c r="E92" t="s">
        <v>495</v>
      </c>
      <c r="F92" t="s">
        <v>117</v>
      </c>
      <c r="G92" t="s">
        <v>10</v>
      </c>
      <c r="H92">
        <v>1</v>
      </c>
      <c r="I92">
        <v>1</v>
      </c>
      <c r="J92" t="s">
        <v>496</v>
      </c>
      <c r="L92" t="s">
        <v>111</v>
      </c>
      <c r="M92">
        <v>4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t="s">
        <v>112</v>
      </c>
      <c r="AP92">
        <f t="shared" si="2"/>
        <v>1</v>
      </c>
      <c r="AQ92">
        <v>0</v>
      </c>
      <c r="AR92">
        <v>0</v>
      </c>
      <c r="AT92" t="s">
        <v>113</v>
      </c>
      <c r="AU92">
        <v>0</v>
      </c>
      <c r="AY92">
        <f>IFERROR(MAX(IF(IF(AND(F92="能力",AL92="能力持续"),(参数!$B$2-1)*参数!$B$3,0)+M92*O92*参数!$B$5*IF(AND(F92="能力",AL92="能力持续"),参数!$B$2,1)+P92*参数!$B$6*IF(AND(F92="能力",AL92="能力持续"),参数!$B$2,1)+R92*参数!$B$7*IF(AND(F92="能力",AL92="能力持续"),参数!$B$2,1)+V92*参数!$B$8+IF(X92&lt;0,X92*参数!$B$13,X92*参数!$B$39)+IF(AE92&lt;0,AE92*参数!$B$13,AE92*参数!$B$12)*参数!$B$2+AQ92*参数!$B$15+AB92*参数!$B$11+AF92*参数!$B$40*参数!$B$2+AG92*参数!$B$44*参数!$B$2+AH92*参数!$B$6*参数!$B$2+AI92*参数!$B$39*参数!$B$2+AJ92*参数!$B$6*参数!$B$2+Z92*参数!$B$13-T92*参数!$B$14-AD92*参数!$B$13+IF(ISNUMBER(AU92),AU92*参数!$B$38,0)-AV92*参数!$B$41-AW92*参数!$B$14&gt;参数!$B$17,参数!$B$17+SQRT(IF(AND(F92="能力",AL92="能力持续"),(参数!$B$2-1)*参数!$B$3,0)+M92*O92*参数!$B$5*IF(AND(F92="能力",AL92="能力持续"),参数!$B$2,1)+P92*参数!$B$6*IF(AND(F92="能力",AL92="能力持续"),参数!$B$2,1)+R92*参数!$B$7*IF(AND(F92="能力",AL92="能力持续"),参数!$B$2,1)+V92*参数!$B$8+IF(X92&lt;0,X92*参数!$B$13,X92*参数!$B$39)+IF(AE92&lt;0,AE92*参数!$B$13,AE92*参数!$B$12)*参数!$B$2+AQ92*参数!$B$15+AB92*参数!$B$11+AF92*参数!$B$40*参数!$B$2+AG92*参数!$B$44*参数!$B$2+AH92*参数!$B$6*参数!$B$2+AI92*参数!$B$39*参数!$B$2+AJ92*参数!$B$6*参数!$B$2+Z92*参数!$B$13-T92*参数!$B$14-AD92*参数!$B$13+IF(ISNUMBER(AU92),AU92*参数!$B$38,0)-AV92*参数!$B$41-AW92*参数!$B$14-参数!$B$17)*参数!$B$18,IF(AND(F92="能力",AL92="能力持续"),(参数!$B$2-1)*参数!$B$3,0)+M92*O92*参数!$B$5*IF(AND(F92="能力",AL92="能力持续"),参数!$B$2,1)+P92*参数!$B$6*IF(AND(F92="能力",AL92="能力持续"),参数!$B$2,1)+R92*参数!$B$7*IF(AND(F92="能力",AL92="能力持续"),参数!$B$2,1)+V92*参数!$B$8+IF(X92&lt;0,X92*参数!$B$13,X92*参数!$B$39)+IF(AE92&lt;0,AE92*参数!$B$13,AE92*参数!$B$12)*参数!$B$2+AQ92*参数!$B$15+AB92*参数!$B$11+AF92*参数!$B$40*参数!$B$2+AG92*参数!$B$44*参数!$B$2+AH92*参数!$B$6*参数!$B$2+AI92*参数!$B$39*参数!$B$2+AJ92*参数!$B$6*参数!$B$2+Z92*参数!$B$13-T92*参数!$B$14-AD92*参数!$B$13+IF(ISNUMBER(AU92),AU92*参数!$B$38,0)-AV92*参数!$B$41-AW92*参数!$B$14),0),0)</f>
        <v>12.121320343559642</v>
      </c>
      <c r="AZ92">
        <f>AY92-MAX(AP92,0)*参数!$B$10</f>
        <v>9.1213203435596419</v>
      </c>
      <c r="BA92">
        <f t="shared" si="3"/>
        <v>12.121320343559642</v>
      </c>
    </row>
    <row r="93" spans="1:53" x14ac:dyDescent="0.3">
      <c r="A93">
        <v>92</v>
      </c>
      <c r="B93" t="s">
        <v>497</v>
      </c>
      <c r="C93" t="s">
        <v>452</v>
      </c>
      <c r="D93" t="s">
        <v>498</v>
      </c>
      <c r="E93" t="s">
        <v>499</v>
      </c>
      <c r="F93" t="s">
        <v>117</v>
      </c>
      <c r="G93" t="s">
        <v>14</v>
      </c>
      <c r="H93">
        <v>1</v>
      </c>
      <c r="I93">
        <v>1</v>
      </c>
      <c r="J93" t="s">
        <v>500</v>
      </c>
      <c r="L93" t="s">
        <v>111</v>
      </c>
      <c r="M93">
        <v>4</v>
      </c>
      <c r="N93">
        <v>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t="s">
        <v>112</v>
      </c>
      <c r="AN93" t="s">
        <v>161</v>
      </c>
      <c r="AP93">
        <f t="shared" si="2"/>
        <v>1</v>
      </c>
      <c r="AQ93">
        <v>0</v>
      </c>
      <c r="AR93">
        <v>0</v>
      </c>
      <c r="AT93" t="s">
        <v>113</v>
      </c>
      <c r="AU93">
        <v>0</v>
      </c>
      <c r="AY93">
        <f>IFERROR(MAX(IF(IF(AND(F93="能力",AL93="能力持续"),(参数!$B$2-1)*参数!$B$3,0)+M93*O93*参数!$B$5*IF(AND(F93="能力",AL93="能力持续"),参数!$B$2,1)+P93*参数!$B$6*IF(AND(F93="能力",AL93="能力持续"),参数!$B$2,1)+R93*参数!$B$7*IF(AND(F93="能力",AL93="能力持续"),参数!$B$2,1)+V93*参数!$B$8+IF(X93&lt;0,X93*参数!$B$13,X93*参数!$B$39)+IF(AE93&lt;0,AE93*参数!$B$13,AE93*参数!$B$12)*参数!$B$2+AQ93*参数!$B$15+AB93*参数!$B$11+AF93*参数!$B$40*参数!$B$2+AG93*参数!$B$44*参数!$B$2+AH93*参数!$B$6*参数!$B$2+AI93*参数!$B$39*参数!$B$2+AJ93*参数!$B$6*参数!$B$2+Z93*参数!$B$13-T93*参数!$B$14-AD93*参数!$B$13+IF(ISNUMBER(AU93),AU93*参数!$B$38,0)-AV93*参数!$B$41-AW93*参数!$B$14&gt;参数!$B$17,参数!$B$17+SQRT(IF(AND(F93="能力",AL93="能力持续"),(参数!$B$2-1)*参数!$B$3,0)+M93*O93*参数!$B$5*IF(AND(F93="能力",AL93="能力持续"),参数!$B$2,1)+P93*参数!$B$6*IF(AND(F93="能力",AL93="能力持续"),参数!$B$2,1)+R93*参数!$B$7*IF(AND(F93="能力",AL93="能力持续"),参数!$B$2,1)+V93*参数!$B$8+IF(X93&lt;0,X93*参数!$B$13,X93*参数!$B$39)+IF(AE93&lt;0,AE93*参数!$B$13,AE93*参数!$B$12)*参数!$B$2+AQ93*参数!$B$15+AB93*参数!$B$11+AF93*参数!$B$40*参数!$B$2+AG93*参数!$B$44*参数!$B$2+AH93*参数!$B$6*参数!$B$2+AI93*参数!$B$39*参数!$B$2+AJ93*参数!$B$6*参数!$B$2+Z93*参数!$B$13-T93*参数!$B$14-AD93*参数!$B$13+IF(ISNUMBER(AU93),AU93*参数!$B$38,0)-AV93*参数!$B$41-AW93*参数!$B$14-参数!$B$17)*参数!$B$18,IF(AND(F93="能力",AL93="能力持续"),(参数!$B$2-1)*参数!$B$3,0)+M93*O93*参数!$B$5*IF(AND(F93="能力",AL93="能力持续"),参数!$B$2,1)+P93*参数!$B$6*IF(AND(F93="能力",AL93="能力持续"),参数!$B$2,1)+R93*参数!$B$7*IF(AND(F93="能力",AL93="能力持续"),参数!$B$2,1)+V93*参数!$B$8+IF(X93&lt;0,X93*参数!$B$13,X93*参数!$B$39)+IF(AE93&lt;0,AE93*参数!$B$13,AE93*参数!$B$12)*参数!$B$2+AQ93*参数!$B$15+AB93*参数!$B$11+AF93*参数!$B$40*参数!$B$2+AG93*参数!$B$44*参数!$B$2+AH93*参数!$B$6*参数!$B$2+AI93*参数!$B$39*参数!$B$2+AJ93*参数!$B$6*参数!$B$2+Z93*参数!$B$13-T93*参数!$B$14-AD93*参数!$B$13+IF(ISNUMBER(AU93),AU93*参数!$B$38,0)-AV93*参数!$B$41-AW93*参数!$B$14),0),0)</f>
        <v>11.5</v>
      </c>
      <c r="AZ93">
        <f>AY93-MAX(AP93,0)*参数!$B$10</f>
        <v>8.5</v>
      </c>
      <c r="BA93">
        <f t="shared" si="3"/>
        <v>11.5</v>
      </c>
    </row>
    <row r="94" spans="1:53" x14ac:dyDescent="0.3">
      <c r="A94">
        <v>93</v>
      </c>
      <c r="B94" t="s">
        <v>501</v>
      </c>
      <c r="C94" t="s">
        <v>452</v>
      </c>
      <c r="D94" t="s">
        <v>474</v>
      </c>
      <c r="E94" t="s">
        <v>502</v>
      </c>
      <c r="F94" t="s">
        <v>117</v>
      </c>
      <c r="G94" t="s">
        <v>12</v>
      </c>
      <c r="H94">
        <v>1</v>
      </c>
      <c r="I94">
        <v>1</v>
      </c>
      <c r="J94" t="s">
        <v>503</v>
      </c>
      <c r="L94" t="s">
        <v>120</v>
      </c>
      <c r="M94">
        <v>0</v>
      </c>
      <c r="N94">
        <v>0</v>
      </c>
      <c r="O94">
        <v>1</v>
      </c>
      <c r="P94">
        <v>5</v>
      </c>
      <c r="Q94">
        <v>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t="s">
        <v>112</v>
      </c>
      <c r="AP94">
        <f t="shared" si="2"/>
        <v>1</v>
      </c>
      <c r="AQ94">
        <v>0</v>
      </c>
      <c r="AR94">
        <v>0</v>
      </c>
      <c r="AT94" t="s">
        <v>113</v>
      </c>
      <c r="AU94">
        <v>0</v>
      </c>
      <c r="AY94">
        <f>IFERROR(MAX(IF(IF(AND(F94="能力",AL94="能力持续"),(参数!$B$2-1)*参数!$B$3,0)+M94*O94*参数!$B$5*IF(AND(F94="能力",AL94="能力持续"),参数!$B$2,1)+P94*参数!$B$6*IF(AND(F94="能力",AL94="能力持续"),参数!$B$2,1)+R94*参数!$B$7*IF(AND(F94="能力",AL94="能力持续"),参数!$B$2,1)+V94*参数!$B$8+IF(X94&lt;0,X94*参数!$B$13,X94*参数!$B$39)+IF(AE94&lt;0,AE94*参数!$B$13,AE94*参数!$B$12)*参数!$B$2+AQ94*参数!$B$15+AB94*参数!$B$11+AF94*参数!$B$40*参数!$B$2+AG94*参数!$B$44*参数!$B$2+AH94*参数!$B$6*参数!$B$2+AI94*参数!$B$39*参数!$B$2+AJ94*参数!$B$6*参数!$B$2+Z94*参数!$B$13-T94*参数!$B$14-AD94*参数!$B$13+IF(ISNUMBER(AU94),AU94*参数!$B$38,0)-AV94*参数!$B$41-AW94*参数!$B$14&gt;参数!$B$17,参数!$B$17+SQRT(IF(AND(F94="能力",AL94="能力持续"),(参数!$B$2-1)*参数!$B$3,0)+M94*O94*参数!$B$5*IF(AND(F94="能力",AL94="能力持续"),参数!$B$2,1)+P94*参数!$B$6*IF(AND(F94="能力",AL94="能力持续"),参数!$B$2,1)+R94*参数!$B$7*IF(AND(F94="能力",AL94="能力持续"),参数!$B$2,1)+V94*参数!$B$8+IF(X94&lt;0,X94*参数!$B$13,X94*参数!$B$39)+IF(AE94&lt;0,AE94*参数!$B$13,AE94*参数!$B$12)*参数!$B$2+AQ94*参数!$B$15+AB94*参数!$B$11+AF94*参数!$B$40*参数!$B$2+AG94*参数!$B$44*参数!$B$2+AH94*参数!$B$6*参数!$B$2+AI94*参数!$B$39*参数!$B$2+AJ94*参数!$B$6*参数!$B$2+Z94*参数!$B$13-T94*参数!$B$14-AD94*参数!$B$13+IF(ISNUMBER(AU94),AU94*参数!$B$38,0)-AV94*参数!$B$41-AW94*参数!$B$14-参数!$B$17)*参数!$B$18,IF(AND(F94="能力",AL94="能力持续"),(参数!$B$2-1)*参数!$B$3,0)+M94*O94*参数!$B$5*IF(AND(F94="能力",AL94="能力持续"),参数!$B$2,1)+P94*参数!$B$6*IF(AND(F94="能力",AL94="能力持续"),参数!$B$2,1)+R94*参数!$B$7*IF(AND(F94="能力",AL94="能力持续"),参数!$B$2,1)+V94*参数!$B$8+IF(X94&lt;0,X94*参数!$B$13,X94*参数!$B$39)+IF(AE94&lt;0,AE94*参数!$B$13,AE94*参数!$B$12)*参数!$B$2+AQ94*参数!$B$15+AB94*参数!$B$11+AF94*参数!$B$40*参数!$B$2+AG94*参数!$B$44*参数!$B$2+AH94*参数!$B$6*参数!$B$2+AI94*参数!$B$39*参数!$B$2+AJ94*参数!$B$6*参数!$B$2+Z94*参数!$B$13-T94*参数!$B$14-AD94*参数!$B$13+IF(ISNUMBER(AU94),AU94*参数!$B$38,0)-AV94*参数!$B$41-AW94*参数!$B$14),0),0)</f>
        <v>5.5</v>
      </c>
      <c r="AZ94">
        <f>AY94-MAX(AP94,0)*参数!$B$10</f>
        <v>2.5</v>
      </c>
      <c r="BA94">
        <f t="shared" si="3"/>
        <v>5.5</v>
      </c>
    </row>
    <row r="95" spans="1:53" x14ac:dyDescent="0.3">
      <c r="A95">
        <v>94</v>
      </c>
      <c r="B95" t="s">
        <v>504</v>
      </c>
      <c r="C95" t="s">
        <v>452</v>
      </c>
      <c r="D95" t="s">
        <v>505</v>
      </c>
      <c r="E95" t="s">
        <v>506</v>
      </c>
      <c r="F95" t="s">
        <v>117</v>
      </c>
      <c r="G95" t="s">
        <v>12</v>
      </c>
      <c r="H95">
        <v>2</v>
      </c>
      <c r="I95">
        <v>2</v>
      </c>
      <c r="J95" t="s">
        <v>507</v>
      </c>
      <c r="L95" t="s">
        <v>301</v>
      </c>
      <c r="M95">
        <v>0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</v>
      </c>
      <c r="AG95">
        <v>0</v>
      </c>
      <c r="AH95">
        <v>0</v>
      </c>
      <c r="AI95">
        <v>0</v>
      </c>
      <c r="AJ95">
        <v>0</v>
      </c>
      <c r="AK95" t="s">
        <v>112</v>
      </c>
      <c r="AP95">
        <f t="shared" si="2"/>
        <v>2</v>
      </c>
      <c r="AQ95">
        <v>0</v>
      </c>
      <c r="AR95">
        <v>0</v>
      </c>
      <c r="AT95" t="s">
        <v>113</v>
      </c>
      <c r="AU95">
        <v>0</v>
      </c>
      <c r="AY95">
        <f>IFERROR(MAX(IF(IF(AND(F95="能力",AL95="能力持续"),(参数!$B$2-1)*参数!$B$3,0)+M95*O95*参数!$B$5*IF(AND(F95="能力",AL95="能力持续"),参数!$B$2,1)+P95*参数!$B$6*IF(AND(F95="能力",AL95="能力持续"),参数!$B$2,1)+R95*参数!$B$7*IF(AND(F95="能力",AL95="能力持续"),参数!$B$2,1)+V95*参数!$B$8+IF(X95&lt;0,X95*参数!$B$13,X95*参数!$B$39)+IF(AE95&lt;0,AE95*参数!$B$13,AE95*参数!$B$12)*参数!$B$2+AQ95*参数!$B$15+AB95*参数!$B$11+AF95*参数!$B$40*参数!$B$2+AG95*参数!$B$44*参数!$B$2+AH95*参数!$B$6*参数!$B$2+AI95*参数!$B$39*参数!$B$2+AJ95*参数!$B$6*参数!$B$2+Z95*参数!$B$13-T95*参数!$B$14-AD95*参数!$B$13+IF(ISNUMBER(AU95),AU95*参数!$B$38,0)-AV95*参数!$B$41-AW95*参数!$B$14&gt;参数!$B$17,参数!$B$17+SQRT(IF(AND(F95="能力",AL95="能力持续"),(参数!$B$2-1)*参数!$B$3,0)+M95*O95*参数!$B$5*IF(AND(F95="能力",AL95="能力持续"),参数!$B$2,1)+P95*参数!$B$6*IF(AND(F95="能力",AL95="能力持续"),参数!$B$2,1)+R95*参数!$B$7*IF(AND(F95="能力",AL95="能力持续"),参数!$B$2,1)+V95*参数!$B$8+IF(X95&lt;0,X95*参数!$B$13,X95*参数!$B$39)+IF(AE95&lt;0,AE95*参数!$B$13,AE95*参数!$B$12)*参数!$B$2+AQ95*参数!$B$15+AB95*参数!$B$11+AF95*参数!$B$40*参数!$B$2+AG95*参数!$B$44*参数!$B$2+AH95*参数!$B$6*参数!$B$2+AI95*参数!$B$39*参数!$B$2+AJ95*参数!$B$6*参数!$B$2+Z95*参数!$B$13-T95*参数!$B$14-AD95*参数!$B$13+IF(ISNUMBER(AU95),AU95*参数!$B$38,0)-AV95*参数!$B$41-AW95*参数!$B$14-参数!$B$17)*参数!$B$18,IF(AND(F95="能力",AL95="能力持续"),(参数!$B$2-1)*参数!$B$3,0)+M95*O95*参数!$B$5*IF(AND(F95="能力",AL95="能力持续"),参数!$B$2,1)+P95*参数!$B$6*IF(AND(F95="能力",AL95="能力持续"),参数!$B$2,1)+R95*参数!$B$7*IF(AND(F95="能力",AL95="能力持续"),参数!$B$2,1)+V95*参数!$B$8+IF(X95&lt;0,X95*参数!$B$13,X95*参数!$B$39)+IF(AE95&lt;0,AE95*参数!$B$13,AE95*参数!$B$12)*参数!$B$2+AQ95*参数!$B$15+AB95*参数!$B$11+AF95*参数!$B$40*参数!$B$2+AG95*参数!$B$44*参数!$B$2+AH95*参数!$B$6*参数!$B$2+AI95*参数!$B$39*参数!$B$2+AJ95*参数!$B$6*参数!$B$2+Z95*参数!$B$13-T95*参数!$B$14-AD95*参数!$B$13+IF(ISNUMBER(AU95),AU95*参数!$B$38,0)-AV95*参数!$B$41-AW95*参数!$B$14),0),0)</f>
        <v>12.121320343559642</v>
      </c>
      <c r="AZ95">
        <f>AY95-MAX(AP95,0)*参数!$B$10</f>
        <v>6.1213203435596419</v>
      </c>
      <c r="BA95">
        <f t="shared" si="3"/>
        <v>6.060660171779821</v>
      </c>
    </row>
    <row r="96" spans="1:53" x14ac:dyDescent="0.3">
      <c r="A96">
        <v>95</v>
      </c>
      <c r="B96" t="s">
        <v>508</v>
      </c>
      <c r="C96" t="s">
        <v>452</v>
      </c>
      <c r="D96" t="s">
        <v>509</v>
      </c>
      <c r="E96" t="s">
        <v>510</v>
      </c>
      <c r="F96" t="s">
        <v>117</v>
      </c>
      <c r="G96" t="s">
        <v>12</v>
      </c>
      <c r="H96">
        <v>1</v>
      </c>
      <c r="I96">
        <v>1</v>
      </c>
      <c r="J96" t="s">
        <v>511</v>
      </c>
      <c r="L96" t="s">
        <v>111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9</v>
      </c>
      <c r="AG96">
        <v>0</v>
      </c>
      <c r="AH96">
        <v>0</v>
      </c>
      <c r="AI96">
        <v>0</v>
      </c>
      <c r="AJ96">
        <v>0</v>
      </c>
      <c r="AK96" t="s">
        <v>112</v>
      </c>
      <c r="AP96">
        <f t="shared" si="2"/>
        <v>1</v>
      </c>
      <c r="AQ96">
        <v>0</v>
      </c>
      <c r="AR96">
        <v>0</v>
      </c>
      <c r="AT96" t="s">
        <v>113</v>
      </c>
      <c r="AU96">
        <v>0</v>
      </c>
      <c r="AW96">
        <v>1</v>
      </c>
      <c r="AY96">
        <f>IFERROR(MAX(IF(IF(AND(F96="能力",AL96="能力持续"),(参数!$B$2-1)*参数!$B$3,0)+M96*O96*参数!$B$5*IF(AND(F96="能力",AL96="能力持续"),参数!$B$2,1)+P96*参数!$B$6*IF(AND(F96="能力",AL96="能力持续"),参数!$B$2,1)+R96*参数!$B$7*IF(AND(F96="能力",AL96="能力持续"),参数!$B$2,1)+V96*参数!$B$8+IF(X96&lt;0,X96*参数!$B$13,X96*参数!$B$39)+IF(AE96&lt;0,AE96*参数!$B$13,AE96*参数!$B$12)*参数!$B$2+AQ96*参数!$B$15+AB96*参数!$B$11+AF96*参数!$B$40*参数!$B$2+AG96*参数!$B$44*参数!$B$2+AH96*参数!$B$6*参数!$B$2+AI96*参数!$B$39*参数!$B$2+AJ96*参数!$B$6*参数!$B$2+Z96*参数!$B$13-T96*参数!$B$14-AD96*参数!$B$13+IF(ISNUMBER(AU96),AU96*参数!$B$38,0)-AV96*参数!$B$41-AW96*参数!$B$14&gt;参数!$B$17,参数!$B$17+SQRT(IF(AND(F96="能力",AL96="能力持续"),(参数!$B$2-1)*参数!$B$3,0)+M96*O96*参数!$B$5*IF(AND(F96="能力",AL96="能力持续"),参数!$B$2,1)+P96*参数!$B$6*IF(AND(F96="能力",AL96="能力持续"),参数!$B$2,1)+R96*参数!$B$7*IF(AND(F96="能力",AL96="能力持续"),参数!$B$2,1)+V96*参数!$B$8+IF(X96&lt;0,X96*参数!$B$13,X96*参数!$B$39)+IF(AE96&lt;0,AE96*参数!$B$13,AE96*参数!$B$12)*参数!$B$2+AQ96*参数!$B$15+AB96*参数!$B$11+AF96*参数!$B$40*参数!$B$2+AG96*参数!$B$44*参数!$B$2+AH96*参数!$B$6*参数!$B$2+AI96*参数!$B$39*参数!$B$2+AJ96*参数!$B$6*参数!$B$2+Z96*参数!$B$13-T96*参数!$B$14-AD96*参数!$B$13+IF(ISNUMBER(AU96),AU96*参数!$B$38,0)-AV96*参数!$B$41-AW96*参数!$B$14-参数!$B$17)*参数!$B$18,IF(AND(F96="能力",AL96="能力持续"),(参数!$B$2-1)*参数!$B$3,0)+M96*O96*参数!$B$5*IF(AND(F96="能力",AL96="能力持续"),参数!$B$2,1)+P96*参数!$B$6*IF(AND(F96="能力",AL96="能力持续"),参数!$B$2,1)+R96*参数!$B$7*IF(AND(F96="能力",AL96="能力持续"),参数!$B$2,1)+V96*参数!$B$8+IF(X96&lt;0,X96*参数!$B$13,X96*参数!$B$39)+IF(AE96&lt;0,AE96*参数!$B$13,AE96*参数!$B$12)*参数!$B$2+AQ96*参数!$B$15+AB96*参数!$B$11+AF96*参数!$B$40*参数!$B$2+AG96*参数!$B$44*参数!$B$2+AH96*参数!$B$6*参数!$B$2+AI96*参数!$B$39*参数!$B$2+AJ96*参数!$B$6*参数!$B$2+Z96*参数!$B$13-T96*参数!$B$14-AD96*参数!$B$13+IF(ISNUMBER(AU96),AU96*参数!$B$38,0)-AV96*参数!$B$41-AW96*参数!$B$14),0),0)</f>
        <v>17.604275113381945</v>
      </c>
      <c r="AZ96">
        <f>AY96-MAX(AP96,0)*参数!$B$10</f>
        <v>14.604275113381945</v>
      </c>
      <c r="BA96">
        <f t="shared" si="3"/>
        <v>17.604275113381945</v>
      </c>
    </row>
    <row r="97" spans="1:53" x14ac:dyDescent="0.3">
      <c r="A97">
        <v>96</v>
      </c>
      <c r="B97" t="s">
        <v>512</v>
      </c>
      <c r="C97" t="s">
        <v>452</v>
      </c>
      <c r="D97" t="s">
        <v>513</v>
      </c>
      <c r="E97" t="s">
        <v>514</v>
      </c>
      <c r="F97" t="s">
        <v>117</v>
      </c>
      <c r="G97" t="s">
        <v>14</v>
      </c>
      <c r="H97">
        <v>3</v>
      </c>
      <c r="I97">
        <v>2</v>
      </c>
      <c r="J97" t="s">
        <v>515</v>
      </c>
      <c r="L97" t="s">
        <v>111</v>
      </c>
      <c r="M97">
        <v>0</v>
      </c>
      <c r="N97">
        <v>0</v>
      </c>
      <c r="O97">
        <v>1</v>
      </c>
      <c r="P97">
        <v>0</v>
      </c>
      <c r="Q97">
        <v>0</v>
      </c>
      <c r="R97">
        <v>-3</v>
      </c>
      <c r="S97">
        <v>0</v>
      </c>
      <c r="T97">
        <v>0</v>
      </c>
      <c r="U97">
        <v>0</v>
      </c>
      <c r="V97">
        <f>参数!$B$49</f>
        <v>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t="s">
        <v>112</v>
      </c>
      <c r="AN97" t="s">
        <v>161</v>
      </c>
      <c r="AP97">
        <f t="shared" si="2"/>
        <v>0.4</v>
      </c>
      <c r="AQ97">
        <v>0</v>
      </c>
      <c r="AR97">
        <v>0</v>
      </c>
      <c r="AT97" t="s">
        <v>113</v>
      </c>
      <c r="AU97">
        <v>0</v>
      </c>
      <c r="AY97">
        <f>IFERROR(MAX(IF(IF(AND(F97="能力",AL97="能力持续"),(参数!$B$2-1)*参数!$B$3,0)+M97*O97*参数!$B$5*IF(AND(F97="能力",AL97="能力持续"),参数!$B$2,1)+P97*参数!$B$6*IF(AND(F97="能力",AL97="能力持续"),参数!$B$2,1)+R97*参数!$B$7*IF(AND(F97="能力",AL97="能力持续"),参数!$B$2,1)+V97*参数!$B$8+IF(X97&lt;0,X97*参数!$B$13,X97*参数!$B$39)+IF(AE97&lt;0,AE97*参数!$B$13,AE97*参数!$B$12)*参数!$B$2+AQ97*参数!$B$15+AB97*参数!$B$11+AF97*参数!$B$40*参数!$B$2+AG97*参数!$B$44*参数!$B$2+AH97*参数!$B$6*参数!$B$2+AI97*参数!$B$39*参数!$B$2+AJ97*参数!$B$6*参数!$B$2+Z97*参数!$B$13-T97*参数!$B$14-AD97*参数!$B$13+IF(ISNUMBER(AU97),AU97*参数!$B$38,0)-AV97*参数!$B$41-AW97*参数!$B$14&gt;参数!$B$17,参数!$B$17+SQRT(IF(AND(F97="能力",AL97="能力持续"),(参数!$B$2-1)*参数!$B$3,0)+M97*O97*参数!$B$5*IF(AND(F97="能力",AL97="能力持续"),参数!$B$2,1)+P97*参数!$B$6*IF(AND(F97="能力",AL97="能力持续"),参数!$B$2,1)+R97*参数!$B$7*IF(AND(F97="能力",AL97="能力持续"),参数!$B$2,1)+V97*参数!$B$8+IF(X97&lt;0,X97*参数!$B$13,X97*参数!$B$39)+IF(AE97&lt;0,AE97*参数!$B$13,AE97*参数!$B$12)*参数!$B$2+AQ97*参数!$B$15+AB97*参数!$B$11+AF97*参数!$B$40*参数!$B$2+AG97*参数!$B$44*参数!$B$2+AH97*参数!$B$6*参数!$B$2+AI97*参数!$B$39*参数!$B$2+AJ97*参数!$B$6*参数!$B$2+Z97*参数!$B$13-T97*参数!$B$14-AD97*参数!$B$13+IF(ISNUMBER(AU97),AU97*参数!$B$38,0)-AV97*参数!$B$41-AW97*参数!$B$14-参数!$B$17)*参数!$B$18,IF(AND(F97="能力",AL97="能力持续"),(参数!$B$2-1)*参数!$B$3,0)+M97*O97*参数!$B$5*IF(AND(F97="能力",AL97="能力持续"),参数!$B$2,1)+P97*参数!$B$6*IF(AND(F97="能力",AL97="能力持续"),参数!$B$2,1)+R97*参数!$B$7*IF(AND(F97="能力",AL97="能力持续"),参数!$B$2,1)+V97*参数!$B$8+IF(X97&lt;0,X97*参数!$B$13,X97*参数!$B$39)+IF(AE97&lt;0,AE97*参数!$B$13,AE97*参数!$B$12)*参数!$B$2+AQ97*参数!$B$15+AB97*参数!$B$11+AF97*参数!$B$40*参数!$B$2+AG97*参数!$B$44*参数!$B$2+AH97*参数!$B$6*参数!$B$2+AI97*参数!$B$39*参数!$B$2+AJ97*参数!$B$6*参数!$B$2+Z97*参数!$B$13-T97*参数!$B$14-AD97*参数!$B$13+IF(ISNUMBER(AU97),AU97*参数!$B$38,0)-AV97*参数!$B$41-AW97*参数!$B$14),0),0)</f>
        <v>12.55440795488896</v>
      </c>
      <c r="AZ97">
        <f>AY97-MAX(AP97,0)*参数!$B$10</f>
        <v>11.354407954888959</v>
      </c>
      <c r="BA97">
        <f t="shared" si="3"/>
        <v>31.3860198872224</v>
      </c>
    </row>
    <row r="98" spans="1:53" x14ac:dyDescent="0.3">
      <c r="A98">
        <v>97</v>
      </c>
      <c r="B98" t="s">
        <v>516</v>
      </c>
      <c r="C98" t="s">
        <v>452</v>
      </c>
      <c r="D98" t="s">
        <v>517</v>
      </c>
      <c r="E98" t="s">
        <v>518</v>
      </c>
      <c r="F98" t="s">
        <v>117</v>
      </c>
      <c r="G98" t="s">
        <v>14</v>
      </c>
      <c r="H98">
        <v>1</v>
      </c>
      <c r="I98">
        <v>1</v>
      </c>
      <c r="J98" t="s">
        <v>519</v>
      </c>
      <c r="L98" t="s">
        <v>111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t="s">
        <v>112</v>
      </c>
      <c r="AN98" t="s">
        <v>161</v>
      </c>
      <c r="AP98">
        <f t="shared" si="2"/>
        <v>1</v>
      </c>
      <c r="AQ98">
        <f>1*参数!$B$48</f>
        <v>8</v>
      </c>
      <c r="AR98">
        <v>0</v>
      </c>
      <c r="AT98" t="s">
        <v>113</v>
      </c>
      <c r="AU98">
        <v>0</v>
      </c>
      <c r="AY98">
        <f>IFERROR(MAX(IF(IF(AND(F98="能力",AL98="能力持续"),(参数!$B$2-1)*参数!$B$3,0)+M98*O98*参数!$B$5*IF(AND(F98="能力",AL98="能力持续"),参数!$B$2,1)+P98*参数!$B$6*IF(AND(F98="能力",AL98="能力持续"),参数!$B$2,1)+R98*参数!$B$7*IF(AND(F98="能力",AL98="能力持续"),参数!$B$2,1)+V98*参数!$B$8+IF(X98&lt;0,X98*参数!$B$13,X98*参数!$B$39)+IF(AE98&lt;0,AE98*参数!$B$13,AE98*参数!$B$12)*参数!$B$2+AQ98*参数!$B$15+AB98*参数!$B$11+AF98*参数!$B$40*参数!$B$2+AG98*参数!$B$44*参数!$B$2+AH98*参数!$B$6*参数!$B$2+AI98*参数!$B$39*参数!$B$2+AJ98*参数!$B$6*参数!$B$2+Z98*参数!$B$13-T98*参数!$B$14-AD98*参数!$B$13+IF(ISNUMBER(AU98),AU98*参数!$B$38,0)-AV98*参数!$B$41-AW98*参数!$B$14&gt;参数!$B$17,参数!$B$17+SQRT(IF(AND(F98="能力",AL98="能力持续"),(参数!$B$2-1)*参数!$B$3,0)+M98*O98*参数!$B$5*IF(AND(F98="能力",AL98="能力持续"),参数!$B$2,1)+P98*参数!$B$6*IF(AND(F98="能力",AL98="能力持续"),参数!$B$2,1)+R98*参数!$B$7*IF(AND(F98="能力",AL98="能力持续"),参数!$B$2,1)+V98*参数!$B$8+IF(X98&lt;0,X98*参数!$B$13,X98*参数!$B$39)+IF(AE98&lt;0,AE98*参数!$B$13,AE98*参数!$B$12)*参数!$B$2+AQ98*参数!$B$15+AB98*参数!$B$11+AF98*参数!$B$40*参数!$B$2+AG98*参数!$B$44*参数!$B$2+AH98*参数!$B$6*参数!$B$2+AI98*参数!$B$39*参数!$B$2+AJ98*参数!$B$6*参数!$B$2+Z98*参数!$B$13-T98*参数!$B$14-AD98*参数!$B$13+IF(ISNUMBER(AU98),AU98*参数!$B$38,0)-AV98*参数!$B$41-AW98*参数!$B$14-参数!$B$17)*参数!$B$18,IF(AND(F98="能力",AL98="能力持续"),(参数!$B$2-1)*参数!$B$3,0)+M98*O98*参数!$B$5*IF(AND(F98="能力",AL98="能力持续"),参数!$B$2,1)+P98*参数!$B$6*IF(AND(F98="能力",AL98="能力持续"),参数!$B$2,1)+R98*参数!$B$7*IF(AND(F98="能力",AL98="能力持续"),参数!$B$2,1)+V98*参数!$B$8+IF(X98&lt;0,X98*参数!$B$13,X98*参数!$B$39)+IF(AE98&lt;0,AE98*参数!$B$13,AE98*参数!$B$12)*参数!$B$2+AQ98*参数!$B$15+AB98*参数!$B$11+AF98*参数!$B$40*参数!$B$2+AG98*参数!$B$44*参数!$B$2+AH98*参数!$B$6*参数!$B$2+AI98*参数!$B$39*参数!$B$2+AJ98*参数!$B$6*参数!$B$2+Z98*参数!$B$13-T98*参数!$B$14-AD98*参数!$B$13+IF(ISNUMBER(AU98),AU98*参数!$B$38,0)-AV98*参数!$B$41-AW98*参数!$B$14),0),0)</f>
        <v>15.612486080160913</v>
      </c>
      <c r="AZ98">
        <f>AY98-MAX(AP98,0)*参数!$B$10</f>
        <v>12.612486080160913</v>
      </c>
      <c r="BA98">
        <f t="shared" si="3"/>
        <v>15.612486080160913</v>
      </c>
    </row>
    <row r="99" spans="1:53" x14ac:dyDescent="0.3">
      <c r="A99">
        <v>98</v>
      </c>
      <c r="B99" t="s">
        <v>520</v>
      </c>
      <c r="C99" t="s">
        <v>452</v>
      </c>
      <c r="D99" t="s">
        <v>521</v>
      </c>
      <c r="E99" t="s">
        <v>522</v>
      </c>
      <c r="F99" t="s">
        <v>117</v>
      </c>
      <c r="G99" t="s">
        <v>12</v>
      </c>
      <c r="H99">
        <v>0</v>
      </c>
      <c r="I99">
        <v>0</v>
      </c>
      <c r="J99" t="s">
        <v>523</v>
      </c>
      <c r="L99" t="s">
        <v>111</v>
      </c>
      <c r="M99">
        <v>0</v>
      </c>
      <c r="N99">
        <v>0</v>
      </c>
      <c r="O99">
        <v>1</v>
      </c>
      <c r="P99">
        <v>0</v>
      </c>
      <c r="Q99">
        <v>0</v>
      </c>
      <c r="R99">
        <f>参数!$B$49</f>
        <v>5</v>
      </c>
      <c r="S99">
        <v>0</v>
      </c>
      <c r="T99">
        <f>参数!$B$49</f>
        <v>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t="s">
        <v>112</v>
      </c>
      <c r="AP99">
        <f t="shared" si="2"/>
        <v>0.4</v>
      </c>
      <c r="AQ99">
        <v>0</v>
      </c>
      <c r="AR99">
        <v>0</v>
      </c>
      <c r="AT99" t="s">
        <v>113</v>
      </c>
      <c r="AU99">
        <v>0</v>
      </c>
      <c r="AY99">
        <f>IFERROR(MAX(IF(IF(AND(F99="能力",AL99="能力持续"),(参数!$B$2-1)*参数!$B$3,0)+M99*O99*参数!$B$5*IF(AND(F99="能力",AL99="能力持续"),参数!$B$2,1)+P99*参数!$B$6*IF(AND(F99="能力",AL99="能力持续"),参数!$B$2,1)+R99*参数!$B$7*IF(AND(F99="能力",AL99="能力持续"),参数!$B$2,1)+V99*参数!$B$8+IF(X99&lt;0,X99*参数!$B$13,X99*参数!$B$39)+IF(AE99&lt;0,AE99*参数!$B$13,AE99*参数!$B$12)*参数!$B$2+AQ99*参数!$B$15+AB99*参数!$B$11+AF99*参数!$B$40*参数!$B$2+AG99*参数!$B$44*参数!$B$2+AH99*参数!$B$6*参数!$B$2+AI99*参数!$B$39*参数!$B$2+AJ99*参数!$B$6*参数!$B$2+Z99*参数!$B$13-T99*参数!$B$14-AD99*参数!$B$13+IF(ISNUMBER(AU99),AU99*参数!$B$38,0)-AV99*参数!$B$41-AW99*参数!$B$14&gt;参数!$B$17,参数!$B$17+SQRT(IF(AND(F99="能力",AL99="能力持续"),(参数!$B$2-1)*参数!$B$3,0)+M99*O99*参数!$B$5*IF(AND(F99="能力",AL99="能力持续"),参数!$B$2,1)+P99*参数!$B$6*IF(AND(F99="能力",AL99="能力持续"),参数!$B$2,1)+R99*参数!$B$7*IF(AND(F99="能力",AL99="能力持续"),参数!$B$2,1)+V99*参数!$B$8+IF(X99&lt;0,X99*参数!$B$13,X99*参数!$B$39)+IF(AE99&lt;0,AE99*参数!$B$13,AE99*参数!$B$12)*参数!$B$2+AQ99*参数!$B$15+AB99*参数!$B$11+AF99*参数!$B$40*参数!$B$2+AG99*参数!$B$44*参数!$B$2+AH99*参数!$B$6*参数!$B$2+AI99*参数!$B$39*参数!$B$2+AJ99*参数!$B$6*参数!$B$2+Z99*参数!$B$13-T99*参数!$B$14-AD99*参数!$B$13+IF(ISNUMBER(AU99),AU99*参数!$B$38,0)-AV99*参数!$B$41-AW99*参数!$B$14-参数!$B$17)*参数!$B$18,IF(AND(F99="能力",AL99="能力持续"),(参数!$B$2-1)*参数!$B$3,0)+M99*O99*参数!$B$5*IF(AND(F99="能力",AL99="能力持续"),参数!$B$2,1)+P99*参数!$B$6*IF(AND(F99="能力",AL99="能力持续"),参数!$B$2,1)+R99*参数!$B$7*IF(AND(F99="能力",AL99="能力持续"),参数!$B$2,1)+V99*参数!$B$8+IF(X99&lt;0,X99*参数!$B$13,X99*参数!$B$39)+IF(AE99&lt;0,AE99*参数!$B$13,AE99*参数!$B$12)*参数!$B$2+AQ99*参数!$B$15+AB99*参数!$B$11+AF99*参数!$B$40*参数!$B$2+AG99*参数!$B$44*参数!$B$2+AH99*参数!$B$6*参数!$B$2+AI99*参数!$B$39*参数!$B$2+AJ99*参数!$B$6*参数!$B$2+Z99*参数!$B$13-T99*参数!$B$14-AD99*参数!$B$13+IF(ISNUMBER(AU99),AU99*参数!$B$38,0)-AV99*参数!$B$41-AW99*参数!$B$14),0),0)</f>
        <v>2</v>
      </c>
      <c r="AZ99">
        <f>AY99-MAX(AP99,0)*参数!$B$10</f>
        <v>0.79999999999999982</v>
      </c>
      <c r="BA99">
        <f t="shared" si="3"/>
        <v>5</v>
      </c>
    </row>
    <row r="100" spans="1:53" x14ac:dyDescent="0.3">
      <c r="A100">
        <v>99</v>
      </c>
      <c r="B100" t="s">
        <v>524</v>
      </c>
      <c r="C100" t="s">
        <v>452</v>
      </c>
      <c r="D100" t="s">
        <v>525</v>
      </c>
      <c r="E100" t="s">
        <v>526</v>
      </c>
      <c r="F100" t="s">
        <v>117</v>
      </c>
      <c r="G100" t="s">
        <v>10</v>
      </c>
      <c r="H100">
        <v>1</v>
      </c>
      <c r="I100">
        <v>1</v>
      </c>
      <c r="J100" t="s">
        <v>527</v>
      </c>
      <c r="L100" t="s">
        <v>120</v>
      </c>
      <c r="M100">
        <v>4</v>
      </c>
      <c r="N100">
        <v>0</v>
      </c>
      <c r="O100">
        <v>1</v>
      </c>
      <c r="P100">
        <v>6</v>
      </c>
      <c r="Q100">
        <v>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t="s">
        <v>112</v>
      </c>
      <c r="AP100">
        <f t="shared" si="2"/>
        <v>1</v>
      </c>
      <c r="AQ100">
        <v>0</v>
      </c>
      <c r="AR100">
        <v>0</v>
      </c>
      <c r="AT100" t="s">
        <v>113</v>
      </c>
      <c r="AU100">
        <v>0</v>
      </c>
      <c r="AY100">
        <f>IFERROR(MAX(IF(IF(AND(F100="能力",AL100="能力持续"),(参数!$B$2-1)*参数!$B$3,0)+M100*O100*参数!$B$5*IF(AND(F100="能力",AL100="能力持续"),参数!$B$2,1)+P100*参数!$B$6*IF(AND(F100="能力",AL100="能力持续"),参数!$B$2,1)+R100*参数!$B$7*IF(AND(F100="能力",AL100="能力持续"),参数!$B$2,1)+V100*参数!$B$8+IF(X100&lt;0,X100*参数!$B$13,X100*参数!$B$39)+IF(AE100&lt;0,AE100*参数!$B$13,AE100*参数!$B$12)*参数!$B$2+AQ100*参数!$B$15+AB100*参数!$B$11+AF100*参数!$B$40*参数!$B$2+AG100*参数!$B$44*参数!$B$2+AH100*参数!$B$6*参数!$B$2+AI100*参数!$B$39*参数!$B$2+AJ100*参数!$B$6*参数!$B$2+Z100*参数!$B$13-T100*参数!$B$14-AD100*参数!$B$13+IF(ISNUMBER(AU100),AU100*参数!$B$38,0)-AV100*参数!$B$41-AW100*参数!$B$14&gt;参数!$B$17,参数!$B$17+SQRT(IF(AND(F100="能力",AL100="能力持续"),(参数!$B$2-1)*参数!$B$3,0)+M100*O100*参数!$B$5*IF(AND(F100="能力",AL100="能力持续"),参数!$B$2,1)+P100*参数!$B$6*IF(AND(F100="能力",AL100="能力持续"),参数!$B$2,1)+R100*参数!$B$7*IF(AND(F100="能力",AL100="能力持续"),参数!$B$2,1)+V100*参数!$B$8+IF(X100&lt;0,X100*参数!$B$13,X100*参数!$B$39)+IF(AE100&lt;0,AE100*参数!$B$13,AE100*参数!$B$12)*参数!$B$2+AQ100*参数!$B$15+AB100*参数!$B$11+AF100*参数!$B$40*参数!$B$2+AG100*参数!$B$44*参数!$B$2+AH100*参数!$B$6*参数!$B$2+AI100*参数!$B$39*参数!$B$2+AJ100*参数!$B$6*参数!$B$2+Z100*参数!$B$13-T100*参数!$B$14-AD100*参数!$B$13+IF(ISNUMBER(AU100),AU100*参数!$B$38,0)-AV100*参数!$B$41-AW100*参数!$B$14-参数!$B$17)*参数!$B$18,IF(AND(F100="能力",AL100="能力持续"),(参数!$B$2-1)*参数!$B$3,0)+M100*O100*参数!$B$5*IF(AND(F100="能力",AL100="能力持续"),参数!$B$2,1)+P100*参数!$B$6*IF(AND(F100="能力",AL100="能力持续"),参数!$B$2,1)+R100*参数!$B$7*IF(AND(F100="能力",AL100="能力持续"),参数!$B$2,1)+V100*参数!$B$8+IF(X100&lt;0,X100*参数!$B$13,X100*参数!$B$39)+IF(AE100&lt;0,AE100*参数!$B$13,AE100*参数!$B$12)*参数!$B$2+AQ100*参数!$B$15+AB100*参数!$B$11+AF100*参数!$B$40*参数!$B$2+AG100*参数!$B$44*参数!$B$2+AH100*参数!$B$6*参数!$B$2+AI100*参数!$B$39*参数!$B$2+AJ100*参数!$B$6*参数!$B$2+Z100*参数!$B$13-T100*参数!$B$14-AD100*参数!$B$13+IF(ISNUMBER(AU100),AU100*参数!$B$38,0)-AV100*参数!$B$41-AW100*参数!$B$14),0),0)</f>
        <v>11.161895003862227</v>
      </c>
      <c r="AZ100">
        <f>AY100-MAX(AP100,0)*参数!$B$10</f>
        <v>8.1618950038622273</v>
      </c>
      <c r="BA100">
        <f t="shared" si="3"/>
        <v>11.161895003862227</v>
      </c>
    </row>
    <row r="101" spans="1:53" x14ac:dyDescent="0.3">
      <c r="A101">
        <v>100</v>
      </c>
      <c r="B101" t="s">
        <v>528</v>
      </c>
      <c r="C101" t="s">
        <v>452</v>
      </c>
      <c r="D101" t="s">
        <v>529</v>
      </c>
      <c r="E101" t="s">
        <v>530</v>
      </c>
      <c r="F101" t="s">
        <v>117</v>
      </c>
      <c r="G101" t="s">
        <v>14</v>
      </c>
      <c r="H101">
        <v>1</v>
      </c>
      <c r="I101">
        <v>1</v>
      </c>
      <c r="J101" t="s">
        <v>531</v>
      </c>
      <c r="L101" t="s">
        <v>191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</v>
      </c>
      <c r="AG101">
        <v>0</v>
      </c>
      <c r="AH101">
        <v>0</v>
      </c>
      <c r="AI101">
        <v>0</v>
      </c>
      <c r="AJ101">
        <v>0</v>
      </c>
      <c r="AK101" t="s">
        <v>112</v>
      </c>
      <c r="AN101" t="s">
        <v>217</v>
      </c>
      <c r="AP101">
        <f t="shared" si="2"/>
        <v>1</v>
      </c>
      <c r="AQ101">
        <v>0</v>
      </c>
      <c r="AR101">
        <v>0</v>
      </c>
      <c r="AT101" t="s">
        <v>113</v>
      </c>
      <c r="AU101">
        <v>0</v>
      </c>
      <c r="AY101">
        <f>IFERROR(MAX(IF(IF(AND(F101="能力",AL101="能力持续"),(参数!$B$2-1)*参数!$B$3,0)+M101*O101*参数!$B$5*IF(AND(F101="能力",AL101="能力持续"),参数!$B$2,1)+P101*参数!$B$6*IF(AND(F101="能力",AL101="能力持续"),参数!$B$2,1)+R101*参数!$B$7*IF(AND(F101="能力",AL101="能力持续"),参数!$B$2,1)+V101*参数!$B$8+IF(X101&lt;0,X101*参数!$B$13,X101*参数!$B$39)+IF(AE101&lt;0,AE101*参数!$B$13,AE101*参数!$B$12)*参数!$B$2+AQ101*参数!$B$15+AB101*参数!$B$11+AF101*参数!$B$40*参数!$B$2+AG101*参数!$B$44*参数!$B$2+AH101*参数!$B$6*参数!$B$2+AI101*参数!$B$39*参数!$B$2+AJ101*参数!$B$6*参数!$B$2+Z101*参数!$B$13-T101*参数!$B$14-AD101*参数!$B$13+IF(ISNUMBER(AU101),AU101*参数!$B$38,0)-AV101*参数!$B$41-AW101*参数!$B$14&gt;参数!$B$17,参数!$B$17+SQRT(IF(AND(F101="能力",AL101="能力持续"),(参数!$B$2-1)*参数!$B$3,0)+M101*O101*参数!$B$5*IF(AND(F101="能力",AL101="能力持续"),参数!$B$2,1)+P101*参数!$B$6*IF(AND(F101="能力",AL101="能力持续"),参数!$B$2,1)+R101*参数!$B$7*IF(AND(F101="能力",AL101="能力持续"),参数!$B$2,1)+V101*参数!$B$8+IF(X101&lt;0,X101*参数!$B$13,X101*参数!$B$39)+IF(AE101&lt;0,AE101*参数!$B$13,AE101*参数!$B$12)*参数!$B$2+AQ101*参数!$B$15+AB101*参数!$B$11+AF101*参数!$B$40*参数!$B$2+AG101*参数!$B$44*参数!$B$2+AH101*参数!$B$6*参数!$B$2+AI101*参数!$B$39*参数!$B$2+AJ101*参数!$B$6*参数!$B$2+Z101*参数!$B$13-T101*参数!$B$14-AD101*参数!$B$13+IF(ISNUMBER(AU101),AU101*参数!$B$38,0)-AV101*参数!$B$41-AW101*参数!$B$14-参数!$B$17)*参数!$B$18,IF(AND(F101="能力",AL101="能力持续"),(参数!$B$2-1)*参数!$B$3,0)+M101*O101*参数!$B$5*IF(AND(F101="能力",AL101="能力持续"),参数!$B$2,1)+P101*参数!$B$6*IF(AND(F101="能力",AL101="能力持续"),参数!$B$2,1)+R101*参数!$B$7*IF(AND(F101="能力",AL101="能力持续"),参数!$B$2,1)+V101*参数!$B$8+IF(X101&lt;0,X101*参数!$B$13,X101*参数!$B$39)+IF(AE101&lt;0,AE101*参数!$B$13,AE101*参数!$B$12)*参数!$B$2+AQ101*参数!$B$15+AB101*参数!$B$11+AF101*参数!$B$40*参数!$B$2+AG101*参数!$B$44*参数!$B$2+AH101*参数!$B$6*参数!$B$2+AI101*参数!$B$39*参数!$B$2+AJ101*参数!$B$6*参数!$B$2+Z101*参数!$B$13-T101*参数!$B$14-AD101*参数!$B$13+IF(ISNUMBER(AU101),AU101*参数!$B$38,0)-AV101*参数!$B$41-AW101*参数!$B$14),0),0)</f>
        <v>12.121320343559642</v>
      </c>
      <c r="AZ101">
        <f>AY101-MAX(AP101,0)*参数!$B$10</f>
        <v>9.1213203435596419</v>
      </c>
      <c r="BA101">
        <f t="shared" si="3"/>
        <v>12.121320343559642</v>
      </c>
    </row>
    <row r="102" spans="1:53" x14ac:dyDescent="0.3">
      <c r="A102">
        <v>101</v>
      </c>
      <c r="B102" t="s">
        <v>532</v>
      </c>
      <c r="C102" t="s">
        <v>452</v>
      </c>
      <c r="D102" t="s">
        <v>533</v>
      </c>
      <c r="E102" t="s">
        <v>534</v>
      </c>
      <c r="F102" t="s">
        <v>108</v>
      </c>
      <c r="G102" t="s">
        <v>10</v>
      </c>
      <c r="H102">
        <v>1</v>
      </c>
      <c r="I102">
        <v>1</v>
      </c>
      <c r="J102" t="s">
        <v>535</v>
      </c>
      <c r="L102" t="s">
        <v>191</v>
      </c>
      <c r="M102">
        <v>4</v>
      </c>
      <c r="N102">
        <v>6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t="s">
        <v>112</v>
      </c>
      <c r="AN102" t="s">
        <v>192</v>
      </c>
      <c r="AP102">
        <f t="shared" si="2"/>
        <v>1</v>
      </c>
      <c r="AQ102">
        <v>0</v>
      </c>
      <c r="AR102">
        <v>0</v>
      </c>
      <c r="AT102" t="s">
        <v>113</v>
      </c>
      <c r="AU102">
        <v>0</v>
      </c>
      <c r="AY102">
        <f>IFERROR(MAX(IF(IF(AND(F102="能力",AL102="能力持续"),(参数!$B$2-1)*参数!$B$3,0)+M102*O102*参数!$B$5*IF(AND(F102="能力",AL102="能力持续"),参数!$B$2,1)+P102*参数!$B$6*IF(AND(F102="能力",AL102="能力持续"),参数!$B$2,1)+R102*参数!$B$7*IF(AND(F102="能力",AL102="能力持续"),参数!$B$2,1)+V102*参数!$B$8+IF(X102&lt;0,X102*参数!$B$13,X102*参数!$B$39)+IF(AE102&lt;0,AE102*参数!$B$13,AE102*参数!$B$12)*参数!$B$2+AQ102*参数!$B$15+AB102*参数!$B$11+AF102*参数!$B$40*参数!$B$2+AG102*参数!$B$44*参数!$B$2+AH102*参数!$B$6*参数!$B$2+AI102*参数!$B$39*参数!$B$2+AJ102*参数!$B$6*参数!$B$2+Z102*参数!$B$13-T102*参数!$B$14-AD102*参数!$B$13+IF(ISNUMBER(AU102),AU102*参数!$B$38,0)-AV102*参数!$B$41-AW102*参数!$B$14&gt;参数!$B$17,参数!$B$17+SQRT(IF(AND(F102="能力",AL102="能力持续"),(参数!$B$2-1)*参数!$B$3,0)+M102*O102*参数!$B$5*IF(AND(F102="能力",AL102="能力持续"),参数!$B$2,1)+P102*参数!$B$6*IF(AND(F102="能力",AL102="能力持续"),参数!$B$2,1)+R102*参数!$B$7*IF(AND(F102="能力",AL102="能力持续"),参数!$B$2,1)+V102*参数!$B$8+IF(X102&lt;0,X102*参数!$B$13,X102*参数!$B$39)+IF(AE102&lt;0,AE102*参数!$B$13,AE102*参数!$B$12)*参数!$B$2+AQ102*参数!$B$15+AB102*参数!$B$11+AF102*参数!$B$40*参数!$B$2+AG102*参数!$B$44*参数!$B$2+AH102*参数!$B$6*参数!$B$2+AI102*参数!$B$39*参数!$B$2+AJ102*参数!$B$6*参数!$B$2+Z102*参数!$B$13-T102*参数!$B$14-AD102*参数!$B$13+IF(ISNUMBER(AU102),AU102*参数!$B$38,0)-AV102*参数!$B$41-AW102*参数!$B$14-参数!$B$17)*参数!$B$18,IF(AND(F102="能力",AL102="能力持续"),(参数!$B$2-1)*参数!$B$3,0)+M102*O102*参数!$B$5*IF(AND(F102="能力",AL102="能力持续"),参数!$B$2,1)+P102*参数!$B$6*IF(AND(F102="能力",AL102="能力持续"),参数!$B$2,1)+R102*参数!$B$7*IF(AND(F102="能力",AL102="能力持续"),参数!$B$2,1)+V102*参数!$B$8+IF(X102&lt;0,X102*参数!$B$13,X102*参数!$B$39)+IF(AE102&lt;0,AE102*参数!$B$13,AE102*参数!$B$12)*参数!$B$2+AQ102*参数!$B$15+AB102*参数!$B$11+AF102*参数!$B$40*参数!$B$2+AG102*参数!$B$44*参数!$B$2+AH102*参数!$B$6*参数!$B$2+AI102*参数!$B$39*参数!$B$2+AJ102*参数!$B$6*参数!$B$2+Z102*参数!$B$13-T102*参数!$B$14-AD102*参数!$B$13+IF(ISNUMBER(AU102),AU102*参数!$B$38,0)-AV102*参数!$B$41-AW102*参数!$B$14),0),0)</f>
        <v>8</v>
      </c>
      <c r="AZ102">
        <f>AY102-MAX(AP102,0)*参数!$B$10</f>
        <v>5</v>
      </c>
      <c r="BA102">
        <f t="shared" si="3"/>
        <v>8</v>
      </c>
    </row>
    <row r="103" spans="1:53" x14ac:dyDescent="0.3">
      <c r="A103">
        <v>102</v>
      </c>
      <c r="B103" t="s">
        <v>536</v>
      </c>
      <c r="C103" t="s">
        <v>452</v>
      </c>
      <c r="D103" t="s">
        <v>537</v>
      </c>
      <c r="E103" t="s">
        <v>538</v>
      </c>
      <c r="F103" t="s">
        <v>108</v>
      </c>
      <c r="G103" t="s">
        <v>10</v>
      </c>
      <c r="H103">
        <v>1</v>
      </c>
      <c r="I103">
        <v>1</v>
      </c>
      <c r="J103" t="s">
        <v>539</v>
      </c>
      <c r="L103" t="s">
        <v>111</v>
      </c>
      <c r="M103">
        <v>9</v>
      </c>
      <c r="N103">
        <v>12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112</v>
      </c>
      <c r="AP103">
        <f t="shared" si="2"/>
        <v>1</v>
      </c>
      <c r="AQ103">
        <v>0</v>
      </c>
      <c r="AR103">
        <v>0</v>
      </c>
      <c r="AT103" t="s">
        <v>113</v>
      </c>
      <c r="AU103">
        <v>0</v>
      </c>
      <c r="AY103">
        <f>IFERROR(MAX(IF(IF(AND(F103="能力",AL103="能力持续"),(参数!$B$2-1)*参数!$B$3,0)+M103*O103*参数!$B$5*IF(AND(F103="能力",AL103="能力持续"),参数!$B$2,1)+P103*参数!$B$6*IF(AND(F103="能力",AL103="能力持续"),参数!$B$2,1)+R103*参数!$B$7*IF(AND(F103="能力",AL103="能力持续"),参数!$B$2,1)+V103*参数!$B$8+IF(X103&lt;0,X103*参数!$B$13,X103*参数!$B$39)+IF(AE103&lt;0,AE103*参数!$B$13,AE103*参数!$B$12)*参数!$B$2+AQ103*参数!$B$15+AB103*参数!$B$11+AF103*参数!$B$40*参数!$B$2+AG103*参数!$B$44*参数!$B$2+AH103*参数!$B$6*参数!$B$2+AI103*参数!$B$39*参数!$B$2+AJ103*参数!$B$6*参数!$B$2+Z103*参数!$B$13-T103*参数!$B$14-AD103*参数!$B$13+IF(ISNUMBER(AU103),AU103*参数!$B$38,0)-AV103*参数!$B$41-AW103*参数!$B$14&gt;参数!$B$17,参数!$B$17+SQRT(IF(AND(F103="能力",AL103="能力持续"),(参数!$B$2-1)*参数!$B$3,0)+M103*O103*参数!$B$5*IF(AND(F103="能力",AL103="能力持续"),参数!$B$2,1)+P103*参数!$B$6*IF(AND(F103="能力",AL103="能力持续"),参数!$B$2,1)+R103*参数!$B$7*IF(AND(F103="能力",AL103="能力持续"),参数!$B$2,1)+V103*参数!$B$8+IF(X103&lt;0,X103*参数!$B$13,X103*参数!$B$39)+IF(AE103&lt;0,AE103*参数!$B$13,AE103*参数!$B$12)*参数!$B$2+AQ103*参数!$B$15+AB103*参数!$B$11+AF103*参数!$B$40*参数!$B$2+AG103*参数!$B$44*参数!$B$2+AH103*参数!$B$6*参数!$B$2+AI103*参数!$B$39*参数!$B$2+AJ103*参数!$B$6*参数!$B$2+Z103*参数!$B$13-T103*参数!$B$14-AD103*参数!$B$13+IF(ISNUMBER(AU103),AU103*参数!$B$38,0)-AV103*参数!$B$41-AW103*参数!$B$14-参数!$B$17)*参数!$B$18,IF(AND(F103="能力",AL103="能力持续"),(参数!$B$2-1)*参数!$B$3,0)+M103*O103*参数!$B$5*IF(AND(F103="能力",AL103="能力持续"),参数!$B$2,1)+P103*参数!$B$6*IF(AND(F103="能力",AL103="能力持续"),参数!$B$2,1)+R103*参数!$B$7*IF(AND(F103="能力",AL103="能力持续"),参数!$B$2,1)+V103*参数!$B$8+IF(X103&lt;0,X103*参数!$B$13,X103*参数!$B$39)+IF(AE103&lt;0,AE103*参数!$B$13,AE103*参数!$B$12)*参数!$B$2+AQ103*参数!$B$15+AB103*参数!$B$11+AF103*参数!$B$40*参数!$B$2+AG103*参数!$B$44*参数!$B$2+AH103*参数!$B$6*参数!$B$2+AI103*参数!$B$39*参数!$B$2+AJ103*参数!$B$6*参数!$B$2+Z103*参数!$B$13-T103*参数!$B$14-AD103*参数!$B$13+IF(ISNUMBER(AU103),AU103*参数!$B$38,0)-AV103*参数!$B$41-AW103*参数!$B$14),0),0)</f>
        <v>9.3999999999999986</v>
      </c>
      <c r="AZ103">
        <f>AY103-MAX(AP103,0)*参数!$B$10</f>
        <v>6.3999999999999986</v>
      </c>
      <c r="BA103">
        <f t="shared" si="3"/>
        <v>9.3999999999999986</v>
      </c>
    </row>
    <row r="104" spans="1:53" x14ac:dyDescent="0.3">
      <c r="A104">
        <v>103</v>
      </c>
      <c r="B104" t="s">
        <v>540</v>
      </c>
      <c r="C104" t="s">
        <v>452</v>
      </c>
      <c r="D104" t="s">
        <v>541</v>
      </c>
      <c r="E104" t="s">
        <v>542</v>
      </c>
      <c r="F104" t="s">
        <v>108</v>
      </c>
      <c r="G104" t="s">
        <v>12</v>
      </c>
      <c r="H104">
        <v>2</v>
      </c>
      <c r="I104">
        <v>2</v>
      </c>
      <c r="J104" t="s">
        <v>543</v>
      </c>
      <c r="L104" t="s">
        <v>111</v>
      </c>
      <c r="M104">
        <v>10</v>
      </c>
      <c r="N104">
        <v>13</v>
      </c>
      <c r="O104">
        <v>1</v>
      </c>
      <c r="P104">
        <v>10</v>
      </c>
      <c r="Q104">
        <v>13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t="s">
        <v>112</v>
      </c>
      <c r="AP104">
        <f t="shared" si="2"/>
        <v>2</v>
      </c>
      <c r="AQ104">
        <v>0</v>
      </c>
      <c r="AR104">
        <v>0</v>
      </c>
      <c r="AT104" t="s">
        <v>113</v>
      </c>
      <c r="AU104">
        <v>0</v>
      </c>
      <c r="AY104">
        <f>IFERROR(MAX(IF(IF(AND(F104="能力",AL104="能力持续"),(参数!$B$2-1)*参数!$B$3,0)+M104*O104*参数!$B$5*IF(AND(F104="能力",AL104="能力持续"),参数!$B$2,1)+P104*参数!$B$6*IF(AND(F104="能力",AL104="能力持续"),参数!$B$2,1)+R104*参数!$B$7*IF(AND(F104="能力",AL104="能力持续"),参数!$B$2,1)+V104*参数!$B$8+IF(X104&lt;0,X104*参数!$B$13,X104*参数!$B$39)+IF(AE104&lt;0,AE104*参数!$B$13,AE104*参数!$B$12)*参数!$B$2+AQ104*参数!$B$15+AB104*参数!$B$11+AF104*参数!$B$40*参数!$B$2+AG104*参数!$B$44*参数!$B$2+AH104*参数!$B$6*参数!$B$2+AI104*参数!$B$39*参数!$B$2+AJ104*参数!$B$6*参数!$B$2+Z104*参数!$B$13-T104*参数!$B$14-AD104*参数!$B$13+IF(ISNUMBER(AU104),AU104*参数!$B$38,0)-AV104*参数!$B$41-AW104*参数!$B$14&gt;参数!$B$17,参数!$B$17+SQRT(IF(AND(F104="能力",AL104="能力持续"),(参数!$B$2-1)*参数!$B$3,0)+M104*O104*参数!$B$5*IF(AND(F104="能力",AL104="能力持续"),参数!$B$2,1)+P104*参数!$B$6*IF(AND(F104="能力",AL104="能力持续"),参数!$B$2,1)+R104*参数!$B$7*IF(AND(F104="能力",AL104="能力持续"),参数!$B$2,1)+V104*参数!$B$8+IF(X104&lt;0,X104*参数!$B$13,X104*参数!$B$39)+IF(AE104&lt;0,AE104*参数!$B$13,AE104*参数!$B$12)*参数!$B$2+AQ104*参数!$B$15+AB104*参数!$B$11+AF104*参数!$B$40*参数!$B$2+AG104*参数!$B$44*参数!$B$2+AH104*参数!$B$6*参数!$B$2+AI104*参数!$B$39*参数!$B$2+AJ104*参数!$B$6*参数!$B$2+Z104*参数!$B$13-T104*参数!$B$14-AD104*参数!$B$13+IF(ISNUMBER(AU104),AU104*参数!$B$38,0)-AV104*参数!$B$41-AW104*参数!$B$14-参数!$B$17)*参数!$B$18,IF(AND(F104="能力",AL104="能力持续"),(参数!$B$2-1)*参数!$B$3,0)+M104*O104*参数!$B$5*IF(AND(F104="能力",AL104="能力持续"),参数!$B$2,1)+P104*参数!$B$6*IF(AND(F104="能力",AL104="能力持续"),参数!$B$2,1)+R104*参数!$B$7*IF(AND(F104="能力",AL104="能力持续"),参数!$B$2,1)+V104*参数!$B$8+IF(X104&lt;0,X104*参数!$B$13,X104*参数!$B$39)+IF(AE104&lt;0,AE104*参数!$B$13,AE104*参数!$B$12)*参数!$B$2+AQ104*参数!$B$15+AB104*参数!$B$11+AF104*参数!$B$40*参数!$B$2+AG104*参数!$B$44*参数!$B$2+AH104*参数!$B$6*参数!$B$2+AI104*参数!$B$39*参数!$B$2+AJ104*参数!$B$6*参数!$B$2+Z104*参数!$B$13-T104*参数!$B$14-AD104*参数!$B$13+IF(ISNUMBER(AU104),AU104*参数!$B$38,0)-AV104*参数!$B$41-AW104*参数!$B$14),0),0)</f>
        <v>14.974937185533101</v>
      </c>
      <c r="AZ104">
        <f>AY104-MAX(AP104,0)*参数!$B$10</f>
        <v>8.9749371855331006</v>
      </c>
      <c r="BA104">
        <f t="shared" si="3"/>
        <v>7.4874685927665503</v>
      </c>
    </row>
    <row r="105" spans="1:53" x14ac:dyDescent="0.3">
      <c r="A105">
        <v>104</v>
      </c>
      <c r="B105" t="s">
        <v>544</v>
      </c>
      <c r="C105" t="s">
        <v>452</v>
      </c>
      <c r="D105" t="s">
        <v>545</v>
      </c>
      <c r="E105" t="s">
        <v>546</v>
      </c>
      <c r="F105" t="s">
        <v>117</v>
      </c>
      <c r="G105" t="s">
        <v>10</v>
      </c>
      <c r="H105">
        <v>1</v>
      </c>
      <c r="I105">
        <v>1</v>
      </c>
      <c r="J105" t="s">
        <v>547</v>
      </c>
      <c r="L105" t="s">
        <v>111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5</v>
      </c>
      <c r="AG105">
        <v>0</v>
      </c>
      <c r="AH105">
        <v>0</v>
      </c>
      <c r="AI105">
        <v>0</v>
      </c>
      <c r="AJ105">
        <v>0</v>
      </c>
      <c r="AK105" t="s">
        <v>112</v>
      </c>
      <c r="AP105">
        <f t="shared" si="2"/>
        <v>1</v>
      </c>
      <c r="AQ105">
        <v>0</v>
      </c>
      <c r="AR105">
        <v>0</v>
      </c>
      <c r="AT105" t="s">
        <v>113</v>
      </c>
      <c r="AU105">
        <v>0</v>
      </c>
      <c r="AY105">
        <f>IFERROR(MAX(IF(IF(AND(F105="能力",AL105="能力持续"),(参数!$B$2-1)*参数!$B$3,0)+M105*O105*参数!$B$5*IF(AND(F105="能力",AL105="能力持续"),参数!$B$2,1)+P105*参数!$B$6*IF(AND(F105="能力",AL105="能力持续"),参数!$B$2,1)+R105*参数!$B$7*IF(AND(F105="能力",AL105="能力持续"),参数!$B$2,1)+V105*参数!$B$8+IF(X105&lt;0,X105*参数!$B$13,X105*参数!$B$39)+IF(AE105&lt;0,AE105*参数!$B$13,AE105*参数!$B$12)*参数!$B$2+AQ105*参数!$B$15+AB105*参数!$B$11+AF105*参数!$B$40*参数!$B$2+AG105*参数!$B$44*参数!$B$2+AH105*参数!$B$6*参数!$B$2+AI105*参数!$B$39*参数!$B$2+AJ105*参数!$B$6*参数!$B$2+Z105*参数!$B$13-T105*参数!$B$14-AD105*参数!$B$13+IF(ISNUMBER(AU105),AU105*参数!$B$38,0)-AV105*参数!$B$41-AW105*参数!$B$14&gt;参数!$B$17,参数!$B$17+SQRT(IF(AND(F105="能力",AL105="能力持续"),(参数!$B$2-1)*参数!$B$3,0)+M105*O105*参数!$B$5*IF(AND(F105="能力",AL105="能力持续"),参数!$B$2,1)+P105*参数!$B$6*IF(AND(F105="能力",AL105="能力持续"),参数!$B$2,1)+R105*参数!$B$7*IF(AND(F105="能力",AL105="能力持续"),参数!$B$2,1)+V105*参数!$B$8+IF(X105&lt;0,X105*参数!$B$13,X105*参数!$B$39)+IF(AE105&lt;0,AE105*参数!$B$13,AE105*参数!$B$12)*参数!$B$2+AQ105*参数!$B$15+AB105*参数!$B$11+AF105*参数!$B$40*参数!$B$2+AG105*参数!$B$44*参数!$B$2+AH105*参数!$B$6*参数!$B$2+AI105*参数!$B$39*参数!$B$2+AJ105*参数!$B$6*参数!$B$2+Z105*参数!$B$13-T105*参数!$B$14-AD105*参数!$B$13+IF(ISNUMBER(AU105),AU105*参数!$B$38,0)-AV105*参数!$B$41-AW105*参数!$B$14-参数!$B$17)*参数!$B$18,IF(AND(F105="能力",AL105="能力持续"),(参数!$B$2-1)*参数!$B$3,0)+M105*O105*参数!$B$5*IF(AND(F105="能力",AL105="能力持续"),参数!$B$2,1)+P105*参数!$B$6*IF(AND(F105="能力",AL105="能力持续"),参数!$B$2,1)+R105*参数!$B$7*IF(AND(F105="能力",AL105="能力持续"),参数!$B$2,1)+V105*参数!$B$8+IF(X105&lt;0,X105*参数!$B$13,X105*参数!$B$39)+IF(AE105&lt;0,AE105*参数!$B$13,AE105*参数!$B$12)*参数!$B$2+AQ105*参数!$B$15+AB105*参数!$B$11+AF105*参数!$B$40*参数!$B$2+AG105*参数!$B$44*参数!$B$2+AH105*参数!$B$6*参数!$B$2+AI105*参数!$B$39*参数!$B$2+AJ105*参数!$B$6*参数!$B$2+Z105*参数!$B$13-T105*参数!$B$14-AD105*参数!$B$13+IF(ISNUMBER(AU105),AU105*参数!$B$38,0)-AV105*参数!$B$41-AW105*参数!$B$14),0),0)</f>
        <v>14.743416490252569</v>
      </c>
      <c r="AZ105">
        <f>AY105-MAX(AP105,0)*参数!$B$10</f>
        <v>11.743416490252569</v>
      </c>
      <c r="BA105">
        <f t="shared" si="3"/>
        <v>14.743416490252569</v>
      </c>
    </row>
    <row r="106" spans="1:53" x14ac:dyDescent="0.3">
      <c r="A106">
        <v>105</v>
      </c>
      <c r="B106" t="s">
        <v>548</v>
      </c>
      <c r="C106" t="s">
        <v>452</v>
      </c>
      <c r="D106" t="s">
        <v>115</v>
      </c>
      <c r="E106" t="s">
        <v>116</v>
      </c>
      <c r="F106" t="s">
        <v>117</v>
      </c>
      <c r="G106" t="s">
        <v>8</v>
      </c>
      <c r="H106">
        <v>1</v>
      </c>
      <c r="I106">
        <v>1</v>
      </c>
      <c r="J106" t="s">
        <v>118</v>
      </c>
      <c r="L106" t="s">
        <v>120</v>
      </c>
      <c r="M106">
        <v>0</v>
      </c>
      <c r="N106">
        <v>0</v>
      </c>
      <c r="O106">
        <v>1</v>
      </c>
      <c r="P106">
        <v>5</v>
      </c>
      <c r="Q106">
        <v>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 t="s">
        <v>112</v>
      </c>
      <c r="AP106">
        <f t="shared" si="2"/>
        <v>1</v>
      </c>
      <c r="AQ106">
        <v>0</v>
      </c>
      <c r="AR106">
        <v>0</v>
      </c>
      <c r="AT106" t="s">
        <v>113</v>
      </c>
      <c r="AU106">
        <v>0</v>
      </c>
      <c r="AY106">
        <f>IFERROR(MAX(IF(IF(AND(F106="能力",AL106="能力持续"),(参数!$B$2-1)*参数!$B$3,0)+M106*O106*参数!$B$5*IF(AND(F106="能力",AL106="能力持续"),参数!$B$2,1)+P106*参数!$B$6*IF(AND(F106="能力",AL106="能力持续"),参数!$B$2,1)+R106*参数!$B$7*IF(AND(F106="能力",AL106="能力持续"),参数!$B$2,1)+V106*参数!$B$8+IF(X106&lt;0,X106*参数!$B$13,X106*参数!$B$39)+IF(AE106&lt;0,AE106*参数!$B$13,AE106*参数!$B$12)*参数!$B$2+AQ106*参数!$B$15+AB106*参数!$B$11+AF106*参数!$B$40*参数!$B$2+AG106*参数!$B$44*参数!$B$2+AH106*参数!$B$6*参数!$B$2+AI106*参数!$B$39*参数!$B$2+AJ106*参数!$B$6*参数!$B$2+Z106*参数!$B$13-T106*参数!$B$14-AD106*参数!$B$13+IF(ISNUMBER(AU106),AU106*参数!$B$38,0)-AV106*参数!$B$41-AW106*参数!$B$14&gt;参数!$B$17,参数!$B$17+SQRT(IF(AND(F106="能力",AL106="能力持续"),(参数!$B$2-1)*参数!$B$3,0)+M106*O106*参数!$B$5*IF(AND(F106="能力",AL106="能力持续"),参数!$B$2,1)+P106*参数!$B$6*IF(AND(F106="能力",AL106="能力持续"),参数!$B$2,1)+R106*参数!$B$7*IF(AND(F106="能力",AL106="能力持续"),参数!$B$2,1)+V106*参数!$B$8+IF(X106&lt;0,X106*参数!$B$13,X106*参数!$B$39)+IF(AE106&lt;0,AE106*参数!$B$13,AE106*参数!$B$12)*参数!$B$2+AQ106*参数!$B$15+AB106*参数!$B$11+AF106*参数!$B$40*参数!$B$2+AG106*参数!$B$44*参数!$B$2+AH106*参数!$B$6*参数!$B$2+AI106*参数!$B$39*参数!$B$2+AJ106*参数!$B$6*参数!$B$2+Z106*参数!$B$13-T106*参数!$B$14-AD106*参数!$B$13+IF(ISNUMBER(AU106),AU106*参数!$B$38,0)-AV106*参数!$B$41-AW106*参数!$B$14-参数!$B$17)*参数!$B$18,IF(AND(F106="能力",AL106="能力持续"),(参数!$B$2-1)*参数!$B$3,0)+M106*O106*参数!$B$5*IF(AND(F106="能力",AL106="能力持续"),参数!$B$2,1)+P106*参数!$B$6*IF(AND(F106="能力",AL106="能力持续"),参数!$B$2,1)+R106*参数!$B$7*IF(AND(F106="能力",AL106="能力持续"),参数!$B$2,1)+V106*参数!$B$8+IF(X106&lt;0,X106*参数!$B$13,X106*参数!$B$39)+IF(AE106&lt;0,AE106*参数!$B$13,AE106*参数!$B$12)*参数!$B$2+AQ106*参数!$B$15+AB106*参数!$B$11+AF106*参数!$B$40*参数!$B$2+AG106*参数!$B$44*参数!$B$2+AH106*参数!$B$6*参数!$B$2+AI106*参数!$B$39*参数!$B$2+AJ106*参数!$B$6*参数!$B$2+Z106*参数!$B$13-T106*参数!$B$14-AD106*参数!$B$13+IF(ISNUMBER(AU106),AU106*参数!$B$38,0)-AV106*参数!$B$41-AW106*参数!$B$14),0),0)</f>
        <v>5.5</v>
      </c>
      <c r="AZ106">
        <f>AY106-MAX(AP106,0)*参数!$B$10</f>
        <v>2.5</v>
      </c>
      <c r="BA106">
        <f t="shared" si="3"/>
        <v>5.5</v>
      </c>
    </row>
    <row r="107" spans="1:53" x14ac:dyDescent="0.3">
      <c r="A107">
        <v>106</v>
      </c>
      <c r="B107" t="s">
        <v>549</v>
      </c>
      <c r="C107" t="s">
        <v>452</v>
      </c>
      <c r="D107" t="s">
        <v>550</v>
      </c>
      <c r="E107" t="s">
        <v>551</v>
      </c>
      <c r="F107" t="s">
        <v>117</v>
      </c>
      <c r="G107" t="s">
        <v>10</v>
      </c>
      <c r="H107">
        <v>0</v>
      </c>
      <c r="I107">
        <v>0</v>
      </c>
      <c r="J107" t="s">
        <v>552</v>
      </c>
      <c r="L107" t="s">
        <v>120</v>
      </c>
      <c r="M107">
        <v>0</v>
      </c>
      <c r="N107">
        <v>0</v>
      </c>
      <c r="O107">
        <v>1</v>
      </c>
      <c r="P107">
        <v>4</v>
      </c>
      <c r="Q107">
        <v>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t="s">
        <v>112</v>
      </c>
      <c r="AP107">
        <f t="shared" si="2"/>
        <v>0.4</v>
      </c>
      <c r="AQ107">
        <v>0</v>
      </c>
      <c r="AR107">
        <v>0</v>
      </c>
      <c r="AT107" t="s">
        <v>113</v>
      </c>
      <c r="AU107">
        <v>0</v>
      </c>
      <c r="AY107">
        <f>IFERROR(MAX(IF(IF(AND(F107="能力",AL107="能力持续"),(参数!$B$2-1)*参数!$B$3,0)+M107*O107*参数!$B$5*IF(AND(F107="能力",AL107="能力持续"),参数!$B$2,1)+P107*参数!$B$6*IF(AND(F107="能力",AL107="能力持续"),参数!$B$2,1)+R107*参数!$B$7*IF(AND(F107="能力",AL107="能力持续"),参数!$B$2,1)+V107*参数!$B$8+IF(X107&lt;0,X107*参数!$B$13,X107*参数!$B$39)+IF(AE107&lt;0,AE107*参数!$B$13,AE107*参数!$B$12)*参数!$B$2+AQ107*参数!$B$15+AB107*参数!$B$11+AF107*参数!$B$40*参数!$B$2+AG107*参数!$B$44*参数!$B$2+AH107*参数!$B$6*参数!$B$2+AI107*参数!$B$39*参数!$B$2+AJ107*参数!$B$6*参数!$B$2+Z107*参数!$B$13-T107*参数!$B$14-AD107*参数!$B$13+IF(ISNUMBER(AU107),AU107*参数!$B$38,0)-AV107*参数!$B$41-AW107*参数!$B$14&gt;参数!$B$17,参数!$B$17+SQRT(IF(AND(F107="能力",AL107="能力持续"),(参数!$B$2-1)*参数!$B$3,0)+M107*O107*参数!$B$5*IF(AND(F107="能力",AL107="能力持续"),参数!$B$2,1)+P107*参数!$B$6*IF(AND(F107="能力",AL107="能力持续"),参数!$B$2,1)+R107*参数!$B$7*IF(AND(F107="能力",AL107="能力持续"),参数!$B$2,1)+V107*参数!$B$8+IF(X107&lt;0,X107*参数!$B$13,X107*参数!$B$39)+IF(AE107&lt;0,AE107*参数!$B$13,AE107*参数!$B$12)*参数!$B$2+AQ107*参数!$B$15+AB107*参数!$B$11+AF107*参数!$B$40*参数!$B$2+AG107*参数!$B$44*参数!$B$2+AH107*参数!$B$6*参数!$B$2+AI107*参数!$B$39*参数!$B$2+AJ107*参数!$B$6*参数!$B$2+Z107*参数!$B$13-T107*参数!$B$14-AD107*参数!$B$13+IF(ISNUMBER(AU107),AU107*参数!$B$38,0)-AV107*参数!$B$41-AW107*参数!$B$14-参数!$B$17)*参数!$B$18,IF(AND(F107="能力",AL107="能力持续"),(参数!$B$2-1)*参数!$B$3,0)+M107*O107*参数!$B$5*IF(AND(F107="能力",AL107="能力持续"),参数!$B$2,1)+P107*参数!$B$6*IF(AND(F107="能力",AL107="能力持续"),参数!$B$2,1)+R107*参数!$B$7*IF(AND(F107="能力",AL107="能力持续"),参数!$B$2,1)+V107*参数!$B$8+IF(X107&lt;0,X107*参数!$B$13,X107*参数!$B$39)+IF(AE107&lt;0,AE107*参数!$B$13,AE107*参数!$B$12)*参数!$B$2+AQ107*参数!$B$15+AB107*参数!$B$11+AF107*参数!$B$40*参数!$B$2+AG107*参数!$B$44*参数!$B$2+AH107*参数!$B$6*参数!$B$2+AI107*参数!$B$39*参数!$B$2+AJ107*参数!$B$6*参数!$B$2+Z107*参数!$B$13-T107*参数!$B$14-AD107*参数!$B$13+IF(ISNUMBER(AU107),AU107*参数!$B$38,0)-AV107*参数!$B$41-AW107*参数!$B$14),0),0)</f>
        <v>4.4000000000000004</v>
      </c>
      <c r="AZ107">
        <f>AY107-MAX(AP107,0)*参数!$B$10</f>
        <v>3.2</v>
      </c>
      <c r="BA107">
        <f t="shared" si="3"/>
        <v>11</v>
      </c>
    </row>
    <row r="108" spans="1:53" x14ac:dyDescent="0.3">
      <c r="A108">
        <v>107</v>
      </c>
      <c r="B108" t="s">
        <v>553</v>
      </c>
      <c r="C108" t="s">
        <v>452</v>
      </c>
      <c r="D108" t="s">
        <v>554</v>
      </c>
      <c r="E108" t="s">
        <v>555</v>
      </c>
      <c r="F108" t="s">
        <v>117</v>
      </c>
      <c r="G108" t="s">
        <v>10</v>
      </c>
      <c r="H108">
        <v>1</v>
      </c>
      <c r="I108">
        <v>1</v>
      </c>
      <c r="J108" t="s">
        <v>556</v>
      </c>
      <c r="L108" t="s">
        <v>120</v>
      </c>
      <c r="M108">
        <v>0</v>
      </c>
      <c r="N108">
        <v>0</v>
      </c>
      <c r="O108">
        <v>2</v>
      </c>
      <c r="P108">
        <v>4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t="s">
        <v>112</v>
      </c>
      <c r="AP108">
        <f t="shared" si="2"/>
        <v>1</v>
      </c>
      <c r="AQ108">
        <v>0</v>
      </c>
      <c r="AR108">
        <v>0</v>
      </c>
      <c r="AT108" t="s">
        <v>113</v>
      </c>
      <c r="AU108">
        <v>0</v>
      </c>
      <c r="AY108">
        <f>IFERROR(MAX(IF(IF(AND(F108="能力",AL108="能力持续"),(参数!$B$2-1)*参数!$B$3,0)+M108*O108*参数!$B$5*IF(AND(F108="能力",AL108="能力持续"),参数!$B$2,1)+P108*参数!$B$6*IF(AND(F108="能力",AL108="能力持续"),参数!$B$2,1)+R108*参数!$B$7*IF(AND(F108="能力",AL108="能力持续"),参数!$B$2,1)+V108*参数!$B$8+IF(X108&lt;0,X108*参数!$B$13,X108*参数!$B$39)+IF(AE108&lt;0,AE108*参数!$B$13,AE108*参数!$B$12)*参数!$B$2+AQ108*参数!$B$15+AB108*参数!$B$11+AF108*参数!$B$40*参数!$B$2+AG108*参数!$B$44*参数!$B$2+AH108*参数!$B$6*参数!$B$2+AI108*参数!$B$39*参数!$B$2+AJ108*参数!$B$6*参数!$B$2+Z108*参数!$B$13-T108*参数!$B$14-AD108*参数!$B$13+IF(ISNUMBER(AU108),AU108*参数!$B$38,0)-AV108*参数!$B$41-AW108*参数!$B$14&gt;参数!$B$17,参数!$B$17+SQRT(IF(AND(F108="能力",AL108="能力持续"),(参数!$B$2-1)*参数!$B$3,0)+M108*O108*参数!$B$5*IF(AND(F108="能力",AL108="能力持续"),参数!$B$2,1)+P108*参数!$B$6*IF(AND(F108="能力",AL108="能力持续"),参数!$B$2,1)+R108*参数!$B$7*IF(AND(F108="能力",AL108="能力持续"),参数!$B$2,1)+V108*参数!$B$8+IF(X108&lt;0,X108*参数!$B$13,X108*参数!$B$39)+IF(AE108&lt;0,AE108*参数!$B$13,AE108*参数!$B$12)*参数!$B$2+AQ108*参数!$B$15+AB108*参数!$B$11+AF108*参数!$B$40*参数!$B$2+AG108*参数!$B$44*参数!$B$2+AH108*参数!$B$6*参数!$B$2+AI108*参数!$B$39*参数!$B$2+AJ108*参数!$B$6*参数!$B$2+Z108*参数!$B$13-T108*参数!$B$14-AD108*参数!$B$13+IF(ISNUMBER(AU108),AU108*参数!$B$38,0)-AV108*参数!$B$41-AW108*参数!$B$14-参数!$B$17)*参数!$B$18,IF(AND(F108="能力",AL108="能力持续"),(参数!$B$2-1)*参数!$B$3,0)+M108*O108*参数!$B$5*IF(AND(F108="能力",AL108="能力持续"),参数!$B$2,1)+P108*参数!$B$6*IF(AND(F108="能力",AL108="能力持续"),参数!$B$2,1)+R108*参数!$B$7*IF(AND(F108="能力",AL108="能力持续"),参数!$B$2,1)+V108*参数!$B$8+IF(X108&lt;0,X108*参数!$B$13,X108*参数!$B$39)+IF(AE108&lt;0,AE108*参数!$B$13,AE108*参数!$B$12)*参数!$B$2+AQ108*参数!$B$15+AB108*参数!$B$11+AF108*参数!$B$40*参数!$B$2+AG108*参数!$B$44*参数!$B$2+AH108*参数!$B$6*参数!$B$2+AI108*参数!$B$39*参数!$B$2+AJ108*参数!$B$6*参数!$B$2+Z108*参数!$B$13-T108*参数!$B$14-AD108*参数!$B$13+IF(ISNUMBER(AU108),AU108*参数!$B$38,0)-AV108*参数!$B$41-AW108*参数!$B$14),0),0)</f>
        <v>4.4000000000000004</v>
      </c>
      <c r="AZ108">
        <f>AY108-MAX(AP108,0)*参数!$B$10</f>
        <v>1.4000000000000004</v>
      </c>
      <c r="BA108">
        <f t="shared" si="3"/>
        <v>4.4000000000000004</v>
      </c>
    </row>
    <row r="109" spans="1:53" x14ac:dyDescent="0.3">
      <c r="A109">
        <v>108</v>
      </c>
      <c r="B109" t="s">
        <v>557</v>
      </c>
      <c r="C109" t="s">
        <v>452</v>
      </c>
      <c r="D109" t="s">
        <v>558</v>
      </c>
      <c r="E109" t="s">
        <v>559</v>
      </c>
      <c r="F109" t="s">
        <v>108</v>
      </c>
      <c r="G109" t="s">
        <v>14</v>
      </c>
      <c r="H109">
        <v>1</v>
      </c>
      <c r="I109">
        <v>1</v>
      </c>
      <c r="J109" t="s">
        <v>560</v>
      </c>
      <c r="L109" t="s">
        <v>191</v>
      </c>
      <c r="M109">
        <v>10</v>
      </c>
      <c r="N109">
        <v>13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t="s">
        <v>112</v>
      </c>
      <c r="AN109" t="s">
        <v>192</v>
      </c>
      <c r="AP109">
        <f t="shared" si="2"/>
        <v>1</v>
      </c>
      <c r="AQ109">
        <v>0</v>
      </c>
      <c r="AR109">
        <v>0</v>
      </c>
      <c r="AT109" t="s">
        <v>113</v>
      </c>
      <c r="AU109">
        <v>0</v>
      </c>
      <c r="AY109">
        <f>IFERROR(MAX(IF(IF(AND(F109="能力",AL109="能力持续"),(参数!$B$2-1)*参数!$B$3,0)+M109*O109*参数!$B$5*IF(AND(F109="能力",AL109="能力持续"),参数!$B$2,1)+P109*参数!$B$6*IF(AND(F109="能力",AL109="能力持续"),参数!$B$2,1)+R109*参数!$B$7*IF(AND(F109="能力",AL109="能力持续"),参数!$B$2,1)+V109*参数!$B$8+IF(X109&lt;0,X109*参数!$B$13,X109*参数!$B$39)+IF(AE109&lt;0,AE109*参数!$B$13,AE109*参数!$B$12)*参数!$B$2+AQ109*参数!$B$15+AB109*参数!$B$11+AF109*参数!$B$40*参数!$B$2+AG109*参数!$B$44*参数!$B$2+AH109*参数!$B$6*参数!$B$2+AI109*参数!$B$39*参数!$B$2+AJ109*参数!$B$6*参数!$B$2+Z109*参数!$B$13-T109*参数!$B$14-AD109*参数!$B$13+IF(ISNUMBER(AU109),AU109*参数!$B$38,0)-AV109*参数!$B$41-AW109*参数!$B$14&gt;参数!$B$17,参数!$B$17+SQRT(IF(AND(F109="能力",AL109="能力持续"),(参数!$B$2-1)*参数!$B$3,0)+M109*O109*参数!$B$5*IF(AND(F109="能力",AL109="能力持续"),参数!$B$2,1)+P109*参数!$B$6*IF(AND(F109="能力",AL109="能力持续"),参数!$B$2,1)+R109*参数!$B$7*IF(AND(F109="能力",AL109="能力持续"),参数!$B$2,1)+V109*参数!$B$8+IF(X109&lt;0,X109*参数!$B$13,X109*参数!$B$39)+IF(AE109&lt;0,AE109*参数!$B$13,AE109*参数!$B$12)*参数!$B$2+AQ109*参数!$B$15+AB109*参数!$B$11+AF109*参数!$B$40*参数!$B$2+AG109*参数!$B$44*参数!$B$2+AH109*参数!$B$6*参数!$B$2+AI109*参数!$B$39*参数!$B$2+AJ109*参数!$B$6*参数!$B$2+Z109*参数!$B$13-T109*参数!$B$14-AD109*参数!$B$13+IF(ISNUMBER(AU109),AU109*参数!$B$38,0)-AV109*参数!$B$41-AW109*参数!$B$14-参数!$B$17)*参数!$B$18,IF(AND(F109="能力",AL109="能力持续"),(参数!$B$2-1)*参数!$B$3,0)+M109*O109*参数!$B$5*IF(AND(F109="能力",AL109="能力持续"),参数!$B$2,1)+P109*参数!$B$6*IF(AND(F109="能力",AL109="能力持续"),参数!$B$2,1)+R109*参数!$B$7*IF(AND(F109="能力",AL109="能力持续"),参数!$B$2,1)+V109*参数!$B$8+IF(X109&lt;0,X109*参数!$B$13,X109*参数!$B$39)+IF(AE109&lt;0,AE109*参数!$B$13,AE109*参数!$B$12)*参数!$B$2+AQ109*参数!$B$15+AB109*参数!$B$11+AF109*参数!$B$40*参数!$B$2+AG109*参数!$B$44*参数!$B$2+AH109*参数!$B$6*参数!$B$2+AI109*参数!$B$39*参数!$B$2+AJ109*参数!$B$6*参数!$B$2+Z109*参数!$B$13-T109*参数!$B$14-AD109*参数!$B$13+IF(ISNUMBER(AU109),AU109*参数!$B$38,0)-AV109*参数!$B$41-AW109*参数!$B$14),0),0)</f>
        <v>10</v>
      </c>
      <c r="AZ109">
        <f>AY109-MAX(AP109,0)*参数!$B$10</f>
        <v>7</v>
      </c>
      <c r="BA109">
        <f t="shared" si="3"/>
        <v>10</v>
      </c>
    </row>
    <row r="110" spans="1:53" x14ac:dyDescent="0.3">
      <c r="A110">
        <v>109</v>
      </c>
      <c r="B110" t="s">
        <v>561</v>
      </c>
      <c r="C110" t="s">
        <v>452</v>
      </c>
      <c r="D110" t="s">
        <v>562</v>
      </c>
      <c r="E110" t="s">
        <v>563</v>
      </c>
      <c r="F110" t="s">
        <v>124</v>
      </c>
      <c r="G110" t="s">
        <v>14</v>
      </c>
      <c r="H110">
        <v>2</v>
      </c>
      <c r="I110">
        <v>2</v>
      </c>
      <c r="J110" t="s">
        <v>564</v>
      </c>
      <c r="L110" t="s">
        <v>120</v>
      </c>
      <c r="M110">
        <v>0</v>
      </c>
      <c r="N110">
        <v>0</v>
      </c>
      <c r="O110">
        <v>10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 t="s">
        <v>112</v>
      </c>
      <c r="AN110" t="s">
        <v>124</v>
      </c>
      <c r="AP110">
        <f t="shared" si="2"/>
        <v>2</v>
      </c>
      <c r="AQ110">
        <v>0</v>
      </c>
      <c r="AR110">
        <v>0</v>
      </c>
      <c r="AT110" t="s">
        <v>113</v>
      </c>
      <c r="AU110">
        <v>0</v>
      </c>
      <c r="AY110">
        <f>IFERROR(MAX(IF(IF(AND(F110="能力",AL110="能力持续"),(参数!$B$2-1)*参数!$B$3,0)+M110*O110*参数!$B$5*IF(AND(F110="能力",AL110="能力持续"),参数!$B$2,1)+P110*参数!$B$6*IF(AND(F110="能力",AL110="能力持续"),参数!$B$2,1)+R110*参数!$B$7*IF(AND(F110="能力",AL110="能力持续"),参数!$B$2,1)+V110*参数!$B$8+IF(X110&lt;0,X110*参数!$B$13,X110*参数!$B$39)+IF(AE110&lt;0,AE110*参数!$B$13,AE110*参数!$B$12)*参数!$B$2+AQ110*参数!$B$15+AB110*参数!$B$11+AF110*参数!$B$40*参数!$B$2+AG110*参数!$B$44*参数!$B$2+AH110*参数!$B$6*参数!$B$2+AI110*参数!$B$39*参数!$B$2+AJ110*参数!$B$6*参数!$B$2+Z110*参数!$B$13-T110*参数!$B$14-AD110*参数!$B$13+IF(ISNUMBER(AU110),AU110*参数!$B$38,0)-AV110*参数!$B$41-AW110*参数!$B$14&gt;参数!$B$17,参数!$B$17+SQRT(IF(AND(F110="能力",AL110="能力持续"),(参数!$B$2-1)*参数!$B$3,0)+M110*O110*参数!$B$5*IF(AND(F110="能力",AL110="能力持续"),参数!$B$2,1)+P110*参数!$B$6*IF(AND(F110="能力",AL110="能力持续"),参数!$B$2,1)+R110*参数!$B$7*IF(AND(F110="能力",AL110="能力持续"),参数!$B$2,1)+V110*参数!$B$8+IF(X110&lt;0,X110*参数!$B$13,X110*参数!$B$39)+IF(AE110&lt;0,AE110*参数!$B$13,AE110*参数!$B$12)*参数!$B$2+AQ110*参数!$B$15+AB110*参数!$B$11+AF110*参数!$B$40*参数!$B$2+AG110*参数!$B$44*参数!$B$2+AH110*参数!$B$6*参数!$B$2+AI110*参数!$B$39*参数!$B$2+AJ110*参数!$B$6*参数!$B$2+Z110*参数!$B$13-T110*参数!$B$14-AD110*参数!$B$13+IF(ISNUMBER(AU110),AU110*参数!$B$38,0)-AV110*参数!$B$41-AW110*参数!$B$14-参数!$B$17)*参数!$B$18,IF(AND(F110="能力",AL110="能力持续"),(参数!$B$2-1)*参数!$B$3,0)+M110*O110*参数!$B$5*IF(AND(F110="能力",AL110="能力持续"),参数!$B$2,1)+P110*参数!$B$6*IF(AND(F110="能力",AL110="能力持续"),参数!$B$2,1)+R110*参数!$B$7*IF(AND(F110="能力",AL110="能力持续"),参数!$B$2,1)+V110*参数!$B$8+IF(X110&lt;0,X110*参数!$B$13,X110*参数!$B$39)+IF(AE110&lt;0,AE110*参数!$B$13,AE110*参数!$B$12)*参数!$B$2+AQ110*参数!$B$15+AB110*参数!$B$11+AF110*参数!$B$40*参数!$B$2+AG110*参数!$B$44*参数!$B$2+AH110*参数!$B$6*参数!$B$2+AI110*参数!$B$39*参数!$B$2+AJ110*参数!$B$6*参数!$B$2+Z110*参数!$B$13-T110*参数!$B$14-AD110*参数!$B$13+IF(ISNUMBER(AU110),AU110*参数!$B$38,0)-AV110*参数!$B$41-AW110*参数!$B$14),0),0)</f>
        <v>4</v>
      </c>
      <c r="AZ110">
        <f>AY110-MAX(AP110,0)*参数!$B$10</f>
        <v>-2</v>
      </c>
      <c r="BA110">
        <f t="shared" si="3"/>
        <v>2</v>
      </c>
    </row>
    <row r="111" spans="1:53" x14ac:dyDescent="0.3">
      <c r="A111">
        <v>110</v>
      </c>
      <c r="B111" t="s">
        <v>565</v>
      </c>
      <c r="C111" t="s">
        <v>452</v>
      </c>
      <c r="D111" t="s">
        <v>566</v>
      </c>
      <c r="E111" t="s">
        <v>567</v>
      </c>
      <c r="F111" t="s">
        <v>117</v>
      </c>
      <c r="G111" t="s">
        <v>12</v>
      </c>
      <c r="H111">
        <v>0</v>
      </c>
      <c r="I111">
        <v>0</v>
      </c>
      <c r="J111" t="s">
        <v>568</v>
      </c>
      <c r="L111" t="s">
        <v>120</v>
      </c>
      <c r="M111">
        <v>0</v>
      </c>
      <c r="N111">
        <v>0</v>
      </c>
      <c r="O111">
        <v>1</v>
      </c>
      <c r="P111">
        <v>3</v>
      </c>
      <c r="Q111">
        <v>5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112</v>
      </c>
      <c r="AP111">
        <f t="shared" si="2"/>
        <v>0.4</v>
      </c>
      <c r="AQ111">
        <v>0</v>
      </c>
      <c r="AR111">
        <v>0</v>
      </c>
      <c r="AT111" t="s">
        <v>113</v>
      </c>
      <c r="AU111">
        <v>0</v>
      </c>
      <c r="AY111">
        <f>IFERROR(MAX(IF(IF(AND(F111="能力",AL111="能力持续"),(参数!$B$2-1)*参数!$B$3,0)+M111*O111*参数!$B$5*IF(AND(F111="能力",AL111="能力持续"),参数!$B$2,1)+P111*参数!$B$6*IF(AND(F111="能力",AL111="能力持续"),参数!$B$2,1)+R111*参数!$B$7*IF(AND(F111="能力",AL111="能力持续"),参数!$B$2,1)+V111*参数!$B$8+IF(X111&lt;0,X111*参数!$B$13,X111*参数!$B$39)+IF(AE111&lt;0,AE111*参数!$B$13,AE111*参数!$B$12)*参数!$B$2+AQ111*参数!$B$15+AB111*参数!$B$11+AF111*参数!$B$40*参数!$B$2+AG111*参数!$B$44*参数!$B$2+AH111*参数!$B$6*参数!$B$2+AI111*参数!$B$39*参数!$B$2+AJ111*参数!$B$6*参数!$B$2+Z111*参数!$B$13-T111*参数!$B$14-AD111*参数!$B$13+IF(ISNUMBER(AU111),AU111*参数!$B$38,0)-AV111*参数!$B$41-AW111*参数!$B$14&gt;参数!$B$17,参数!$B$17+SQRT(IF(AND(F111="能力",AL111="能力持续"),(参数!$B$2-1)*参数!$B$3,0)+M111*O111*参数!$B$5*IF(AND(F111="能力",AL111="能力持续"),参数!$B$2,1)+P111*参数!$B$6*IF(AND(F111="能力",AL111="能力持续"),参数!$B$2,1)+R111*参数!$B$7*IF(AND(F111="能力",AL111="能力持续"),参数!$B$2,1)+V111*参数!$B$8+IF(X111&lt;0,X111*参数!$B$13,X111*参数!$B$39)+IF(AE111&lt;0,AE111*参数!$B$13,AE111*参数!$B$12)*参数!$B$2+AQ111*参数!$B$15+AB111*参数!$B$11+AF111*参数!$B$40*参数!$B$2+AG111*参数!$B$44*参数!$B$2+AH111*参数!$B$6*参数!$B$2+AI111*参数!$B$39*参数!$B$2+AJ111*参数!$B$6*参数!$B$2+Z111*参数!$B$13-T111*参数!$B$14-AD111*参数!$B$13+IF(ISNUMBER(AU111),AU111*参数!$B$38,0)-AV111*参数!$B$41-AW111*参数!$B$14-参数!$B$17)*参数!$B$18,IF(AND(F111="能力",AL111="能力持续"),(参数!$B$2-1)*参数!$B$3,0)+M111*O111*参数!$B$5*IF(AND(F111="能力",AL111="能力持续"),参数!$B$2,1)+P111*参数!$B$6*IF(AND(F111="能力",AL111="能力持续"),参数!$B$2,1)+R111*参数!$B$7*IF(AND(F111="能力",AL111="能力持续"),参数!$B$2,1)+V111*参数!$B$8+IF(X111&lt;0,X111*参数!$B$13,X111*参数!$B$39)+IF(AE111&lt;0,AE111*参数!$B$13,AE111*参数!$B$12)*参数!$B$2+AQ111*参数!$B$15+AB111*参数!$B$11+AF111*参数!$B$40*参数!$B$2+AG111*参数!$B$44*参数!$B$2+AH111*参数!$B$6*参数!$B$2+AI111*参数!$B$39*参数!$B$2+AJ111*参数!$B$6*参数!$B$2+Z111*参数!$B$13-T111*参数!$B$14-AD111*参数!$B$13+IF(ISNUMBER(AU111),AU111*参数!$B$38,0)-AV111*参数!$B$41-AW111*参数!$B$14),0),0)</f>
        <v>4</v>
      </c>
      <c r="AZ111">
        <f>AY111-MAX(AP111,0)*参数!$B$10</f>
        <v>2.8</v>
      </c>
      <c r="BA111">
        <f t="shared" si="3"/>
        <v>10</v>
      </c>
    </row>
    <row r="112" spans="1:53" x14ac:dyDescent="0.3">
      <c r="A112">
        <v>111</v>
      </c>
      <c r="B112" t="s">
        <v>569</v>
      </c>
      <c r="C112" t="s">
        <v>452</v>
      </c>
      <c r="D112" t="s">
        <v>570</v>
      </c>
      <c r="E112" t="s">
        <v>571</v>
      </c>
      <c r="F112" t="s">
        <v>117</v>
      </c>
      <c r="G112" t="s">
        <v>12</v>
      </c>
      <c r="H112">
        <v>1</v>
      </c>
      <c r="I112">
        <v>1</v>
      </c>
      <c r="J112" t="s">
        <v>572</v>
      </c>
      <c r="L112" t="s">
        <v>111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 t="s">
        <v>112</v>
      </c>
      <c r="AP112">
        <f t="shared" si="2"/>
        <v>1</v>
      </c>
      <c r="AQ112">
        <v>0</v>
      </c>
      <c r="AR112">
        <v>0</v>
      </c>
      <c r="AT112" t="s">
        <v>113</v>
      </c>
      <c r="AU112">
        <v>0</v>
      </c>
      <c r="AY112">
        <f>IFERROR(MAX(IF(IF(AND(F112="能力",AL112="能力持续"),(参数!$B$2-1)*参数!$B$3,0)+M112*O112*参数!$B$5*IF(AND(F112="能力",AL112="能力持续"),参数!$B$2,1)+P112*参数!$B$6*IF(AND(F112="能力",AL112="能力持续"),参数!$B$2,1)+R112*参数!$B$7*IF(AND(F112="能力",AL112="能力持续"),参数!$B$2,1)+V112*参数!$B$8+IF(X112&lt;0,X112*参数!$B$13,X112*参数!$B$39)+IF(AE112&lt;0,AE112*参数!$B$13,AE112*参数!$B$12)*参数!$B$2+AQ112*参数!$B$15+AB112*参数!$B$11+AF112*参数!$B$40*参数!$B$2+AG112*参数!$B$44*参数!$B$2+AH112*参数!$B$6*参数!$B$2+AI112*参数!$B$39*参数!$B$2+AJ112*参数!$B$6*参数!$B$2+Z112*参数!$B$13-T112*参数!$B$14-AD112*参数!$B$13+IF(ISNUMBER(AU112),AU112*参数!$B$38,0)-AV112*参数!$B$41-AW112*参数!$B$14&gt;参数!$B$17,参数!$B$17+SQRT(IF(AND(F112="能力",AL112="能力持续"),(参数!$B$2-1)*参数!$B$3,0)+M112*O112*参数!$B$5*IF(AND(F112="能力",AL112="能力持续"),参数!$B$2,1)+P112*参数!$B$6*IF(AND(F112="能力",AL112="能力持续"),参数!$B$2,1)+R112*参数!$B$7*IF(AND(F112="能力",AL112="能力持续"),参数!$B$2,1)+V112*参数!$B$8+IF(X112&lt;0,X112*参数!$B$13,X112*参数!$B$39)+IF(AE112&lt;0,AE112*参数!$B$13,AE112*参数!$B$12)*参数!$B$2+AQ112*参数!$B$15+AB112*参数!$B$11+AF112*参数!$B$40*参数!$B$2+AG112*参数!$B$44*参数!$B$2+AH112*参数!$B$6*参数!$B$2+AI112*参数!$B$39*参数!$B$2+AJ112*参数!$B$6*参数!$B$2+Z112*参数!$B$13-T112*参数!$B$14-AD112*参数!$B$13+IF(ISNUMBER(AU112),AU112*参数!$B$38,0)-AV112*参数!$B$41-AW112*参数!$B$14-参数!$B$17)*参数!$B$18,IF(AND(F112="能力",AL112="能力持续"),(参数!$B$2-1)*参数!$B$3,0)+M112*O112*参数!$B$5*IF(AND(F112="能力",AL112="能力持续"),参数!$B$2,1)+P112*参数!$B$6*IF(AND(F112="能力",AL112="能力持续"),参数!$B$2,1)+R112*参数!$B$7*IF(AND(F112="能力",AL112="能力持续"),参数!$B$2,1)+V112*参数!$B$8+IF(X112&lt;0,X112*参数!$B$13,X112*参数!$B$39)+IF(AE112&lt;0,AE112*参数!$B$13,AE112*参数!$B$12)*参数!$B$2+AQ112*参数!$B$15+AB112*参数!$B$11+AF112*参数!$B$40*参数!$B$2+AG112*参数!$B$44*参数!$B$2+AH112*参数!$B$6*参数!$B$2+AI112*参数!$B$39*参数!$B$2+AJ112*参数!$B$6*参数!$B$2+Z112*参数!$B$13-T112*参数!$B$14-AD112*参数!$B$13+IF(ISNUMBER(AU112),AU112*参数!$B$38,0)-AV112*参数!$B$41-AW112*参数!$B$14),0),0)</f>
        <v>2.0999999999999996</v>
      </c>
      <c r="AZ112">
        <f>AY112-MAX(AP112,0)*参数!$B$10</f>
        <v>-0.90000000000000036</v>
      </c>
      <c r="BA112">
        <f t="shared" si="3"/>
        <v>2.0999999999999996</v>
      </c>
    </row>
    <row r="113" spans="1:53" x14ac:dyDescent="0.3">
      <c r="A113">
        <v>112</v>
      </c>
      <c r="B113" t="s">
        <v>573</v>
      </c>
      <c r="C113" t="s">
        <v>452</v>
      </c>
      <c r="D113" t="s">
        <v>574</v>
      </c>
      <c r="E113" t="s">
        <v>575</v>
      </c>
      <c r="F113" t="s">
        <v>117</v>
      </c>
      <c r="G113" t="s">
        <v>12</v>
      </c>
      <c r="H113">
        <v>0</v>
      </c>
      <c r="I113">
        <v>0</v>
      </c>
      <c r="J113" t="s">
        <v>576</v>
      </c>
      <c r="L113" t="s">
        <v>111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3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 t="s">
        <v>112</v>
      </c>
      <c r="AP113">
        <f t="shared" si="2"/>
        <v>0.4</v>
      </c>
      <c r="AQ113">
        <v>0</v>
      </c>
      <c r="AR113">
        <v>0</v>
      </c>
      <c r="AT113" t="s">
        <v>113</v>
      </c>
      <c r="AU113">
        <v>0</v>
      </c>
      <c r="AY113">
        <f>IFERROR(MAX(IF(IF(AND(F113="能力",AL113="能力持续"),(参数!$B$2-1)*参数!$B$3,0)+M113*O113*参数!$B$5*IF(AND(F113="能力",AL113="能力持续"),参数!$B$2,1)+P113*参数!$B$6*IF(AND(F113="能力",AL113="能力持续"),参数!$B$2,1)+R113*参数!$B$7*IF(AND(F113="能力",AL113="能力持续"),参数!$B$2,1)+V113*参数!$B$8+IF(X113&lt;0,X113*参数!$B$13,X113*参数!$B$39)+IF(AE113&lt;0,AE113*参数!$B$13,AE113*参数!$B$12)*参数!$B$2+AQ113*参数!$B$15+AB113*参数!$B$11+AF113*参数!$B$40*参数!$B$2+AG113*参数!$B$44*参数!$B$2+AH113*参数!$B$6*参数!$B$2+AI113*参数!$B$39*参数!$B$2+AJ113*参数!$B$6*参数!$B$2+Z113*参数!$B$13-T113*参数!$B$14-AD113*参数!$B$13+IF(ISNUMBER(AU113),AU113*参数!$B$38,0)-AV113*参数!$B$41-AW113*参数!$B$14&gt;参数!$B$17,参数!$B$17+SQRT(IF(AND(F113="能力",AL113="能力持续"),(参数!$B$2-1)*参数!$B$3,0)+M113*O113*参数!$B$5*IF(AND(F113="能力",AL113="能力持续"),参数!$B$2,1)+P113*参数!$B$6*IF(AND(F113="能力",AL113="能力持续"),参数!$B$2,1)+R113*参数!$B$7*IF(AND(F113="能力",AL113="能力持续"),参数!$B$2,1)+V113*参数!$B$8+IF(X113&lt;0,X113*参数!$B$13,X113*参数!$B$39)+IF(AE113&lt;0,AE113*参数!$B$13,AE113*参数!$B$12)*参数!$B$2+AQ113*参数!$B$15+AB113*参数!$B$11+AF113*参数!$B$40*参数!$B$2+AG113*参数!$B$44*参数!$B$2+AH113*参数!$B$6*参数!$B$2+AI113*参数!$B$39*参数!$B$2+AJ113*参数!$B$6*参数!$B$2+Z113*参数!$B$13-T113*参数!$B$14-AD113*参数!$B$13+IF(ISNUMBER(AU113),AU113*参数!$B$38,0)-AV113*参数!$B$41-AW113*参数!$B$14-参数!$B$17)*参数!$B$18,IF(AND(F113="能力",AL113="能力持续"),(参数!$B$2-1)*参数!$B$3,0)+M113*O113*参数!$B$5*IF(AND(F113="能力",AL113="能力持续"),参数!$B$2,1)+P113*参数!$B$6*IF(AND(F113="能力",AL113="能力持续"),参数!$B$2,1)+R113*参数!$B$7*IF(AND(F113="能力",AL113="能力持续"),参数!$B$2,1)+V113*参数!$B$8+IF(X113&lt;0,X113*参数!$B$13,X113*参数!$B$39)+IF(AE113&lt;0,AE113*参数!$B$13,AE113*参数!$B$12)*参数!$B$2+AQ113*参数!$B$15+AB113*参数!$B$11+AF113*参数!$B$40*参数!$B$2+AG113*参数!$B$44*参数!$B$2+AH113*参数!$B$6*参数!$B$2+AI113*参数!$B$39*参数!$B$2+AJ113*参数!$B$6*参数!$B$2+Z113*参数!$B$13-T113*参数!$B$14-AD113*参数!$B$13+IF(ISNUMBER(AU113),AU113*参数!$B$38,0)-AV113*参数!$B$41-AW113*参数!$B$14),0),0)</f>
        <v>2.6</v>
      </c>
      <c r="AZ113">
        <f>AY113-MAX(AP113,0)*参数!$B$10</f>
        <v>1.4</v>
      </c>
      <c r="BA113">
        <f t="shared" si="3"/>
        <v>6.5</v>
      </c>
    </row>
    <row r="114" spans="1:53" x14ac:dyDescent="0.3">
      <c r="A114">
        <v>113</v>
      </c>
      <c r="B114" t="s">
        <v>577</v>
      </c>
      <c r="C114" t="s">
        <v>452</v>
      </c>
      <c r="D114" t="s">
        <v>578</v>
      </c>
      <c r="E114" t="s">
        <v>579</v>
      </c>
      <c r="F114" t="s">
        <v>124</v>
      </c>
      <c r="G114" t="s">
        <v>14</v>
      </c>
      <c r="H114">
        <v>2</v>
      </c>
      <c r="I114">
        <v>2</v>
      </c>
      <c r="J114" t="s">
        <v>580</v>
      </c>
      <c r="L114" t="s">
        <v>191</v>
      </c>
      <c r="M114">
        <v>4</v>
      </c>
      <c r="N114">
        <v>0</v>
      </c>
      <c r="O114">
        <v>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t="s">
        <v>112</v>
      </c>
      <c r="AN114" t="s">
        <v>322</v>
      </c>
      <c r="AP114">
        <f t="shared" si="2"/>
        <v>2</v>
      </c>
      <c r="AQ114">
        <v>0</v>
      </c>
      <c r="AR114">
        <v>0</v>
      </c>
      <c r="AT114" t="s">
        <v>113</v>
      </c>
      <c r="AU114">
        <v>0</v>
      </c>
      <c r="AY114">
        <f>IFERROR(MAX(IF(IF(AND(F114="能力",AL114="能力持续"),(参数!$B$2-1)*参数!$B$3,0)+M114*O114*参数!$B$5*IF(AND(F114="能力",AL114="能力持续"),参数!$B$2,1)+P114*参数!$B$6*IF(AND(F114="能力",AL114="能力持续"),参数!$B$2,1)+R114*参数!$B$7*IF(AND(F114="能力",AL114="能力持续"),参数!$B$2,1)+V114*参数!$B$8+IF(X114&lt;0,X114*参数!$B$13,X114*参数!$B$39)+IF(AE114&lt;0,AE114*参数!$B$13,AE114*参数!$B$12)*参数!$B$2+AQ114*参数!$B$15+AB114*参数!$B$11+AF114*参数!$B$40*参数!$B$2+AG114*参数!$B$44*参数!$B$2+AH114*参数!$B$6*参数!$B$2+AI114*参数!$B$39*参数!$B$2+AJ114*参数!$B$6*参数!$B$2+Z114*参数!$B$13-T114*参数!$B$14-AD114*参数!$B$13+IF(ISNUMBER(AU114),AU114*参数!$B$38,0)-AV114*参数!$B$41-AW114*参数!$B$14&gt;参数!$B$17,参数!$B$17+SQRT(IF(AND(F114="能力",AL114="能力持续"),(参数!$B$2-1)*参数!$B$3,0)+M114*O114*参数!$B$5*IF(AND(F114="能力",AL114="能力持续"),参数!$B$2,1)+P114*参数!$B$6*IF(AND(F114="能力",AL114="能力持续"),参数!$B$2,1)+R114*参数!$B$7*IF(AND(F114="能力",AL114="能力持续"),参数!$B$2,1)+V114*参数!$B$8+IF(X114&lt;0,X114*参数!$B$13,X114*参数!$B$39)+IF(AE114&lt;0,AE114*参数!$B$13,AE114*参数!$B$12)*参数!$B$2+AQ114*参数!$B$15+AB114*参数!$B$11+AF114*参数!$B$40*参数!$B$2+AG114*参数!$B$44*参数!$B$2+AH114*参数!$B$6*参数!$B$2+AI114*参数!$B$39*参数!$B$2+AJ114*参数!$B$6*参数!$B$2+Z114*参数!$B$13-T114*参数!$B$14-AD114*参数!$B$13+IF(ISNUMBER(AU114),AU114*参数!$B$38,0)-AV114*参数!$B$41-AW114*参数!$B$14-参数!$B$17)*参数!$B$18,IF(AND(F114="能力",AL114="能力持续"),(参数!$B$2-1)*参数!$B$3,0)+M114*O114*参数!$B$5*IF(AND(F114="能力",AL114="能力持续"),参数!$B$2,1)+P114*参数!$B$6*IF(AND(F114="能力",AL114="能力持续"),参数!$B$2,1)+R114*参数!$B$7*IF(AND(F114="能力",AL114="能力持续"),参数!$B$2,1)+V114*参数!$B$8+IF(X114&lt;0,X114*参数!$B$13,X114*参数!$B$39)+IF(AE114&lt;0,AE114*参数!$B$13,AE114*参数!$B$12)*参数!$B$2+AQ114*参数!$B$15+AB114*参数!$B$11+AF114*参数!$B$40*参数!$B$2+AG114*参数!$B$44*参数!$B$2+AH114*参数!$B$6*参数!$B$2+AI114*参数!$B$39*参数!$B$2+AJ114*参数!$B$6*参数!$B$2+Z114*参数!$B$13-T114*参数!$B$14-AD114*参数!$B$13+IF(ISNUMBER(AU114),AU114*参数!$B$38,0)-AV114*参数!$B$41-AW114*参数!$B$14),0),0)</f>
        <v>13.674234614174766</v>
      </c>
      <c r="AZ114">
        <f>AY114-MAX(AP114,0)*参数!$B$10</f>
        <v>7.6742346141747664</v>
      </c>
      <c r="BA114">
        <f t="shared" si="3"/>
        <v>6.8371173070873832</v>
      </c>
    </row>
    <row r="115" spans="1:53" x14ac:dyDescent="0.3">
      <c r="A115">
        <v>114</v>
      </c>
      <c r="B115" t="s">
        <v>581</v>
      </c>
      <c r="C115" t="s">
        <v>452</v>
      </c>
      <c r="D115" t="s">
        <v>582</v>
      </c>
      <c r="E115" t="s">
        <v>583</v>
      </c>
      <c r="F115" t="s">
        <v>108</v>
      </c>
      <c r="G115" t="s">
        <v>12</v>
      </c>
      <c r="H115">
        <v>1</v>
      </c>
      <c r="I115">
        <v>1</v>
      </c>
      <c r="J115" t="s">
        <v>584</v>
      </c>
      <c r="L115" t="s">
        <v>111</v>
      </c>
      <c r="M115">
        <v>6</v>
      </c>
      <c r="N115">
        <v>6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t="s">
        <v>112</v>
      </c>
      <c r="AN115" t="s">
        <v>161</v>
      </c>
      <c r="AP115">
        <f t="shared" si="2"/>
        <v>1</v>
      </c>
      <c r="AQ115">
        <v>0</v>
      </c>
      <c r="AR115">
        <v>0</v>
      </c>
      <c r="AT115" t="s">
        <v>113</v>
      </c>
      <c r="AU115">
        <v>0</v>
      </c>
      <c r="AY115">
        <f>IFERROR(MAX(IF(IF(AND(F115="能力",AL115="能力持续"),(参数!$B$2-1)*参数!$B$3,0)+M115*O115*参数!$B$5*IF(AND(F115="能力",AL115="能力持续"),参数!$B$2,1)+P115*参数!$B$6*IF(AND(F115="能力",AL115="能力持续"),参数!$B$2,1)+R115*参数!$B$7*IF(AND(F115="能力",AL115="能力持续"),参数!$B$2,1)+V115*参数!$B$8+IF(X115&lt;0,X115*参数!$B$13,X115*参数!$B$39)+IF(AE115&lt;0,AE115*参数!$B$13,AE115*参数!$B$12)*参数!$B$2+AQ115*参数!$B$15+AB115*参数!$B$11+AF115*参数!$B$40*参数!$B$2+AG115*参数!$B$44*参数!$B$2+AH115*参数!$B$6*参数!$B$2+AI115*参数!$B$39*参数!$B$2+AJ115*参数!$B$6*参数!$B$2+Z115*参数!$B$13-T115*参数!$B$14-AD115*参数!$B$13+IF(ISNUMBER(AU115),AU115*参数!$B$38,0)-AV115*参数!$B$41-AW115*参数!$B$14&gt;参数!$B$17,参数!$B$17+SQRT(IF(AND(F115="能力",AL115="能力持续"),(参数!$B$2-1)*参数!$B$3,0)+M115*O115*参数!$B$5*IF(AND(F115="能力",AL115="能力持续"),参数!$B$2,1)+P115*参数!$B$6*IF(AND(F115="能力",AL115="能力持续"),参数!$B$2,1)+R115*参数!$B$7*IF(AND(F115="能力",AL115="能力持续"),参数!$B$2,1)+V115*参数!$B$8+IF(X115&lt;0,X115*参数!$B$13,X115*参数!$B$39)+IF(AE115&lt;0,AE115*参数!$B$13,AE115*参数!$B$12)*参数!$B$2+AQ115*参数!$B$15+AB115*参数!$B$11+AF115*参数!$B$40*参数!$B$2+AG115*参数!$B$44*参数!$B$2+AH115*参数!$B$6*参数!$B$2+AI115*参数!$B$39*参数!$B$2+AJ115*参数!$B$6*参数!$B$2+Z115*参数!$B$13-T115*参数!$B$14-AD115*参数!$B$13+IF(ISNUMBER(AU115),AU115*参数!$B$38,0)-AV115*参数!$B$41-AW115*参数!$B$14-参数!$B$17)*参数!$B$18,IF(AND(F115="能力",AL115="能力持续"),(参数!$B$2-1)*参数!$B$3,0)+M115*O115*参数!$B$5*IF(AND(F115="能力",AL115="能力持续"),参数!$B$2,1)+P115*参数!$B$6*IF(AND(F115="能力",AL115="能力持续"),参数!$B$2,1)+R115*参数!$B$7*IF(AND(F115="能力",AL115="能力持续"),参数!$B$2,1)+V115*参数!$B$8+IF(X115&lt;0,X115*参数!$B$13,X115*参数!$B$39)+IF(AE115&lt;0,AE115*参数!$B$13,AE115*参数!$B$12)*参数!$B$2+AQ115*参数!$B$15+AB115*参数!$B$11+AF115*参数!$B$40*参数!$B$2+AG115*参数!$B$44*参数!$B$2+AH115*参数!$B$6*参数!$B$2+AI115*参数!$B$39*参数!$B$2+AJ115*参数!$B$6*参数!$B$2+Z115*参数!$B$13-T115*参数!$B$14-AD115*参数!$B$13+IF(ISNUMBER(AU115),AU115*参数!$B$38,0)-AV115*参数!$B$41-AW115*参数!$B$14),0),0)</f>
        <v>12.121320343559642</v>
      </c>
      <c r="AZ115">
        <f>AY115-MAX(AP115,0)*参数!$B$10</f>
        <v>9.1213203435596419</v>
      </c>
      <c r="BA115">
        <f t="shared" si="3"/>
        <v>12.121320343559642</v>
      </c>
    </row>
    <row r="116" spans="1:53" x14ac:dyDescent="0.3">
      <c r="A116">
        <v>115</v>
      </c>
      <c r="B116" t="s">
        <v>585</v>
      </c>
      <c r="C116" t="s">
        <v>452</v>
      </c>
      <c r="D116" t="s">
        <v>586</v>
      </c>
      <c r="E116" t="s">
        <v>587</v>
      </c>
      <c r="F116" t="s">
        <v>117</v>
      </c>
      <c r="G116" t="s">
        <v>12</v>
      </c>
      <c r="H116">
        <v>2</v>
      </c>
      <c r="I116">
        <v>1</v>
      </c>
      <c r="J116" t="s">
        <v>588</v>
      </c>
      <c r="L116" t="s">
        <v>111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112</v>
      </c>
      <c r="AN116" t="s">
        <v>161</v>
      </c>
      <c r="AP116">
        <f t="shared" si="2"/>
        <v>2</v>
      </c>
      <c r="AQ116">
        <v>15</v>
      </c>
      <c r="AR116">
        <v>0</v>
      </c>
      <c r="AT116" t="s">
        <v>113</v>
      </c>
      <c r="AU116">
        <v>0</v>
      </c>
      <c r="AY116">
        <f>IFERROR(MAX(IF(IF(AND(F116="能力",AL116="能力持续"),(参数!$B$2-1)*参数!$B$3,0)+M116*O116*参数!$B$5*IF(AND(F116="能力",AL116="能力持续"),参数!$B$2,1)+P116*参数!$B$6*IF(AND(F116="能力",AL116="能力持续"),参数!$B$2,1)+R116*参数!$B$7*IF(AND(F116="能力",AL116="能力持续"),参数!$B$2,1)+V116*参数!$B$8+IF(X116&lt;0,X116*参数!$B$13,X116*参数!$B$39)+IF(AE116&lt;0,AE116*参数!$B$13,AE116*参数!$B$12)*参数!$B$2+AQ116*参数!$B$15+AB116*参数!$B$11+AF116*参数!$B$40*参数!$B$2+AG116*参数!$B$44*参数!$B$2+AH116*参数!$B$6*参数!$B$2+AI116*参数!$B$39*参数!$B$2+AJ116*参数!$B$6*参数!$B$2+Z116*参数!$B$13-T116*参数!$B$14-AD116*参数!$B$13+IF(ISNUMBER(AU116),AU116*参数!$B$38,0)-AV116*参数!$B$41-AW116*参数!$B$14&gt;参数!$B$17,参数!$B$17+SQRT(IF(AND(F116="能力",AL116="能力持续"),(参数!$B$2-1)*参数!$B$3,0)+M116*O116*参数!$B$5*IF(AND(F116="能力",AL116="能力持续"),参数!$B$2,1)+P116*参数!$B$6*IF(AND(F116="能力",AL116="能力持续"),参数!$B$2,1)+R116*参数!$B$7*IF(AND(F116="能力",AL116="能力持续"),参数!$B$2,1)+V116*参数!$B$8+IF(X116&lt;0,X116*参数!$B$13,X116*参数!$B$39)+IF(AE116&lt;0,AE116*参数!$B$13,AE116*参数!$B$12)*参数!$B$2+AQ116*参数!$B$15+AB116*参数!$B$11+AF116*参数!$B$40*参数!$B$2+AG116*参数!$B$44*参数!$B$2+AH116*参数!$B$6*参数!$B$2+AI116*参数!$B$39*参数!$B$2+AJ116*参数!$B$6*参数!$B$2+Z116*参数!$B$13-T116*参数!$B$14-AD116*参数!$B$13+IF(ISNUMBER(AU116),AU116*参数!$B$38,0)-AV116*参数!$B$41-AW116*参数!$B$14-参数!$B$17)*参数!$B$18,IF(AND(F116="能力",AL116="能力持续"),(参数!$B$2-1)*参数!$B$3,0)+M116*O116*参数!$B$5*IF(AND(F116="能力",AL116="能力持续"),参数!$B$2,1)+P116*参数!$B$6*IF(AND(F116="能力",AL116="能力持续"),参数!$B$2,1)+R116*参数!$B$7*IF(AND(F116="能力",AL116="能力持续"),参数!$B$2,1)+V116*参数!$B$8+IF(X116&lt;0,X116*参数!$B$13,X116*参数!$B$39)+IF(AE116&lt;0,AE116*参数!$B$13,AE116*参数!$B$12)*参数!$B$2+AQ116*参数!$B$15+AB116*参数!$B$11+AF116*参数!$B$40*参数!$B$2+AG116*参数!$B$44*参数!$B$2+AH116*参数!$B$6*参数!$B$2+AI116*参数!$B$39*参数!$B$2+AJ116*参数!$B$6*参数!$B$2+Z116*参数!$B$13-T116*参数!$B$14-AD116*参数!$B$13+IF(ISNUMBER(AU116),AU116*参数!$B$38,0)-AV116*参数!$B$41-AW116*参数!$B$14),0),0)</f>
        <v>18.874119674649425</v>
      </c>
      <c r="AZ116">
        <f>AY116-MAX(AP116,0)*参数!$B$10</f>
        <v>12.874119674649425</v>
      </c>
      <c r="BA116">
        <f t="shared" si="3"/>
        <v>9.4370598373247123</v>
      </c>
    </row>
    <row r="117" spans="1:53" x14ac:dyDescent="0.3">
      <c r="A117">
        <v>116</v>
      </c>
      <c r="B117" t="s">
        <v>589</v>
      </c>
      <c r="C117" t="s">
        <v>452</v>
      </c>
      <c r="D117" t="s">
        <v>590</v>
      </c>
      <c r="E117" t="s">
        <v>591</v>
      </c>
      <c r="F117" t="s">
        <v>108</v>
      </c>
      <c r="G117" t="s">
        <v>12</v>
      </c>
      <c r="H117">
        <v>1</v>
      </c>
      <c r="I117">
        <v>1</v>
      </c>
      <c r="J117" t="s">
        <v>592</v>
      </c>
      <c r="L117" t="s">
        <v>111</v>
      </c>
      <c r="M117">
        <v>5</v>
      </c>
      <c r="N117">
        <v>5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 t="s">
        <v>112</v>
      </c>
      <c r="AP117">
        <f t="shared" si="2"/>
        <v>1</v>
      </c>
      <c r="AQ117">
        <v>0</v>
      </c>
      <c r="AR117">
        <v>0</v>
      </c>
      <c r="AT117" t="s">
        <v>113</v>
      </c>
      <c r="AU117">
        <v>0</v>
      </c>
      <c r="AY117">
        <f>IFERROR(MAX(IF(IF(AND(F117="能力",AL117="能力持续"),(参数!$B$2-1)*参数!$B$3,0)+M117*O117*参数!$B$5*IF(AND(F117="能力",AL117="能力持续"),参数!$B$2,1)+P117*参数!$B$6*IF(AND(F117="能力",AL117="能力持续"),参数!$B$2,1)+R117*参数!$B$7*IF(AND(F117="能力",AL117="能力持续"),参数!$B$2,1)+V117*参数!$B$8+IF(X117&lt;0,X117*参数!$B$13,X117*参数!$B$39)+IF(AE117&lt;0,AE117*参数!$B$13,AE117*参数!$B$12)*参数!$B$2+AQ117*参数!$B$15+AB117*参数!$B$11+AF117*参数!$B$40*参数!$B$2+AG117*参数!$B$44*参数!$B$2+AH117*参数!$B$6*参数!$B$2+AI117*参数!$B$39*参数!$B$2+AJ117*参数!$B$6*参数!$B$2+Z117*参数!$B$13-T117*参数!$B$14-AD117*参数!$B$13+IF(ISNUMBER(AU117),AU117*参数!$B$38,0)-AV117*参数!$B$41-AW117*参数!$B$14&gt;参数!$B$17,参数!$B$17+SQRT(IF(AND(F117="能力",AL117="能力持续"),(参数!$B$2-1)*参数!$B$3,0)+M117*O117*参数!$B$5*IF(AND(F117="能力",AL117="能力持续"),参数!$B$2,1)+P117*参数!$B$6*IF(AND(F117="能力",AL117="能力持续"),参数!$B$2,1)+R117*参数!$B$7*IF(AND(F117="能力",AL117="能力持续"),参数!$B$2,1)+V117*参数!$B$8+IF(X117&lt;0,X117*参数!$B$13,X117*参数!$B$39)+IF(AE117&lt;0,AE117*参数!$B$13,AE117*参数!$B$12)*参数!$B$2+AQ117*参数!$B$15+AB117*参数!$B$11+AF117*参数!$B$40*参数!$B$2+AG117*参数!$B$44*参数!$B$2+AH117*参数!$B$6*参数!$B$2+AI117*参数!$B$39*参数!$B$2+AJ117*参数!$B$6*参数!$B$2+Z117*参数!$B$13-T117*参数!$B$14-AD117*参数!$B$13+IF(ISNUMBER(AU117),AU117*参数!$B$38,0)-AV117*参数!$B$41-AW117*参数!$B$14-参数!$B$17)*参数!$B$18,IF(AND(F117="能力",AL117="能力持续"),(参数!$B$2-1)*参数!$B$3,0)+M117*O117*参数!$B$5*IF(AND(F117="能力",AL117="能力持续"),参数!$B$2,1)+P117*参数!$B$6*IF(AND(F117="能力",AL117="能力持续"),参数!$B$2,1)+R117*参数!$B$7*IF(AND(F117="能力",AL117="能力持续"),参数!$B$2,1)+V117*参数!$B$8+IF(X117&lt;0,X117*参数!$B$13,X117*参数!$B$39)+IF(AE117&lt;0,AE117*参数!$B$13,AE117*参数!$B$12)*参数!$B$2+AQ117*参数!$B$15+AB117*参数!$B$11+AF117*参数!$B$40*参数!$B$2+AG117*参数!$B$44*参数!$B$2+AH117*参数!$B$6*参数!$B$2+AI117*参数!$B$39*参数!$B$2+AJ117*参数!$B$6*参数!$B$2+Z117*参数!$B$13-T117*参数!$B$14-AD117*参数!$B$13+IF(ISNUMBER(AU117),AU117*参数!$B$38,0)-AV117*参数!$B$41-AW117*参数!$B$14),0),0)</f>
        <v>10</v>
      </c>
      <c r="AZ117">
        <f>AY117-MAX(AP117,0)*参数!$B$10</f>
        <v>7</v>
      </c>
      <c r="BA117">
        <f t="shared" si="3"/>
        <v>10</v>
      </c>
    </row>
    <row r="118" spans="1:53" x14ac:dyDescent="0.3">
      <c r="A118">
        <v>117</v>
      </c>
      <c r="B118" t="s">
        <v>593</v>
      </c>
      <c r="C118" t="s">
        <v>452</v>
      </c>
      <c r="D118" t="s">
        <v>594</v>
      </c>
      <c r="E118" t="s">
        <v>595</v>
      </c>
      <c r="F118" t="s">
        <v>108</v>
      </c>
      <c r="G118" t="s">
        <v>10</v>
      </c>
      <c r="H118">
        <v>1</v>
      </c>
      <c r="I118">
        <v>1</v>
      </c>
      <c r="J118" t="s">
        <v>596</v>
      </c>
      <c r="L118" t="s">
        <v>191</v>
      </c>
      <c r="M118">
        <v>6</v>
      </c>
      <c r="N118">
        <v>8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 t="s">
        <v>112</v>
      </c>
      <c r="AN118" t="s">
        <v>192</v>
      </c>
      <c r="AP118">
        <f t="shared" si="2"/>
        <v>1</v>
      </c>
      <c r="AQ118">
        <v>0</v>
      </c>
      <c r="AR118">
        <v>0</v>
      </c>
      <c r="AT118" t="s">
        <v>113</v>
      </c>
      <c r="AU118">
        <v>0</v>
      </c>
      <c r="AY118">
        <f>IFERROR(MAX(IF(IF(AND(F118="能力",AL118="能力持续"),(参数!$B$2-1)*参数!$B$3,0)+M118*O118*参数!$B$5*IF(AND(F118="能力",AL118="能力持续"),参数!$B$2,1)+P118*参数!$B$6*IF(AND(F118="能力",AL118="能力持续"),参数!$B$2,1)+R118*参数!$B$7*IF(AND(F118="能力",AL118="能力持续"),参数!$B$2,1)+V118*参数!$B$8+IF(X118&lt;0,X118*参数!$B$13,X118*参数!$B$39)+IF(AE118&lt;0,AE118*参数!$B$13,AE118*参数!$B$12)*参数!$B$2+AQ118*参数!$B$15+AB118*参数!$B$11+AF118*参数!$B$40*参数!$B$2+AG118*参数!$B$44*参数!$B$2+AH118*参数!$B$6*参数!$B$2+AI118*参数!$B$39*参数!$B$2+AJ118*参数!$B$6*参数!$B$2+Z118*参数!$B$13-T118*参数!$B$14-AD118*参数!$B$13+IF(ISNUMBER(AU118),AU118*参数!$B$38,0)-AV118*参数!$B$41-AW118*参数!$B$14&gt;参数!$B$17,参数!$B$17+SQRT(IF(AND(F118="能力",AL118="能力持续"),(参数!$B$2-1)*参数!$B$3,0)+M118*O118*参数!$B$5*IF(AND(F118="能力",AL118="能力持续"),参数!$B$2,1)+P118*参数!$B$6*IF(AND(F118="能力",AL118="能力持续"),参数!$B$2,1)+R118*参数!$B$7*IF(AND(F118="能力",AL118="能力持续"),参数!$B$2,1)+V118*参数!$B$8+IF(X118&lt;0,X118*参数!$B$13,X118*参数!$B$39)+IF(AE118&lt;0,AE118*参数!$B$13,AE118*参数!$B$12)*参数!$B$2+AQ118*参数!$B$15+AB118*参数!$B$11+AF118*参数!$B$40*参数!$B$2+AG118*参数!$B$44*参数!$B$2+AH118*参数!$B$6*参数!$B$2+AI118*参数!$B$39*参数!$B$2+AJ118*参数!$B$6*参数!$B$2+Z118*参数!$B$13-T118*参数!$B$14-AD118*参数!$B$13+IF(ISNUMBER(AU118),AU118*参数!$B$38,0)-AV118*参数!$B$41-AW118*参数!$B$14-参数!$B$17)*参数!$B$18,IF(AND(F118="能力",AL118="能力持续"),(参数!$B$2-1)*参数!$B$3,0)+M118*O118*参数!$B$5*IF(AND(F118="能力",AL118="能力持续"),参数!$B$2,1)+P118*参数!$B$6*IF(AND(F118="能力",AL118="能力持续"),参数!$B$2,1)+R118*参数!$B$7*IF(AND(F118="能力",AL118="能力持续"),参数!$B$2,1)+V118*参数!$B$8+IF(X118&lt;0,X118*参数!$B$13,X118*参数!$B$39)+IF(AE118&lt;0,AE118*参数!$B$13,AE118*参数!$B$12)*参数!$B$2+AQ118*参数!$B$15+AB118*参数!$B$11+AF118*参数!$B$40*参数!$B$2+AG118*参数!$B$44*参数!$B$2+AH118*参数!$B$6*参数!$B$2+AI118*参数!$B$39*参数!$B$2+AJ118*参数!$B$6*参数!$B$2+Z118*参数!$B$13-T118*参数!$B$14-AD118*参数!$B$13+IF(ISNUMBER(AU118),AU118*参数!$B$38,0)-AV118*参数!$B$41-AW118*参数!$B$14),0),0)</f>
        <v>6</v>
      </c>
      <c r="AZ118">
        <f>AY118-MAX(AP118,0)*参数!$B$10</f>
        <v>3</v>
      </c>
      <c r="BA118">
        <f t="shared" si="3"/>
        <v>6</v>
      </c>
    </row>
    <row r="119" spans="1:53" x14ac:dyDescent="0.3">
      <c r="A119">
        <v>118</v>
      </c>
      <c r="B119" t="s">
        <v>597</v>
      </c>
      <c r="C119" t="s">
        <v>452</v>
      </c>
      <c r="D119" t="s">
        <v>598</v>
      </c>
      <c r="E119" t="s">
        <v>599</v>
      </c>
      <c r="F119" t="s">
        <v>108</v>
      </c>
      <c r="G119" t="s">
        <v>12</v>
      </c>
      <c r="H119">
        <v>1</v>
      </c>
      <c r="I119">
        <v>1</v>
      </c>
      <c r="J119" t="s">
        <v>600</v>
      </c>
      <c r="L119" t="s">
        <v>191</v>
      </c>
      <c r="M119">
        <v>7</v>
      </c>
      <c r="N119">
        <v>9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t="s">
        <v>112</v>
      </c>
      <c r="AN119" t="s">
        <v>217</v>
      </c>
      <c r="AP119">
        <f t="shared" si="2"/>
        <v>1</v>
      </c>
      <c r="AQ119">
        <v>0</v>
      </c>
      <c r="AR119">
        <v>0</v>
      </c>
      <c r="AT119" t="s">
        <v>113</v>
      </c>
      <c r="AU119">
        <v>0</v>
      </c>
      <c r="AY119">
        <f>IFERROR(MAX(IF(IF(AND(F119="能力",AL119="能力持续"),(参数!$B$2-1)*参数!$B$3,0)+M119*O119*参数!$B$5*IF(AND(F119="能力",AL119="能力持续"),参数!$B$2,1)+P119*参数!$B$6*IF(AND(F119="能力",AL119="能力持续"),参数!$B$2,1)+R119*参数!$B$7*IF(AND(F119="能力",AL119="能力持续"),参数!$B$2,1)+V119*参数!$B$8+IF(X119&lt;0,X119*参数!$B$13,X119*参数!$B$39)+IF(AE119&lt;0,AE119*参数!$B$13,AE119*参数!$B$12)*参数!$B$2+AQ119*参数!$B$15+AB119*参数!$B$11+AF119*参数!$B$40*参数!$B$2+AG119*参数!$B$44*参数!$B$2+AH119*参数!$B$6*参数!$B$2+AI119*参数!$B$39*参数!$B$2+AJ119*参数!$B$6*参数!$B$2+Z119*参数!$B$13-T119*参数!$B$14-AD119*参数!$B$13+IF(ISNUMBER(AU119),AU119*参数!$B$38,0)-AV119*参数!$B$41-AW119*参数!$B$14&gt;参数!$B$17,参数!$B$17+SQRT(IF(AND(F119="能力",AL119="能力持续"),(参数!$B$2-1)*参数!$B$3,0)+M119*O119*参数!$B$5*IF(AND(F119="能力",AL119="能力持续"),参数!$B$2,1)+P119*参数!$B$6*IF(AND(F119="能力",AL119="能力持续"),参数!$B$2,1)+R119*参数!$B$7*IF(AND(F119="能力",AL119="能力持续"),参数!$B$2,1)+V119*参数!$B$8+IF(X119&lt;0,X119*参数!$B$13,X119*参数!$B$39)+IF(AE119&lt;0,AE119*参数!$B$13,AE119*参数!$B$12)*参数!$B$2+AQ119*参数!$B$15+AB119*参数!$B$11+AF119*参数!$B$40*参数!$B$2+AG119*参数!$B$44*参数!$B$2+AH119*参数!$B$6*参数!$B$2+AI119*参数!$B$39*参数!$B$2+AJ119*参数!$B$6*参数!$B$2+Z119*参数!$B$13-T119*参数!$B$14-AD119*参数!$B$13+IF(ISNUMBER(AU119),AU119*参数!$B$38,0)-AV119*参数!$B$41-AW119*参数!$B$14-参数!$B$17)*参数!$B$18,IF(AND(F119="能力",AL119="能力持续"),(参数!$B$2-1)*参数!$B$3,0)+M119*O119*参数!$B$5*IF(AND(F119="能力",AL119="能力持续"),参数!$B$2,1)+P119*参数!$B$6*IF(AND(F119="能力",AL119="能力持续"),参数!$B$2,1)+R119*参数!$B$7*IF(AND(F119="能力",AL119="能力持续"),参数!$B$2,1)+V119*参数!$B$8+IF(X119&lt;0,X119*参数!$B$13,X119*参数!$B$39)+IF(AE119&lt;0,AE119*参数!$B$13,AE119*参数!$B$12)*参数!$B$2+AQ119*参数!$B$15+AB119*参数!$B$11+AF119*参数!$B$40*参数!$B$2+AG119*参数!$B$44*参数!$B$2+AH119*参数!$B$6*参数!$B$2+AI119*参数!$B$39*参数!$B$2+AJ119*参数!$B$6*参数!$B$2+Z119*参数!$B$13-T119*参数!$B$14-AD119*参数!$B$13+IF(ISNUMBER(AU119),AU119*参数!$B$38,0)-AV119*参数!$B$41-AW119*参数!$B$14),0),0)</f>
        <v>13.517811819867571</v>
      </c>
      <c r="AZ119">
        <f>AY119-MAX(AP119,0)*参数!$B$10</f>
        <v>10.517811819867571</v>
      </c>
      <c r="BA119">
        <f t="shared" si="3"/>
        <v>13.517811819867571</v>
      </c>
    </row>
    <row r="120" spans="1:53" x14ac:dyDescent="0.3">
      <c r="A120">
        <v>119</v>
      </c>
      <c r="B120" t="s">
        <v>601</v>
      </c>
      <c r="C120" t="s">
        <v>452</v>
      </c>
      <c r="D120" t="s">
        <v>602</v>
      </c>
      <c r="E120" t="s">
        <v>603</v>
      </c>
      <c r="F120" t="s">
        <v>124</v>
      </c>
      <c r="G120" t="s">
        <v>12</v>
      </c>
      <c r="H120">
        <v>1</v>
      </c>
      <c r="I120">
        <v>1</v>
      </c>
      <c r="J120" t="s">
        <v>604</v>
      </c>
      <c r="L120" t="s">
        <v>120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</v>
      </c>
      <c r="AI120">
        <v>0</v>
      </c>
      <c r="AJ120">
        <v>0</v>
      </c>
      <c r="AK120" t="s">
        <v>112</v>
      </c>
      <c r="AN120" t="s">
        <v>124</v>
      </c>
      <c r="AP120">
        <f t="shared" si="2"/>
        <v>1</v>
      </c>
      <c r="AQ120">
        <v>0</v>
      </c>
      <c r="AR120">
        <v>0</v>
      </c>
      <c r="AT120" t="s">
        <v>113</v>
      </c>
      <c r="AU120">
        <v>0</v>
      </c>
      <c r="AY120">
        <f>IFERROR(MAX(IF(IF(AND(F120="能力",AL120="能力持续"),(参数!$B$2-1)*参数!$B$3,0)+M120*O120*参数!$B$5*IF(AND(F120="能力",AL120="能力持续"),参数!$B$2,1)+P120*参数!$B$6*IF(AND(F120="能力",AL120="能力持续"),参数!$B$2,1)+R120*参数!$B$7*IF(AND(F120="能力",AL120="能力持续"),参数!$B$2,1)+V120*参数!$B$8+IF(X120&lt;0,X120*参数!$B$13,X120*参数!$B$39)+IF(AE120&lt;0,AE120*参数!$B$13,AE120*参数!$B$12)*参数!$B$2+AQ120*参数!$B$15+AB120*参数!$B$11+AF120*参数!$B$40*参数!$B$2+AG120*参数!$B$44*参数!$B$2+AH120*参数!$B$6*参数!$B$2+AI120*参数!$B$39*参数!$B$2+AJ120*参数!$B$6*参数!$B$2+Z120*参数!$B$13-T120*参数!$B$14-AD120*参数!$B$13+IF(ISNUMBER(AU120),AU120*参数!$B$38,0)-AV120*参数!$B$41-AW120*参数!$B$14&gt;参数!$B$17,参数!$B$17+SQRT(IF(AND(F120="能力",AL120="能力持续"),(参数!$B$2-1)*参数!$B$3,0)+M120*O120*参数!$B$5*IF(AND(F120="能力",AL120="能力持续"),参数!$B$2,1)+P120*参数!$B$6*IF(AND(F120="能力",AL120="能力持续"),参数!$B$2,1)+R120*参数!$B$7*IF(AND(F120="能力",AL120="能力持续"),参数!$B$2,1)+V120*参数!$B$8+IF(X120&lt;0,X120*参数!$B$13,X120*参数!$B$39)+IF(AE120&lt;0,AE120*参数!$B$13,AE120*参数!$B$12)*参数!$B$2+AQ120*参数!$B$15+AB120*参数!$B$11+AF120*参数!$B$40*参数!$B$2+AG120*参数!$B$44*参数!$B$2+AH120*参数!$B$6*参数!$B$2+AI120*参数!$B$39*参数!$B$2+AJ120*参数!$B$6*参数!$B$2+Z120*参数!$B$13-T120*参数!$B$14-AD120*参数!$B$13+IF(ISNUMBER(AU120),AU120*参数!$B$38,0)-AV120*参数!$B$41-AW120*参数!$B$14-参数!$B$17)*参数!$B$18,IF(AND(F120="能力",AL120="能力持续"),(参数!$B$2-1)*参数!$B$3,0)+M120*O120*参数!$B$5*IF(AND(F120="能力",AL120="能力持续"),参数!$B$2,1)+P120*参数!$B$6*IF(AND(F120="能力",AL120="能力持续"),参数!$B$2,1)+R120*参数!$B$7*IF(AND(F120="能力",AL120="能力持续"),参数!$B$2,1)+V120*参数!$B$8+IF(X120&lt;0,X120*参数!$B$13,X120*参数!$B$39)+IF(AE120&lt;0,AE120*参数!$B$13,AE120*参数!$B$12)*参数!$B$2+AQ120*参数!$B$15+AB120*参数!$B$11+AF120*参数!$B$40*参数!$B$2+AG120*参数!$B$44*参数!$B$2+AH120*参数!$B$6*参数!$B$2+AI120*参数!$B$39*参数!$B$2+AJ120*参数!$B$6*参数!$B$2+Z120*参数!$B$13-T120*参数!$B$14-AD120*参数!$B$13+IF(ISNUMBER(AU120),AU120*参数!$B$38,0)-AV120*参数!$B$41-AW120*参数!$B$14),0),0)</f>
        <v>8.8000000000000007</v>
      </c>
      <c r="AZ120">
        <f>AY120-MAX(AP120,0)*参数!$B$10</f>
        <v>5.8000000000000007</v>
      </c>
      <c r="BA120">
        <f t="shared" si="3"/>
        <v>8.8000000000000007</v>
      </c>
    </row>
    <row r="121" spans="1:53" x14ac:dyDescent="0.3">
      <c r="A121">
        <v>120</v>
      </c>
      <c r="B121" t="s">
        <v>605</v>
      </c>
      <c r="C121" t="s">
        <v>452</v>
      </c>
      <c r="D121" t="s">
        <v>606</v>
      </c>
      <c r="E121" t="s">
        <v>607</v>
      </c>
      <c r="F121" t="s">
        <v>108</v>
      </c>
      <c r="G121" t="s">
        <v>14</v>
      </c>
      <c r="H121">
        <v>0</v>
      </c>
      <c r="I121">
        <v>0</v>
      </c>
      <c r="J121" t="s">
        <v>608</v>
      </c>
      <c r="L121" t="s">
        <v>191</v>
      </c>
      <c r="M121">
        <v>60</v>
      </c>
      <c r="N121">
        <v>75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 t="s">
        <v>112</v>
      </c>
      <c r="AN121" t="s">
        <v>192</v>
      </c>
      <c r="AP121">
        <f t="shared" si="2"/>
        <v>0.4</v>
      </c>
      <c r="AQ121">
        <v>0</v>
      </c>
      <c r="AR121">
        <v>0</v>
      </c>
      <c r="AT121" t="s">
        <v>113</v>
      </c>
      <c r="AU121">
        <v>0</v>
      </c>
      <c r="AY121">
        <f>IFERROR(MAX(IF(IF(AND(F121="能力",AL121="能力持续"),(参数!$B$2-1)*参数!$B$3,0)+M121*O121*参数!$B$5*IF(AND(F121="能力",AL121="能力持续"),参数!$B$2,1)+P121*参数!$B$6*IF(AND(F121="能力",AL121="能力持续"),参数!$B$2,1)+R121*参数!$B$7*IF(AND(F121="能力",AL121="能力持续"),参数!$B$2,1)+V121*参数!$B$8+IF(X121&lt;0,X121*参数!$B$13,X121*参数!$B$39)+IF(AE121&lt;0,AE121*参数!$B$13,AE121*参数!$B$12)*参数!$B$2+AQ121*参数!$B$15+AB121*参数!$B$11+AF121*参数!$B$40*参数!$B$2+AG121*参数!$B$44*参数!$B$2+AH121*参数!$B$6*参数!$B$2+AI121*参数!$B$39*参数!$B$2+AJ121*参数!$B$6*参数!$B$2+Z121*参数!$B$13-T121*参数!$B$14-AD121*参数!$B$13+IF(ISNUMBER(AU121),AU121*参数!$B$38,0)-AV121*参数!$B$41-AW121*参数!$B$14&gt;参数!$B$17,参数!$B$17+SQRT(IF(AND(F121="能力",AL121="能力持续"),(参数!$B$2-1)*参数!$B$3,0)+M121*O121*参数!$B$5*IF(AND(F121="能力",AL121="能力持续"),参数!$B$2,1)+P121*参数!$B$6*IF(AND(F121="能力",AL121="能力持续"),参数!$B$2,1)+R121*参数!$B$7*IF(AND(F121="能力",AL121="能力持续"),参数!$B$2,1)+V121*参数!$B$8+IF(X121&lt;0,X121*参数!$B$13,X121*参数!$B$39)+IF(AE121&lt;0,AE121*参数!$B$13,AE121*参数!$B$12)*参数!$B$2+AQ121*参数!$B$15+AB121*参数!$B$11+AF121*参数!$B$40*参数!$B$2+AG121*参数!$B$44*参数!$B$2+AH121*参数!$B$6*参数!$B$2+AI121*参数!$B$39*参数!$B$2+AJ121*参数!$B$6*参数!$B$2+Z121*参数!$B$13-T121*参数!$B$14-AD121*参数!$B$13+IF(ISNUMBER(AU121),AU121*参数!$B$38,0)-AV121*参数!$B$41-AW121*参数!$B$14-参数!$B$17)*参数!$B$18,IF(AND(F121="能力",AL121="能力持续"),(参数!$B$2-1)*参数!$B$3,0)+M121*O121*参数!$B$5*IF(AND(F121="能力",AL121="能力持续"),参数!$B$2,1)+P121*参数!$B$6*IF(AND(F121="能力",AL121="能力持续"),参数!$B$2,1)+R121*参数!$B$7*IF(AND(F121="能力",AL121="能力持续"),参数!$B$2,1)+V121*参数!$B$8+IF(X121&lt;0,X121*参数!$B$13,X121*参数!$B$39)+IF(AE121&lt;0,AE121*参数!$B$13,AE121*参数!$B$12)*参数!$B$2+AQ121*参数!$B$15+AB121*参数!$B$11+AF121*参数!$B$40*参数!$B$2+AG121*参数!$B$44*参数!$B$2+AH121*参数!$B$6*参数!$B$2+AI121*参数!$B$39*参数!$B$2+AJ121*参数!$B$6*参数!$B$2+Z121*参数!$B$13-T121*参数!$B$14-AD121*参数!$B$13+IF(ISNUMBER(AU121),AU121*参数!$B$38,0)-AV121*参数!$B$41-AW121*参数!$B$14),0),0)</f>
        <v>20.606601717798213</v>
      </c>
      <c r="AZ121">
        <f>AY121-MAX(AP121,0)*参数!$B$10</f>
        <v>19.406601717798214</v>
      </c>
      <c r="BA121">
        <f t="shared" si="3"/>
        <v>51.516504294495533</v>
      </c>
    </row>
    <row r="122" spans="1:53" x14ac:dyDescent="0.3">
      <c r="A122">
        <v>121</v>
      </c>
      <c r="B122" t="s">
        <v>609</v>
      </c>
      <c r="C122" t="s">
        <v>452</v>
      </c>
      <c r="D122" t="s">
        <v>610</v>
      </c>
      <c r="E122" t="s">
        <v>611</v>
      </c>
      <c r="F122" t="s">
        <v>117</v>
      </c>
      <c r="G122" t="s">
        <v>12</v>
      </c>
      <c r="H122">
        <v>1</v>
      </c>
      <c r="I122">
        <v>1</v>
      </c>
      <c r="J122" t="s">
        <v>612</v>
      </c>
      <c r="L122" t="s">
        <v>120</v>
      </c>
      <c r="M122">
        <v>0</v>
      </c>
      <c r="N122">
        <v>0</v>
      </c>
      <c r="O122">
        <v>1</v>
      </c>
      <c r="P122">
        <v>7</v>
      </c>
      <c r="Q122">
        <v>10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112</v>
      </c>
      <c r="AN122" t="s">
        <v>161</v>
      </c>
      <c r="AP122">
        <f t="shared" si="2"/>
        <v>1</v>
      </c>
      <c r="AQ122">
        <v>0</v>
      </c>
      <c r="AR122">
        <v>0</v>
      </c>
      <c r="AT122" t="s">
        <v>113</v>
      </c>
      <c r="AU122">
        <v>0</v>
      </c>
      <c r="AY122">
        <f>IFERROR(MAX(IF(IF(AND(F122="能力",AL122="能力持续"),(参数!$B$2-1)*参数!$B$3,0)+M122*O122*参数!$B$5*IF(AND(F122="能力",AL122="能力持续"),参数!$B$2,1)+P122*参数!$B$6*IF(AND(F122="能力",AL122="能力持续"),参数!$B$2,1)+R122*参数!$B$7*IF(AND(F122="能力",AL122="能力持续"),参数!$B$2,1)+V122*参数!$B$8+IF(X122&lt;0,X122*参数!$B$13,X122*参数!$B$39)+IF(AE122&lt;0,AE122*参数!$B$13,AE122*参数!$B$12)*参数!$B$2+AQ122*参数!$B$15+AB122*参数!$B$11+AF122*参数!$B$40*参数!$B$2+AG122*参数!$B$44*参数!$B$2+AH122*参数!$B$6*参数!$B$2+AI122*参数!$B$39*参数!$B$2+AJ122*参数!$B$6*参数!$B$2+Z122*参数!$B$13-T122*参数!$B$14-AD122*参数!$B$13+IF(ISNUMBER(AU122),AU122*参数!$B$38,0)-AV122*参数!$B$41-AW122*参数!$B$14&gt;参数!$B$17,参数!$B$17+SQRT(IF(AND(F122="能力",AL122="能力持续"),(参数!$B$2-1)*参数!$B$3,0)+M122*O122*参数!$B$5*IF(AND(F122="能力",AL122="能力持续"),参数!$B$2,1)+P122*参数!$B$6*IF(AND(F122="能力",AL122="能力持续"),参数!$B$2,1)+R122*参数!$B$7*IF(AND(F122="能力",AL122="能力持续"),参数!$B$2,1)+V122*参数!$B$8+IF(X122&lt;0,X122*参数!$B$13,X122*参数!$B$39)+IF(AE122&lt;0,AE122*参数!$B$13,AE122*参数!$B$12)*参数!$B$2+AQ122*参数!$B$15+AB122*参数!$B$11+AF122*参数!$B$40*参数!$B$2+AG122*参数!$B$44*参数!$B$2+AH122*参数!$B$6*参数!$B$2+AI122*参数!$B$39*参数!$B$2+AJ122*参数!$B$6*参数!$B$2+Z122*参数!$B$13-T122*参数!$B$14-AD122*参数!$B$13+IF(ISNUMBER(AU122),AU122*参数!$B$38,0)-AV122*参数!$B$41-AW122*参数!$B$14-参数!$B$17)*参数!$B$18,IF(AND(F122="能力",AL122="能力持续"),(参数!$B$2-1)*参数!$B$3,0)+M122*O122*参数!$B$5*IF(AND(F122="能力",AL122="能力持续"),参数!$B$2,1)+P122*参数!$B$6*IF(AND(F122="能力",AL122="能力持续"),参数!$B$2,1)+R122*参数!$B$7*IF(AND(F122="能力",AL122="能力持续"),参数!$B$2,1)+V122*参数!$B$8+IF(X122&lt;0,X122*参数!$B$13,X122*参数!$B$39)+IF(AE122&lt;0,AE122*参数!$B$13,AE122*参数!$B$12)*参数!$B$2+AQ122*参数!$B$15+AB122*参数!$B$11+AF122*参数!$B$40*参数!$B$2+AG122*参数!$B$44*参数!$B$2+AH122*参数!$B$6*参数!$B$2+AI122*参数!$B$39*参数!$B$2+AJ122*参数!$B$6*参数!$B$2+Z122*参数!$B$13-T122*参数!$B$14-AD122*参数!$B$13+IF(ISNUMBER(AU122),AU122*参数!$B$38,0)-AV122*参数!$B$41-AW122*参数!$B$14),0),0)</f>
        <v>7.7000000000000011</v>
      </c>
      <c r="AZ122">
        <f>AY122-MAX(AP122,0)*参数!$B$10</f>
        <v>4.7000000000000011</v>
      </c>
      <c r="BA122">
        <f t="shared" si="3"/>
        <v>7.7000000000000011</v>
      </c>
    </row>
    <row r="123" spans="1:53" x14ac:dyDescent="0.3">
      <c r="A123">
        <v>122</v>
      </c>
      <c r="B123" t="s">
        <v>613</v>
      </c>
      <c r="C123" t="s">
        <v>452</v>
      </c>
      <c r="D123" t="s">
        <v>614</v>
      </c>
      <c r="E123" t="s">
        <v>615</v>
      </c>
      <c r="F123" t="s">
        <v>117</v>
      </c>
      <c r="G123" t="s">
        <v>12</v>
      </c>
      <c r="H123">
        <v>3</v>
      </c>
      <c r="I123">
        <v>3</v>
      </c>
      <c r="J123" t="s">
        <v>616</v>
      </c>
      <c r="L123" t="s">
        <v>191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4</v>
      </c>
      <c r="AG123">
        <v>0</v>
      </c>
      <c r="AH123">
        <v>0</v>
      </c>
      <c r="AI123">
        <v>0</v>
      </c>
      <c r="AJ123">
        <v>0</v>
      </c>
      <c r="AK123" t="s">
        <v>112</v>
      </c>
      <c r="AN123" t="s">
        <v>192</v>
      </c>
      <c r="AP123">
        <f t="shared" si="2"/>
        <v>3</v>
      </c>
      <c r="AQ123">
        <v>0</v>
      </c>
      <c r="AR123">
        <v>0</v>
      </c>
      <c r="AT123" t="s">
        <v>113</v>
      </c>
      <c r="AU123">
        <v>0</v>
      </c>
      <c r="AY123">
        <f>IFERROR(MAX(IF(IF(AND(F123="能力",AL123="能力持续"),(参数!$B$2-1)*参数!$B$3,0)+M123*O123*参数!$B$5*IF(AND(F123="能力",AL123="能力持续"),参数!$B$2,1)+P123*参数!$B$6*IF(AND(F123="能力",AL123="能力持续"),参数!$B$2,1)+R123*参数!$B$7*IF(AND(F123="能力",AL123="能力持续"),参数!$B$2,1)+V123*参数!$B$8+IF(X123&lt;0,X123*参数!$B$13,X123*参数!$B$39)+IF(AE123&lt;0,AE123*参数!$B$13,AE123*参数!$B$12)*参数!$B$2+AQ123*参数!$B$15+AB123*参数!$B$11+AF123*参数!$B$40*参数!$B$2+AG123*参数!$B$44*参数!$B$2+AH123*参数!$B$6*参数!$B$2+AI123*参数!$B$39*参数!$B$2+AJ123*参数!$B$6*参数!$B$2+Z123*参数!$B$13-T123*参数!$B$14-AD123*参数!$B$13+IF(ISNUMBER(AU123),AU123*参数!$B$38,0)-AV123*参数!$B$41-AW123*参数!$B$14&gt;参数!$B$17,参数!$B$17+SQRT(IF(AND(F123="能力",AL123="能力持续"),(参数!$B$2-1)*参数!$B$3,0)+M123*O123*参数!$B$5*IF(AND(F123="能力",AL123="能力持续"),参数!$B$2,1)+P123*参数!$B$6*IF(AND(F123="能力",AL123="能力持续"),参数!$B$2,1)+R123*参数!$B$7*IF(AND(F123="能力",AL123="能力持续"),参数!$B$2,1)+V123*参数!$B$8+IF(X123&lt;0,X123*参数!$B$13,X123*参数!$B$39)+IF(AE123&lt;0,AE123*参数!$B$13,AE123*参数!$B$12)*参数!$B$2+AQ123*参数!$B$15+AB123*参数!$B$11+AF123*参数!$B$40*参数!$B$2+AG123*参数!$B$44*参数!$B$2+AH123*参数!$B$6*参数!$B$2+AI123*参数!$B$39*参数!$B$2+AJ123*参数!$B$6*参数!$B$2+Z123*参数!$B$13-T123*参数!$B$14-AD123*参数!$B$13+IF(ISNUMBER(AU123),AU123*参数!$B$38,0)-AV123*参数!$B$41-AW123*参数!$B$14-参数!$B$17)*参数!$B$18,IF(AND(F123="能力",AL123="能力持续"),(参数!$B$2-1)*参数!$B$3,0)+M123*O123*参数!$B$5*IF(AND(F123="能力",AL123="能力持续"),参数!$B$2,1)+P123*参数!$B$6*IF(AND(F123="能力",AL123="能力持续"),参数!$B$2,1)+R123*参数!$B$7*IF(AND(F123="能力",AL123="能力持续"),参数!$B$2,1)+V123*参数!$B$8+IF(X123&lt;0,X123*参数!$B$13,X123*参数!$B$39)+IF(AE123&lt;0,AE123*参数!$B$13,AE123*参数!$B$12)*参数!$B$2+AQ123*参数!$B$15+AB123*参数!$B$11+AF123*参数!$B$40*参数!$B$2+AG123*参数!$B$44*参数!$B$2+AH123*参数!$B$6*参数!$B$2+AI123*参数!$B$39*参数!$B$2+AJ123*参数!$B$6*参数!$B$2+Z123*参数!$B$13-T123*参数!$B$14-AD123*参数!$B$13+IF(ISNUMBER(AU123),AU123*参数!$B$38,0)-AV123*参数!$B$41-AW123*参数!$B$14),0),0)</f>
        <v>14.107919181288747</v>
      </c>
      <c r="AZ123">
        <f>AY123-MAX(AP123,0)*参数!$B$10</f>
        <v>5.1079191812887466</v>
      </c>
      <c r="BA123">
        <f t="shared" si="3"/>
        <v>4.7026397270962486</v>
      </c>
    </row>
    <row r="124" spans="1:53" x14ac:dyDescent="0.3">
      <c r="A124">
        <v>123</v>
      </c>
      <c r="B124" t="s">
        <v>617</v>
      </c>
      <c r="C124" t="s">
        <v>452</v>
      </c>
      <c r="D124" t="s">
        <v>618</v>
      </c>
      <c r="E124" t="s">
        <v>619</v>
      </c>
      <c r="F124" t="s">
        <v>117</v>
      </c>
      <c r="G124" t="s">
        <v>12</v>
      </c>
      <c r="H124">
        <v>0</v>
      </c>
      <c r="I124">
        <v>0</v>
      </c>
      <c r="J124" t="s">
        <v>620</v>
      </c>
      <c r="L124" t="s">
        <v>111</v>
      </c>
      <c r="M124">
        <v>4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 t="s">
        <v>112</v>
      </c>
      <c r="AP124">
        <f t="shared" si="2"/>
        <v>0.4</v>
      </c>
      <c r="AQ124">
        <v>0</v>
      </c>
      <c r="AR124">
        <v>0</v>
      </c>
      <c r="AT124" t="s">
        <v>113</v>
      </c>
      <c r="AU124">
        <v>0</v>
      </c>
      <c r="AY124">
        <f>IFERROR(MAX(IF(IF(AND(F124="能力",AL124="能力持续"),(参数!$B$2-1)*参数!$B$3,0)+M124*O124*参数!$B$5*IF(AND(F124="能力",AL124="能力持续"),参数!$B$2,1)+P124*参数!$B$6*IF(AND(F124="能力",AL124="能力持续"),参数!$B$2,1)+R124*参数!$B$7*IF(AND(F124="能力",AL124="能力持续"),参数!$B$2,1)+V124*参数!$B$8+IF(X124&lt;0,X124*参数!$B$13,X124*参数!$B$39)+IF(AE124&lt;0,AE124*参数!$B$13,AE124*参数!$B$12)*参数!$B$2+AQ124*参数!$B$15+AB124*参数!$B$11+AF124*参数!$B$40*参数!$B$2+AG124*参数!$B$44*参数!$B$2+AH124*参数!$B$6*参数!$B$2+AI124*参数!$B$39*参数!$B$2+AJ124*参数!$B$6*参数!$B$2+Z124*参数!$B$13-T124*参数!$B$14-AD124*参数!$B$13+IF(ISNUMBER(AU124),AU124*参数!$B$38,0)-AV124*参数!$B$41-AW124*参数!$B$14&gt;参数!$B$17,参数!$B$17+SQRT(IF(AND(F124="能力",AL124="能力持续"),(参数!$B$2-1)*参数!$B$3,0)+M124*O124*参数!$B$5*IF(AND(F124="能力",AL124="能力持续"),参数!$B$2,1)+P124*参数!$B$6*IF(AND(F124="能力",AL124="能力持续"),参数!$B$2,1)+R124*参数!$B$7*IF(AND(F124="能力",AL124="能力持续"),参数!$B$2,1)+V124*参数!$B$8+IF(X124&lt;0,X124*参数!$B$13,X124*参数!$B$39)+IF(AE124&lt;0,AE124*参数!$B$13,AE124*参数!$B$12)*参数!$B$2+AQ124*参数!$B$15+AB124*参数!$B$11+AF124*参数!$B$40*参数!$B$2+AG124*参数!$B$44*参数!$B$2+AH124*参数!$B$6*参数!$B$2+AI124*参数!$B$39*参数!$B$2+AJ124*参数!$B$6*参数!$B$2+Z124*参数!$B$13-T124*参数!$B$14-AD124*参数!$B$13+IF(ISNUMBER(AU124),AU124*参数!$B$38,0)-AV124*参数!$B$41-AW124*参数!$B$14-参数!$B$17)*参数!$B$18,IF(AND(F124="能力",AL124="能力持续"),(参数!$B$2-1)*参数!$B$3,0)+M124*O124*参数!$B$5*IF(AND(F124="能力",AL124="能力持续"),参数!$B$2,1)+P124*参数!$B$6*IF(AND(F124="能力",AL124="能力持续"),参数!$B$2,1)+R124*参数!$B$7*IF(AND(F124="能力",AL124="能力持续"),参数!$B$2,1)+V124*参数!$B$8+IF(X124&lt;0,X124*参数!$B$13,X124*参数!$B$39)+IF(AE124&lt;0,AE124*参数!$B$13,AE124*参数!$B$12)*参数!$B$2+AQ124*参数!$B$15+AB124*参数!$B$11+AF124*参数!$B$40*参数!$B$2+AG124*参数!$B$44*参数!$B$2+AH124*参数!$B$6*参数!$B$2+AI124*参数!$B$39*参数!$B$2+AJ124*参数!$B$6*参数!$B$2+Z124*参数!$B$13-T124*参数!$B$14-AD124*参数!$B$13+IF(ISNUMBER(AU124),AU124*参数!$B$38,0)-AV124*参数!$B$41-AW124*参数!$B$14),0),0)</f>
        <v>7.4</v>
      </c>
      <c r="AZ124">
        <f>AY124-MAX(AP124,0)*参数!$B$10</f>
        <v>6.2</v>
      </c>
      <c r="BA124">
        <f t="shared" si="3"/>
        <v>18.5</v>
      </c>
    </row>
    <row r="125" spans="1:53" x14ac:dyDescent="0.3">
      <c r="A125">
        <v>124</v>
      </c>
      <c r="B125" t="s">
        <v>621</v>
      </c>
      <c r="C125" t="s">
        <v>452</v>
      </c>
      <c r="D125" t="s">
        <v>622</v>
      </c>
      <c r="E125" t="s">
        <v>623</v>
      </c>
      <c r="F125" t="s">
        <v>124</v>
      </c>
      <c r="G125" t="s">
        <v>12</v>
      </c>
      <c r="H125">
        <v>1</v>
      </c>
      <c r="I125">
        <v>1</v>
      </c>
      <c r="J125" t="s">
        <v>624</v>
      </c>
      <c r="L125" t="s">
        <v>120</v>
      </c>
      <c r="M125">
        <v>4</v>
      </c>
      <c r="N125">
        <v>0</v>
      </c>
      <c r="O125">
        <f>参数!$B$2</f>
        <v>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 t="s">
        <v>112</v>
      </c>
      <c r="AL125" t="s">
        <v>127</v>
      </c>
      <c r="AN125" t="s">
        <v>124</v>
      </c>
      <c r="AP125">
        <f t="shared" si="2"/>
        <v>1</v>
      </c>
      <c r="AQ125">
        <v>0</v>
      </c>
      <c r="AR125">
        <v>0</v>
      </c>
      <c r="AT125" t="s">
        <v>113</v>
      </c>
      <c r="AU125">
        <v>0</v>
      </c>
      <c r="AY125">
        <f>IFERROR(MAX(IF(IF(AND(F125="能力",AL125="能力持续"),(参数!$B$2-1)*参数!$B$3,0)+M125*O125*参数!$B$5*IF(AND(F125="能力",AL125="能力持续"),参数!$B$2,1)+P125*参数!$B$6*IF(AND(F125="能力",AL125="能力持续"),参数!$B$2,1)+R125*参数!$B$7*IF(AND(F125="能力",AL125="能力持续"),参数!$B$2,1)+V125*参数!$B$8+IF(X125&lt;0,X125*参数!$B$13,X125*参数!$B$39)+IF(AE125&lt;0,AE125*参数!$B$13,AE125*参数!$B$12)*参数!$B$2+AQ125*参数!$B$15+AB125*参数!$B$11+AF125*参数!$B$40*参数!$B$2+AG125*参数!$B$44*参数!$B$2+AH125*参数!$B$6*参数!$B$2+AI125*参数!$B$39*参数!$B$2+AJ125*参数!$B$6*参数!$B$2+Z125*参数!$B$13-T125*参数!$B$14-AD125*参数!$B$13+IF(ISNUMBER(AU125),AU125*参数!$B$38,0)-AV125*参数!$B$41-AW125*参数!$B$14&gt;参数!$B$17,参数!$B$17+SQRT(IF(AND(F125="能力",AL125="能力持续"),(参数!$B$2-1)*参数!$B$3,0)+M125*O125*参数!$B$5*IF(AND(F125="能力",AL125="能力持续"),参数!$B$2,1)+P125*参数!$B$6*IF(AND(F125="能力",AL125="能力持续"),参数!$B$2,1)+R125*参数!$B$7*IF(AND(F125="能力",AL125="能力持续"),参数!$B$2,1)+V125*参数!$B$8+IF(X125&lt;0,X125*参数!$B$13,X125*参数!$B$39)+IF(AE125&lt;0,AE125*参数!$B$13,AE125*参数!$B$12)*参数!$B$2+AQ125*参数!$B$15+AB125*参数!$B$11+AF125*参数!$B$40*参数!$B$2+AG125*参数!$B$44*参数!$B$2+AH125*参数!$B$6*参数!$B$2+AI125*参数!$B$39*参数!$B$2+AJ125*参数!$B$6*参数!$B$2+Z125*参数!$B$13-T125*参数!$B$14-AD125*参数!$B$13+IF(ISNUMBER(AU125),AU125*参数!$B$38,0)-AV125*参数!$B$41-AW125*参数!$B$14-参数!$B$17)*参数!$B$18,IF(AND(F125="能力",AL125="能力持续"),(参数!$B$2-1)*参数!$B$3,0)+M125*O125*参数!$B$5*IF(AND(F125="能力",AL125="能力持续"),参数!$B$2,1)+P125*参数!$B$6*IF(AND(F125="能力",AL125="能力持续"),参数!$B$2,1)+R125*参数!$B$7*IF(AND(F125="能力",AL125="能力持续"),参数!$B$2,1)+V125*参数!$B$8+IF(X125&lt;0,X125*参数!$B$13,X125*参数!$B$39)+IF(AE125&lt;0,AE125*参数!$B$13,AE125*参数!$B$12)*参数!$B$2+AQ125*参数!$B$15+AB125*参数!$B$11+AF125*参数!$B$40*参数!$B$2+AG125*参数!$B$44*参数!$B$2+AH125*参数!$B$6*参数!$B$2+AI125*参数!$B$39*参数!$B$2+AJ125*参数!$B$6*参数!$B$2+Z125*参数!$B$13-T125*参数!$B$14-AD125*参数!$B$13+IF(ISNUMBER(AU125),AU125*参数!$B$38,0)-AV125*参数!$B$41-AW125*参数!$B$14),0),0)</f>
        <v>21.384199576606164</v>
      </c>
      <c r="AZ125">
        <f>AY125-MAX(AP125,0)*参数!$B$10</f>
        <v>18.384199576606164</v>
      </c>
      <c r="BA125">
        <f t="shared" si="3"/>
        <v>21.384199576606164</v>
      </c>
    </row>
    <row r="126" spans="1:53" x14ac:dyDescent="0.3">
      <c r="A126">
        <v>125</v>
      </c>
      <c r="B126" t="s">
        <v>625</v>
      </c>
      <c r="C126" t="s">
        <v>452</v>
      </c>
      <c r="D126" t="s">
        <v>626</v>
      </c>
      <c r="E126" t="s">
        <v>627</v>
      </c>
      <c r="F126" t="s">
        <v>117</v>
      </c>
      <c r="G126" t="s">
        <v>14</v>
      </c>
      <c r="H126">
        <v>2</v>
      </c>
      <c r="I126">
        <v>2</v>
      </c>
      <c r="J126" t="s">
        <v>628</v>
      </c>
      <c r="K126" t="s">
        <v>182</v>
      </c>
      <c r="L126" t="s">
        <v>111</v>
      </c>
      <c r="M126">
        <v>20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 t="s">
        <v>112</v>
      </c>
      <c r="AO126" t="s">
        <v>182</v>
      </c>
      <c r="AP126">
        <f t="shared" si="2"/>
        <v>2</v>
      </c>
      <c r="AQ126">
        <v>0</v>
      </c>
      <c r="AR126">
        <v>0</v>
      </c>
      <c r="AT126" t="s">
        <v>113</v>
      </c>
      <c r="AU126">
        <v>0</v>
      </c>
      <c r="AY126">
        <f>IFERROR(MAX(IF(IF(AND(F126="能力",AL126="能力持续"),(参数!$B$2-1)*参数!$B$3,0)+M126*O126*参数!$B$5*IF(AND(F126="能力",AL126="能力持续"),参数!$B$2,1)+P126*参数!$B$6*IF(AND(F126="能力",AL126="能力持续"),参数!$B$2,1)+R126*参数!$B$7*IF(AND(F126="能力",AL126="能力持续"),参数!$B$2,1)+V126*参数!$B$8+IF(X126&lt;0,X126*参数!$B$13,X126*参数!$B$39)+IF(AE126&lt;0,AE126*参数!$B$13,AE126*参数!$B$12)*参数!$B$2+AQ126*参数!$B$15+AB126*参数!$B$11+AF126*参数!$B$40*参数!$B$2+AG126*参数!$B$44*参数!$B$2+AH126*参数!$B$6*参数!$B$2+AI126*参数!$B$39*参数!$B$2+AJ126*参数!$B$6*参数!$B$2+Z126*参数!$B$13-T126*参数!$B$14-AD126*参数!$B$13+IF(ISNUMBER(AU126),AU126*参数!$B$38,0)-AV126*参数!$B$41-AW126*参数!$B$14&gt;参数!$B$17,参数!$B$17+SQRT(IF(AND(F126="能力",AL126="能力持续"),(参数!$B$2-1)*参数!$B$3,0)+M126*O126*参数!$B$5*IF(AND(F126="能力",AL126="能力持续"),参数!$B$2,1)+P126*参数!$B$6*IF(AND(F126="能力",AL126="能力持续"),参数!$B$2,1)+R126*参数!$B$7*IF(AND(F126="能力",AL126="能力持续"),参数!$B$2,1)+V126*参数!$B$8+IF(X126&lt;0,X126*参数!$B$13,X126*参数!$B$39)+IF(AE126&lt;0,AE126*参数!$B$13,AE126*参数!$B$12)*参数!$B$2+AQ126*参数!$B$15+AB126*参数!$B$11+AF126*参数!$B$40*参数!$B$2+AG126*参数!$B$44*参数!$B$2+AH126*参数!$B$6*参数!$B$2+AI126*参数!$B$39*参数!$B$2+AJ126*参数!$B$6*参数!$B$2+Z126*参数!$B$13-T126*参数!$B$14-AD126*参数!$B$13+IF(ISNUMBER(AU126),AU126*参数!$B$38,0)-AV126*参数!$B$41-AW126*参数!$B$14-参数!$B$17)*参数!$B$18,IF(AND(F126="能力",AL126="能力持续"),(参数!$B$2-1)*参数!$B$3,0)+M126*O126*参数!$B$5*IF(AND(F126="能力",AL126="能力持续"),参数!$B$2,1)+P126*参数!$B$6*IF(AND(F126="能力",AL126="能力持续"),参数!$B$2,1)+R126*参数!$B$7*IF(AND(F126="能力",AL126="能力持续"),参数!$B$2,1)+V126*参数!$B$8+IF(X126&lt;0,X126*参数!$B$13,X126*参数!$B$39)+IF(AE126&lt;0,AE126*参数!$B$13,AE126*参数!$B$12)*参数!$B$2+AQ126*参数!$B$15+AB126*参数!$B$11+AF126*参数!$B$40*参数!$B$2+AG126*参数!$B$44*参数!$B$2+AH126*参数!$B$6*参数!$B$2+AI126*参数!$B$39*参数!$B$2+AJ126*参数!$B$6*参数!$B$2+Z126*参数!$B$13-T126*参数!$B$14-AD126*参数!$B$13+IF(ISNUMBER(AU126),AU126*参数!$B$38,0)-AV126*参数!$B$41-AW126*参数!$B$14),0),0)</f>
        <v>14.743416490252569</v>
      </c>
      <c r="AZ126">
        <f>AY126-MAX(AP126,0)*参数!$B$10</f>
        <v>8.7434164902525691</v>
      </c>
      <c r="BA126">
        <f t="shared" si="3"/>
        <v>7.3717082451262845</v>
      </c>
    </row>
    <row r="127" spans="1:53" x14ac:dyDescent="0.3">
      <c r="A127">
        <v>126</v>
      </c>
      <c r="B127" t="s">
        <v>629</v>
      </c>
      <c r="C127" t="s">
        <v>452</v>
      </c>
      <c r="D127" t="s">
        <v>630</v>
      </c>
      <c r="E127" t="s">
        <v>631</v>
      </c>
      <c r="F127" t="s">
        <v>108</v>
      </c>
      <c r="G127" t="s">
        <v>10</v>
      </c>
      <c r="H127">
        <v>1</v>
      </c>
      <c r="I127">
        <v>1</v>
      </c>
      <c r="J127" t="s">
        <v>632</v>
      </c>
      <c r="L127" t="s">
        <v>111</v>
      </c>
      <c r="M127">
        <v>11</v>
      </c>
      <c r="N127">
        <v>6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 t="s">
        <v>112</v>
      </c>
      <c r="AP127">
        <f t="shared" si="2"/>
        <v>1</v>
      </c>
      <c r="AQ127">
        <v>0</v>
      </c>
      <c r="AR127">
        <v>0</v>
      </c>
      <c r="AT127" t="s">
        <v>113</v>
      </c>
      <c r="AU127">
        <v>0</v>
      </c>
      <c r="AY127">
        <f>IFERROR(MAX(IF(IF(AND(F127="能力",AL127="能力持续"),(参数!$B$2-1)*参数!$B$3,0)+M127*O127*参数!$B$5*IF(AND(F127="能力",AL127="能力持续"),参数!$B$2,1)+P127*参数!$B$6*IF(AND(F127="能力",AL127="能力持续"),参数!$B$2,1)+R127*参数!$B$7*IF(AND(F127="能力",AL127="能力持续"),参数!$B$2,1)+V127*参数!$B$8+IF(X127&lt;0,X127*参数!$B$13,X127*参数!$B$39)+IF(AE127&lt;0,AE127*参数!$B$13,AE127*参数!$B$12)*参数!$B$2+AQ127*参数!$B$15+AB127*参数!$B$11+AF127*参数!$B$40*参数!$B$2+AG127*参数!$B$44*参数!$B$2+AH127*参数!$B$6*参数!$B$2+AI127*参数!$B$39*参数!$B$2+AJ127*参数!$B$6*参数!$B$2+Z127*参数!$B$13-T127*参数!$B$14-AD127*参数!$B$13+IF(ISNUMBER(AU127),AU127*参数!$B$38,0)-AV127*参数!$B$41-AW127*参数!$B$14&gt;参数!$B$17,参数!$B$17+SQRT(IF(AND(F127="能力",AL127="能力持续"),(参数!$B$2-1)*参数!$B$3,0)+M127*O127*参数!$B$5*IF(AND(F127="能力",AL127="能力持续"),参数!$B$2,1)+P127*参数!$B$6*IF(AND(F127="能力",AL127="能力持续"),参数!$B$2,1)+R127*参数!$B$7*IF(AND(F127="能力",AL127="能力持续"),参数!$B$2,1)+V127*参数!$B$8+IF(X127&lt;0,X127*参数!$B$13,X127*参数!$B$39)+IF(AE127&lt;0,AE127*参数!$B$13,AE127*参数!$B$12)*参数!$B$2+AQ127*参数!$B$15+AB127*参数!$B$11+AF127*参数!$B$40*参数!$B$2+AG127*参数!$B$44*参数!$B$2+AH127*参数!$B$6*参数!$B$2+AI127*参数!$B$39*参数!$B$2+AJ127*参数!$B$6*参数!$B$2+Z127*参数!$B$13-T127*参数!$B$14-AD127*参数!$B$13+IF(ISNUMBER(AU127),AU127*参数!$B$38,0)-AV127*参数!$B$41-AW127*参数!$B$14-参数!$B$17)*参数!$B$18,IF(AND(F127="能力",AL127="能力持续"),(参数!$B$2-1)*参数!$B$3,0)+M127*O127*参数!$B$5*IF(AND(F127="能力",AL127="能力持续"),参数!$B$2,1)+P127*参数!$B$6*IF(AND(F127="能力",AL127="能力持续"),参数!$B$2,1)+R127*参数!$B$7*IF(AND(F127="能力",AL127="能力持续"),参数!$B$2,1)+V127*参数!$B$8+IF(X127&lt;0,X127*参数!$B$13,X127*参数!$B$39)+IF(AE127&lt;0,AE127*参数!$B$13,AE127*参数!$B$12)*参数!$B$2+AQ127*参数!$B$15+AB127*参数!$B$11+AF127*参数!$B$40*参数!$B$2+AG127*参数!$B$44*参数!$B$2+AH127*参数!$B$6*参数!$B$2+AI127*参数!$B$39*参数!$B$2+AJ127*参数!$B$6*参数!$B$2+Z127*参数!$B$13-T127*参数!$B$14-AD127*参数!$B$13+IF(ISNUMBER(AU127),AU127*参数!$B$38,0)-AV127*参数!$B$41-AW127*参数!$B$14),0),0)</f>
        <v>11.5</v>
      </c>
      <c r="AZ127">
        <f>AY127-MAX(AP127,0)*参数!$B$10</f>
        <v>8.5</v>
      </c>
      <c r="BA127">
        <f t="shared" si="3"/>
        <v>11.5</v>
      </c>
    </row>
    <row r="128" spans="1:53" x14ac:dyDescent="0.3">
      <c r="A128">
        <v>127</v>
      </c>
      <c r="B128" t="s">
        <v>633</v>
      </c>
      <c r="C128" t="s">
        <v>452</v>
      </c>
      <c r="D128" t="s">
        <v>634</v>
      </c>
      <c r="E128" t="s">
        <v>635</v>
      </c>
      <c r="F128" t="s">
        <v>117</v>
      </c>
      <c r="G128" t="s">
        <v>12</v>
      </c>
      <c r="H128">
        <v>2</v>
      </c>
      <c r="I128">
        <v>2</v>
      </c>
      <c r="J128" t="s">
        <v>636</v>
      </c>
      <c r="L128" t="s">
        <v>120</v>
      </c>
      <c r="M128">
        <v>0</v>
      </c>
      <c r="N128">
        <v>0</v>
      </c>
      <c r="O128">
        <v>1</v>
      </c>
      <c r="P128">
        <v>11</v>
      </c>
      <c r="Q128">
        <v>14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 t="s">
        <v>112</v>
      </c>
      <c r="AP128">
        <f t="shared" si="2"/>
        <v>2</v>
      </c>
      <c r="AQ128">
        <v>0</v>
      </c>
      <c r="AR128">
        <v>0</v>
      </c>
      <c r="AT128" t="s">
        <v>113</v>
      </c>
      <c r="AU128">
        <v>0</v>
      </c>
      <c r="AY128">
        <f>IFERROR(MAX(IF(IF(AND(F128="能力",AL128="能力持续"),(参数!$B$2-1)*参数!$B$3,0)+M128*O128*参数!$B$5*IF(AND(F128="能力",AL128="能力持续"),参数!$B$2,1)+P128*参数!$B$6*IF(AND(F128="能力",AL128="能力持续"),参数!$B$2,1)+R128*参数!$B$7*IF(AND(F128="能力",AL128="能力持续"),参数!$B$2,1)+V128*参数!$B$8+IF(X128&lt;0,X128*参数!$B$13,X128*参数!$B$39)+IF(AE128&lt;0,AE128*参数!$B$13,AE128*参数!$B$12)*参数!$B$2+AQ128*参数!$B$15+AB128*参数!$B$11+AF128*参数!$B$40*参数!$B$2+AG128*参数!$B$44*参数!$B$2+AH128*参数!$B$6*参数!$B$2+AI128*参数!$B$39*参数!$B$2+AJ128*参数!$B$6*参数!$B$2+Z128*参数!$B$13-T128*参数!$B$14-AD128*参数!$B$13+IF(ISNUMBER(AU128),AU128*参数!$B$38,0)-AV128*参数!$B$41-AW128*参数!$B$14&gt;参数!$B$17,参数!$B$17+SQRT(IF(AND(F128="能力",AL128="能力持续"),(参数!$B$2-1)*参数!$B$3,0)+M128*O128*参数!$B$5*IF(AND(F128="能力",AL128="能力持续"),参数!$B$2,1)+P128*参数!$B$6*IF(AND(F128="能力",AL128="能力持续"),参数!$B$2,1)+R128*参数!$B$7*IF(AND(F128="能力",AL128="能力持续"),参数!$B$2,1)+V128*参数!$B$8+IF(X128&lt;0,X128*参数!$B$13,X128*参数!$B$39)+IF(AE128&lt;0,AE128*参数!$B$13,AE128*参数!$B$12)*参数!$B$2+AQ128*参数!$B$15+AB128*参数!$B$11+AF128*参数!$B$40*参数!$B$2+AG128*参数!$B$44*参数!$B$2+AH128*参数!$B$6*参数!$B$2+AI128*参数!$B$39*参数!$B$2+AJ128*参数!$B$6*参数!$B$2+Z128*参数!$B$13-T128*参数!$B$14-AD128*参数!$B$13+IF(ISNUMBER(AU128),AU128*参数!$B$38,0)-AV128*参数!$B$41-AW128*参数!$B$14-参数!$B$17)*参数!$B$18,IF(AND(F128="能力",AL128="能力持续"),(参数!$B$2-1)*参数!$B$3,0)+M128*O128*参数!$B$5*IF(AND(F128="能力",AL128="能力持续"),参数!$B$2,1)+P128*参数!$B$6*IF(AND(F128="能力",AL128="能力持续"),参数!$B$2,1)+R128*参数!$B$7*IF(AND(F128="能力",AL128="能力持续"),参数!$B$2,1)+V128*参数!$B$8+IF(X128&lt;0,X128*参数!$B$13,X128*参数!$B$39)+IF(AE128&lt;0,AE128*参数!$B$13,AE128*参数!$B$12)*参数!$B$2+AQ128*参数!$B$15+AB128*参数!$B$11+AF128*参数!$B$40*参数!$B$2+AG128*参数!$B$44*参数!$B$2+AH128*参数!$B$6*参数!$B$2+AI128*参数!$B$39*参数!$B$2+AJ128*参数!$B$6*参数!$B$2+Z128*参数!$B$13-T128*参数!$B$14-AD128*参数!$B$13+IF(ISNUMBER(AU128),AU128*参数!$B$38,0)-AV128*参数!$B$41-AW128*参数!$B$14),0),0)</f>
        <v>13.387476937190865</v>
      </c>
      <c r="AZ128">
        <f>AY128-MAX(AP128,0)*参数!$B$10</f>
        <v>7.3874769371908648</v>
      </c>
      <c r="BA128">
        <f t="shared" si="3"/>
        <v>6.6937384685954324</v>
      </c>
    </row>
    <row r="129" spans="1:53" x14ac:dyDescent="0.3">
      <c r="A129">
        <v>128</v>
      </c>
      <c r="B129" t="s">
        <v>637</v>
      </c>
      <c r="C129" t="s">
        <v>452</v>
      </c>
      <c r="D129" t="s">
        <v>638</v>
      </c>
      <c r="E129" t="s">
        <v>639</v>
      </c>
      <c r="F129" t="s">
        <v>117</v>
      </c>
      <c r="G129" t="s">
        <v>14</v>
      </c>
      <c r="H129">
        <v>0</v>
      </c>
      <c r="I129">
        <v>0</v>
      </c>
      <c r="J129" t="s">
        <v>640</v>
      </c>
      <c r="L129" t="s">
        <v>111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f>参数!$B$26</f>
        <v>3.5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 t="s">
        <v>112</v>
      </c>
      <c r="AP129">
        <f t="shared" si="2"/>
        <v>0.4</v>
      </c>
      <c r="AQ129">
        <f>参数!$B$26*参数!$B$12</f>
        <v>4.2</v>
      </c>
      <c r="AR129">
        <v>0</v>
      </c>
      <c r="AT129" t="s">
        <v>113</v>
      </c>
      <c r="AU129">
        <v>0</v>
      </c>
      <c r="AY129">
        <f>IFERROR(MAX(IF(IF(AND(F129="能力",AL129="能力持续"),(参数!$B$2-1)*参数!$B$3,0)+M129*O129*参数!$B$5*IF(AND(F129="能力",AL129="能力持续"),参数!$B$2,1)+P129*参数!$B$6*IF(AND(F129="能力",AL129="能力持续"),参数!$B$2,1)+R129*参数!$B$7*IF(AND(F129="能力",AL129="能力持续"),参数!$B$2,1)+V129*参数!$B$8+IF(X129&lt;0,X129*参数!$B$13,X129*参数!$B$39)+IF(AE129&lt;0,AE129*参数!$B$13,AE129*参数!$B$12)*参数!$B$2+AQ129*参数!$B$15+AB129*参数!$B$11+AF129*参数!$B$40*参数!$B$2+AG129*参数!$B$44*参数!$B$2+AH129*参数!$B$6*参数!$B$2+AI129*参数!$B$39*参数!$B$2+AJ129*参数!$B$6*参数!$B$2+Z129*参数!$B$13-T129*参数!$B$14-AD129*参数!$B$13+IF(ISNUMBER(AU129),AU129*参数!$B$38,0)-AV129*参数!$B$41-AW129*参数!$B$14&gt;参数!$B$17,参数!$B$17+SQRT(IF(AND(F129="能力",AL129="能力持续"),(参数!$B$2-1)*参数!$B$3,0)+M129*O129*参数!$B$5*IF(AND(F129="能力",AL129="能力持续"),参数!$B$2,1)+P129*参数!$B$6*IF(AND(F129="能力",AL129="能力持续"),参数!$B$2,1)+R129*参数!$B$7*IF(AND(F129="能力",AL129="能力持续"),参数!$B$2,1)+V129*参数!$B$8+IF(X129&lt;0,X129*参数!$B$13,X129*参数!$B$39)+IF(AE129&lt;0,AE129*参数!$B$13,AE129*参数!$B$12)*参数!$B$2+AQ129*参数!$B$15+AB129*参数!$B$11+AF129*参数!$B$40*参数!$B$2+AG129*参数!$B$44*参数!$B$2+AH129*参数!$B$6*参数!$B$2+AI129*参数!$B$39*参数!$B$2+AJ129*参数!$B$6*参数!$B$2+Z129*参数!$B$13-T129*参数!$B$14-AD129*参数!$B$13+IF(ISNUMBER(AU129),AU129*参数!$B$38,0)-AV129*参数!$B$41-AW129*参数!$B$14-参数!$B$17)*参数!$B$18,IF(AND(F129="能力",AL129="能力持续"),(参数!$B$2-1)*参数!$B$3,0)+M129*O129*参数!$B$5*IF(AND(F129="能力",AL129="能力持续"),参数!$B$2,1)+P129*参数!$B$6*IF(AND(F129="能力",AL129="能力持续"),参数!$B$2,1)+R129*参数!$B$7*IF(AND(F129="能力",AL129="能力持续"),参数!$B$2,1)+V129*参数!$B$8+IF(X129&lt;0,X129*参数!$B$13,X129*参数!$B$39)+IF(AE129&lt;0,AE129*参数!$B$13,AE129*参数!$B$12)*参数!$B$2+AQ129*参数!$B$15+AB129*参数!$B$11+AF129*参数!$B$40*参数!$B$2+AG129*参数!$B$44*参数!$B$2+AH129*参数!$B$6*参数!$B$2+AI129*参数!$B$39*参数!$B$2+AJ129*参数!$B$6*参数!$B$2+Z129*参数!$B$13-T129*参数!$B$14-AD129*参数!$B$13+IF(ISNUMBER(AU129),AU129*参数!$B$38,0)-AV129*参数!$B$41-AW129*参数!$B$14),0),0)</f>
        <v>14.20267771783657</v>
      </c>
      <c r="AZ129">
        <f>AY129-MAX(AP129,0)*参数!$B$10</f>
        <v>13.002677717836569</v>
      </c>
      <c r="BA129">
        <f t="shared" si="3"/>
        <v>35.506694294591426</v>
      </c>
    </row>
    <row r="130" spans="1:53" x14ac:dyDescent="0.3">
      <c r="A130">
        <v>129</v>
      </c>
      <c r="B130" t="s">
        <v>641</v>
      </c>
      <c r="C130" t="s">
        <v>452</v>
      </c>
      <c r="D130" t="s">
        <v>642</v>
      </c>
      <c r="E130" t="s">
        <v>643</v>
      </c>
      <c r="F130" t="s">
        <v>124</v>
      </c>
      <c r="G130" t="s">
        <v>14</v>
      </c>
      <c r="H130">
        <v>2</v>
      </c>
      <c r="I130">
        <v>1</v>
      </c>
      <c r="J130" t="s">
        <v>644</v>
      </c>
      <c r="L130" t="s">
        <v>120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 t="s">
        <v>112</v>
      </c>
      <c r="AL130" t="s">
        <v>127</v>
      </c>
      <c r="AN130" t="s">
        <v>124</v>
      </c>
      <c r="AP130">
        <f t="shared" ref="AP130:AP193" si="4">IF(ISNUMBER(H130),IF(AND(H130=0,V130=0,AK130="none"),0.4,IF(AK130="exhaust",MAX(H130-V130,0.4),IF(AK130="ethereal",MAX(H130-V130,0.4),MAX(H130-V130,0.4)))),IF(AND(AK130="exhaust",OR(H130="X",H130="∞")),0.4,IF(OR(H130="X",H130="∞"),0.4,0.4)))</f>
        <v>2</v>
      </c>
      <c r="AQ130">
        <v>4</v>
      </c>
      <c r="AR130">
        <v>0</v>
      </c>
      <c r="AT130" t="s">
        <v>113</v>
      </c>
      <c r="AU130">
        <v>0</v>
      </c>
      <c r="AY130">
        <f>IFERROR(MAX(IF(IF(AND(F130="能力",AL130="能力持续"),(参数!$B$2-1)*参数!$B$3,0)+M130*O130*参数!$B$5*IF(AND(F130="能力",AL130="能力持续"),参数!$B$2,1)+P130*参数!$B$6*IF(AND(F130="能力",AL130="能力持续"),参数!$B$2,1)+R130*参数!$B$7*IF(AND(F130="能力",AL130="能力持续"),参数!$B$2,1)+V130*参数!$B$8+IF(X130&lt;0,X130*参数!$B$13,X130*参数!$B$39)+IF(AE130&lt;0,AE130*参数!$B$13,AE130*参数!$B$12)*参数!$B$2+AQ130*参数!$B$15+AB130*参数!$B$11+AF130*参数!$B$40*参数!$B$2+AG130*参数!$B$44*参数!$B$2+AH130*参数!$B$6*参数!$B$2+AI130*参数!$B$39*参数!$B$2+AJ130*参数!$B$6*参数!$B$2+Z130*参数!$B$13-T130*参数!$B$14-AD130*参数!$B$13+IF(ISNUMBER(AU130),AU130*参数!$B$38,0)-AV130*参数!$B$41-AW130*参数!$B$14&gt;参数!$B$17,参数!$B$17+SQRT(IF(AND(F130="能力",AL130="能力持续"),(参数!$B$2-1)*参数!$B$3,0)+M130*O130*参数!$B$5*IF(AND(F130="能力",AL130="能力持续"),参数!$B$2,1)+P130*参数!$B$6*IF(AND(F130="能力",AL130="能力持续"),参数!$B$2,1)+R130*参数!$B$7*IF(AND(F130="能力",AL130="能力持续"),参数!$B$2,1)+V130*参数!$B$8+IF(X130&lt;0,X130*参数!$B$13,X130*参数!$B$39)+IF(AE130&lt;0,AE130*参数!$B$13,AE130*参数!$B$12)*参数!$B$2+AQ130*参数!$B$15+AB130*参数!$B$11+AF130*参数!$B$40*参数!$B$2+AG130*参数!$B$44*参数!$B$2+AH130*参数!$B$6*参数!$B$2+AI130*参数!$B$39*参数!$B$2+AJ130*参数!$B$6*参数!$B$2+Z130*参数!$B$13-T130*参数!$B$14-AD130*参数!$B$13+IF(ISNUMBER(AU130),AU130*参数!$B$38,0)-AV130*参数!$B$41-AW130*参数!$B$14-参数!$B$17)*参数!$B$18,IF(AND(F130="能力",AL130="能力持续"),(参数!$B$2-1)*参数!$B$3,0)+M130*O130*参数!$B$5*IF(AND(F130="能力",AL130="能力持续"),参数!$B$2,1)+P130*参数!$B$6*IF(AND(F130="能力",AL130="能力持续"),参数!$B$2,1)+R130*参数!$B$7*IF(AND(F130="能力",AL130="能力持续"),参数!$B$2,1)+V130*参数!$B$8+IF(X130&lt;0,X130*参数!$B$13,X130*参数!$B$39)+IF(AE130&lt;0,AE130*参数!$B$13,AE130*参数!$B$12)*参数!$B$2+AQ130*参数!$B$15+AB130*参数!$B$11+AF130*参数!$B$40*参数!$B$2+AG130*参数!$B$44*参数!$B$2+AH130*参数!$B$6*参数!$B$2+AI130*参数!$B$39*参数!$B$2+AJ130*参数!$B$6*参数!$B$2+Z130*参数!$B$13-T130*参数!$B$14-AD130*参数!$B$13+IF(ISNUMBER(AU130),AU130*参数!$B$38,0)-AV130*参数!$B$41-AW130*参数!$B$14),0),0)</f>
        <v>13.549647869859768</v>
      </c>
      <c r="AZ130">
        <f>AY130-MAX(AP130,0)*参数!$B$10</f>
        <v>7.5496478698597684</v>
      </c>
      <c r="BA130">
        <f t="shared" ref="BA130:BA193" si="5">IF(MAX(AP130,0)=0,AY130,AY130/MAX(AP130,0))</f>
        <v>6.7748239349298842</v>
      </c>
    </row>
    <row r="131" spans="1:53" x14ac:dyDescent="0.3">
      <c r="A131">
        <v>130</v>
      </c>
      <c r="B131" t="s">
        <v>645</v>
      </c>
      <c r="C131" t="s">
        <v>452</v>
      </c>
      <c r="D131" t="s">
        <v>646</v>
      </c>
      <c r="E131" t="s">
        <v>647</v>
      </c>
      <c r="F131" t="s">
        <v>108</v>
      </c>
      <c r="G131" t="s">
        <v>12</v>
      </c>
      <c r="H131">
        <v>1</v>
      </c>
      <c r="I131">
        <v>1</v>
      </c>
      <c r="J131" t="s">
        <v>648</v>
      </c>
      <c r="L131" t="s">
        <v>111</v>
      </c>
      <c r="M131">
        <v>9</v>
      </c>
      <c r="N131">
        <v>11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 t="s">
        <v>112</v>
      </c>
      <c r="AN131" t="s">
        <v>161</v>
      </c>
      <c r="AP131">
        <f t="shared" si="4"/>
        <v>1</v>
      </c>
      <c r="AQ131">
        <v>0</v>
      </c>
      <c r="AR131">
        <v>0</v>
      </c>
      <c r="AT131" t="s">
        <v>113</v>
      </c>
      <c r="AU131">
        <v>0</v>
      </c>
      <c r="AY131">
        <f>IFERROR(MAX(IF(IF(AND(F131="能力",AL131="能力持续"),(参数!$B$2-1)*参数!$B$3,0)+M131*O131*参数!$B$5*IF(AND(F131="能力",AL131="能力持续"),参数!$B$2,1)+P131*参数!$B$6*IF(AND(F131="能力",AL131="能力持续"),参数!$B$2,1)+R131*参数!$B$7*IF(AND(F131="能力",AL131="能力持续"),参数!$B$2,1)+V131*参数!$B$8+IF(X131&lt;0,X131*参数!$B$13,X131*参数!$B$39)+IF(AE131&lt;0,AE131*参数!$B$13,AE131*参数!$B$12)*参数!$B$2+AQ131*参数!$B$15+AB131*参数!$B$11+AF131*参数!$B$40*参数!$B$2+AG131*参数!$B$44*参数!$B$2+AH131*参数!$B$6*参数!$B$2+AI131*参数!$B$39*参数!$B$2+AJ131*参数!$B$6*参数!$B$2+Z131*参数!$B$13-T131*参数!$B$14-AD131*参数!$B$13+IF(ISNUMBER(AU131),AU131*参数!$B$38,0)-AV131*参数!$B$41-AW131*参数!$B$14&gt;参数!$B$17,参数!$B$17+SQRT(IF(AND(F131="能力",AL131="能力持续"),(参数!$B$2-1)*参数!$B$3,0)+M131*O131*参数!$B$5*IF(AND(F131="能力",AL131="能力持续"),参数!$B$2,1)+P131*参数!$B$6*IF(AND(F131="能力",AL131="能力持续"),参数!$B$2,1)+R131*参数!$B$7*IF(AND(F131="能力",AL131="能力持续"),参数!$B$2,1)+V131*参数!$B$8+IF(X131&lt;0,X131*参数!$B$13,X131*参数!$B$39)+IF(AE131&lt;0,AE131*参数!$B$13,AE131*参数!$B$12)*参数!$B$2+AQ131*参数!$B$15+AB131*参数!$B$11+AF131*参数!$B$40*参数!$B$2+AG131*参数!$B$44*参数!$B$2+AH131*参数!$B$6*参数!$B$2+AI131*参数!$B$39*参数!$B$2+AJ131*参数!$B$6*参数!$B$2+Z131*参数!$B$13-T131*参数!$B$14-AD131*参数!$B$13+IF(ISNUMBER(AU131),AU131*参数!$B$38,0)-AV131*参数!$B$41-AW131*参数!$B$14-参数!$B$17)*参数!$B$18,IF(AND(F131="能力",AL131="能力持续"),(参数!$B$2-1)*参数!$B$3,0)+M131*O131*参数!$B$5*IF(AND(F131="能力",AL131="能力持续"),参数!$B$2,1)+P131*参数!$B$6*IF(AND(F131="能力",AL131="能力持续"),参数!$B$2,1)+R131*参数!$B$7*IF(AND(F131="能力",AL131="能力持续"),参数!$B$2,1)+V131*参数!$B$8+IF(X131&lt;0,X131*参数!$B$13,X131*参数!$B$39)+IF(AE131&lt;0,AE131*参数!$B$13,AE131*参数!$B$12)*参数!$B$2+AQ131*参数!$B$15+AB131*参数!$B$11+AF131*参数!$B$40*参数!$B$2+AG131*参数!$B$44*参数!$B$2+AH131*参数!$B$6*参数!$B$2+AI131*参数!$B$39*参数!$B$2+AJ131*参数!$B$6*参数!$B$2+Z131*参数!$B$13-T131*参数!$B$14-AD131*参数!$B$13+IF(ISNUMBER(AU131),AU131*参数!$B$38,0)-AV131*参数!$B$41-AW131*参数!$B$14),0),0)</f>
        <v>9</v>
      </c>
      <c r="AZ131">
        <f>AY131-MAX(AP131,0)*参数!$B$10</f>
        <v>6</v>
      </c>
      <c r="BA131">
        <f t="shared" si="5"/>
        <v>9</v>
      </c>
    </row>
    <row r="132" spans="1:53" x14ac:dyDescent="0.3">
      <c r="A132">
        <v>131</v>
      </c>
      <c r="B132" t="s">
        <v>649</v>
      </c>
      <c r="C132" t="s">
        <v>452</v>
      </c>
      <c r="D132" t="s">
        <v>650</v>
      </c>
      <c r="E132" t="s">
        <v>651</v>
      </c>
      <c r="F132" t="s">
        <v>117</v>
      </c>
      <c r="G132" t="s">
        <v>12</v>
      </c>
      <c r="H132">
        <v>1</v>
      </c>
      <c r="I132">
        <v>1</v>
      </c>
      <c r="J132" t="s">
        <v>652</v>
      </c>
      <c r="L132" t="s">
        <v>191</v>
      </c>
      <c r="M132">
        <v>0</v>
      </c>
      <c r="N132">
        <v>0</v>
      </c>
      <c r="O132">
        <v>1</v>
      </c>
      <c r="P132">
        <v>12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t="s">
        <v>112</v>
      </c>
      <c r="AN132" t="s">
        <v>192</v>
      </c>
      <c r="AP132">
        <f t="shared" si="4"/>
        <v>1</v>
      </c>
      <c r="AQ132">
        <v>0</v>
      </c>
      <c r="AR132">
        <v>0</v>
      </c>
      <c r="AT132" t="s">
        <v>113</v>
      </c>
      <c r="AU132">
        <v>0</v>
      </c>
      <c r="AY132">
        <f>IFERROR(MAX(IF(IF(AND(F132="能力",AL132="能力持续"),(参数!$B$2-1)*参数!$B$3,0)+M132*O132*参数!$B$5*IF(AND(F132="能力",AL132="能力持续"),参数!$B$2,1)+P132*参数!$B$6*IF(AND(F132="能力",AL132="能力持续"),参数!$B$2,1)+R132*参数!$B$7*IF(AND(F132="能力",AL132="能力持续"),参数!$B$2,1)+V132*参数!$B$8+IF(X132&lt;0,X132*参数!$B$13,X132*参数!$B$39)+IF(AE132&lt;0,AE132*参数!$B$13,AE132*参数!$B$12)*参数!$B$2+AQ132*参数!$B$15+AB132*参数!$B$11+AF132*参数!$B$40*参数!$B$2+AG132*参数!$B$44*参数!$B$2+AH132*参数!$B$6*参数!$B$2+AI132*参数!$B$39*参数!$B$2+AJ132*参数!$B$6*参数!$B$2+Z132*参数!$B$13-T132*参数!$B$14-AD132*参数!$B$13+IF(ISNUMBER(AU132),AU132*参数!$B$38,0)-AV132*参数!$B$41-AW132*参数!$B$14&gt;参数!$B$17,参数!$B$17+SQRT(IF(AND(F132="能力",AL132="能力持续"),(参数!$B$2-1)*参数!$B$3,0)+M132*O132*参数!$B$5*IF(AND(F132="能力",AL132="能力持续"),参数!$B$2,1)+P132*参数!$B$6*IF(AND(F132="能力",AL132="能力持续"),参数!$B$2,1)+R132*参数!$B$7*IF(AND(F132="能力",AL132="能力持续"),参数!$B$2,1)+V132*参数!$B$8+IF(X132&lt;0,X132*参数!$B$13,X132*参数!$B$39)+IF(AE132&lt;0,AE132*参数!$B$13,AE132*参数!$B$12)*参数!$B$2+AQ132*参数!$B$15+AB132*参数!$B$11+AF132*参数!$B$40*参数!$B$2+AG132*参数!$B$44*参数!$B$2+AH132*参数!$B$6*参数!$B$2+AI132*参数!$B$39*参数!$B$2+AJ132*参数!$B$6*参数!$B$2+Z132*参数!$B$13-T132*参数!$B$14-AD132*参数!$B$13+IF(ISNUMBER(AU132),AU132*参数!$B$38,0)-AV132*参数!$B$41-AW132*参数!$B$14-参数!$B$17)*参数!$B$18,IF(AND(F132="能力",AL132="能力持续"),(参数!$B$2-1)*参数!$B$3,0)+M132*O132*参数!$B$5*IF(AND(F132="能力",AL132="能力持续"),参数!$B$2,1)+P132*参数!$B$6*IF(AND(F132="能力",AL132="能力持续"),参数!$B$2,1)+R132*参数!$B$7*IF(AND(F132="能力",AL132="能力持续"),参数!$B$2,1)+V132*参数!$B$8+IF(X132&lt;0,X132*参数!$B$13,X132*参数!$B$39)+IF(AE132&lt;0,AE132*参数!$B$13,AE132*参数!$B$12)*参数!$B$2+AQ132*参数!$B$15+AB132*参数!$B$11+AF132*参数!$B$40*参数!$B$2+AG132*参数!$B$44*参数!$B$2+AH132*参数!$B$6*参数!$B$2+AI132*参数!$B$39*参数!$B$2+AJ132*参数!$B$6*参数!$B$2+Z132*参数!$B$13-T132*参数!$B$14-AD132*参数!$B$13+IF(ISNUMBER(AU132),AU132*参数!$B$38,0)-AV132*参数!$B$41-AW132*参数!$B$14),0),0)</f>
        <v>12.683281572999748</v>
      </c>
      <c r="AZ132">
        <f>AY132-MAX(AP132,0)*参数!$B$10</f>
        <v>9.6832815729997481</v>
      </c>
      <c r="BA132">
        <f t="shared" si="5"/>
        <v>12.683281572999748</v>
      </c>
    </row>
    <row r="133" spans="1:53" x14ac:dyDescent="0.3">
      <c r="A133">
        <v>132</v>
      </c>
      <c r="B133" t="s">
        <v>653</v>
      </c>
      <c r="C133" t="s">
        <v>452</v>
      </c>
      <c r="D133" t="s">
        <v>654</v>
      </c>
      <c r="E133" t="s">
        <v>655</v>
      </c>
      <c r="F133" t="s">
        <v>108</v>
      </c>
      <c r="G133" t="s">
        <v>14</v>
      </c>
      <c r="H133">
        <v>3</v>
      </c>
      <c r="I133">
        <v>2</v>
      </c>
      <c r="J133" t="s">
        <v>656</v>
      </c>
      <c r="L133" t="s">
        <v>111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t="s">
        <v>112</v>
      </c>
      <c r="AP133">
        <f t="shared" si="4"/>
        <v>3</v>
      </c>
      <c r="AQ133">
        <v>0</v>
      </c>
      <c r="AR133">
        <v>0</v>
      </c>
      <c r="AT133" t="s">
        <v>113</v>
      </c>
      <c r="AU133">
        <v>0</v>
      </c>
      <c r="AY133">
        <f>IFERROR(MAX(IF(IF(AND(F133="能力",AL133="能力持续"),(参数!$B$2-1)*参数!$B$3,0)+M133*O133*参数!$B$5*IF(AND(F133="能力",AL133="能力持续"),参数!$B$2,1)+P133*参数!$B$6*IF(AND(F133="能力",AL133="能力持续"),参数!$B$2,1)+R133*参数!$B$7*IF(AND(F133="能力",AL133="能力持续"),参数!$B$2,1)+V133*参数!$B$8+IF(X133&lt;0,X133*参数!$B$13,X133*参数!$B$39)+IF(AE133&lt;0,AE133*参数!$B$13,AE133*参数!$B$12)*参数!$B$2+AQ133*参数!$B$15+AB133*参数!$B$11+AF133*参数!$B$40*参数!$B$2+AG133*参数!$B$44*参数!$B$2+AH133*参数!$B$6*参数!$B$2+AI133*参数!$B$39*参数!$B$2+AJ133*参数!$B$6*参数!$B$2+Z133*参数!$B$13-T133*参数!$B$14-AD133*参数!$B$13+IF(ISNUMBER(AU133),AU133*参数!$B$38,0)-AV133*参数!$B$41-AW133*参数!$B$14&gt;参数!$B$17,参数!$B$17+SQRT(IF(AND(F133="能力",AL133="能力持续"),(参数!$B$2-1)*参数!$B$3,0)+M133*O133*参数!$B$5*IF(AND(F133="能力",AL133="能力持续"),参数!$B$2,1)+P133*参数!$B$6*IF(AND(F133="能力",AL133="能力持续"),参数!$B$2,1)+R133*参数!$B$7*IF(AND(F133="能力",AL133="能力持续"),参数!$B$2,1)+V133*参数!$B$8+IF(X133&lt;0,X133*参数!$B$13,X133*参数!$B$39)+IF(AE133&lt;0,AE133*参数!$B$13,AE133*参数!$B$12)*参数!$B$2+AQ133*参数!$B$15+AB133*参数!$B$11+AF133*参数!$B$40*参数!$B$2+AG133*参数!$B$44*参数!$B$2+AH133*参数!$B$6*参数!$B$2+AI133*参数!$B$39*参数!$B$2+AJ133*参数!$B$6*参数!$B$2+Z133*参数!$B$13-T133*参数!$B$14-AD133*参数!$B$13+IF(ISNUMBER(AU133),AU133*参数!$B$38,0)-AV133*参数!$B$41-AW133*参数!$B$14-参数!$B$17)*参数!$B$18,IF(AND(F133="能力",AL133="能力持续"),(参数!$B$2-1)*参数!$B$3,0)+M133*O133*参数!$B$5*IF(AND(F133="能力",AL133="能力持续"),参数!$B$2,1)+P133*参数!$B$6*IF(AND(F133="能力",AL133="能力持续"),参数!$B$2,1)+R133*参数!$B$7*IF(AND(F133="能力",AL133="能力持续"),参数!$B$2,1)+V133*参数!$B$8+IF(X133&lt;0,X133*参数!$B$13,X133*参数!$B$39)+IF(AE133&lt;0,AE133*参数!$B$13,AE133*参数!$B$12)*参数!$B$2+AQ133*参数!$B$15+AB133*参数!$B$11+AF133*参数!$B$40*参数!$B$2+AG133*参数!$B$44*参数!$B$2+AH133*参数!$B$6*参数!$B$2+AI133*参数!$B$39*参数!$B$2+AJ133*参数!$B$6*参数!$B$2+Z133*参数!$B$13-T133*参数!$B$14-AD133*参数!$B$13+IF(ISNUMBER(AU133),AU133*参数!$B$38,0)-AV133*参数!$B$41-AW133*参数!$B$14),0),0)</f>
        <v>1</v>
      </c>
      <c r="AZ133">
        <f>AY133-MAX(AP133,0)*参数!$B$10</f>
        <v>-8</v>
      </c>
      <c r="BA133">
        <f t="shared" si="5"/>
        <v>0.33333333333333331</v>
      </c>
    </row>
    <row r="134" spans="1:53" x14ac:dyDescent="0.3">
      <c r="A134">
        <v>133</v>
      </c>
      <c r="B134" t="s">
        <v>657</v>
      </c>
      <c r="C134" t="s">
        <v>452</v>
      </c>
      <c r="D134" t="s">
        <v>658</v>
      </c>
      <c r="E134" t="s">
        <v>659</v>
      </c>
      <c r="F134" t="s">
        <v>108</v>
      </c>
      <c r="G134" t="s">
        <v>8</v>
      </c>
      <c r="H134">
        <v>0</v>
      </c>
      <c r="I134">
        <v>0</v>
      </c>
      <c r="J134" t="s">
        <v>660</v>
      </c>
      <c r="L134" t="s">
        <v>111</v>
      </c>
      <c r="M134">
        <v>3</v>
      </c>
      <c r="N134">
        <v>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t="s">
        <v>112</v>
      </c>
      <c r="AP134">
        <f t="shared" si="4"/>
        <v>0.4</v>
      </c>
      <c r="AQ134">
        <v>0</v>
      </c>
      <c r="AR134">
        <v>0</v>
      </c>
      <c r="AT134" t="s">
        <v>113</v>
      </c>
      <c r="AU134">
        <v>0</v>
      </c>
      <c r="AY134">
        <f>IFERROR(MAX(IF(IF(AND(F134="能力",AL134="能力持续"),(参数!$B$2-1)*参数!$B$3,0)+M134*O134*参数!$B$5*IF(AND(F134="能力",AL134="能力持续"),参数!$B$2,1)+P134*参数!$B$6*IF(AND(F134="能力",AL134="能力持续"),参数!$B$2,1)+R134*参数!$B$7*IF(AND(F134="能力",AL134="能力持续"),参数!$B$2,1)+V134*参数!$B$8+IF(X134&lt;0,X134*参数!$B$13,X134*参数!$B$39)+IF(AE134&lt;0,AE134*参数!$B$13,AE134*参数!$B$12)*参数!$B$2+AQ134*参数!$B$15+AB134*参数!$B$11+AF134*参数!$B$40*参数!$B$2+AG134*参数!$B$44*参数!$B$2+AH134*参数!$B$6*参数!$B$2+AI134*参数!$B$39*参数!$B$2+AJ134*参数!$B$6*参数!$B$2+Z134*参数!$B$13-T134*参数!$B$14-AD134*参数!$B$13+IF(ISNUMBER(AU134),AU134*参数!$B$38,0)-AV134*参数!$B$41-AW134*参数!$B$14&gt;参数!$B$17,参数!$B$17+SQRT(IF(AND(F134="能力",AL134="能力持续"),(参数!$B$2-1)*参数!$B$3,0)+M134*O134*参数!$B$5*IF(AND(F134="能力",AL134="能力持续"),参数!$B$2,1)+P134*参数!$B$6*IF(AND(F134="能力",AL134="能力持续"),参数!$B$2,1)+R134*参数!$B$7*IF(AND(F134="能力",AL134="能力持续"),参数!$B$2,1)+V134*参数!$B$8+IF(X134&lt;0,X134*参数!$B$13,X134*参数!$B$39)+IF(AE134&lt;0,AE134*参数!$B$13,AE134*参数!$B$12)*参数!$B$2+AQ134*参数!$B$15+AB134*参数!$B$11+AF134*参数!$B$40*参数!$B$2+AG134*参数!$B$44*参数!$B$2+AH134*参数!$B$6*参数!$B$2+AI134*参数!$B$39*参数!$B$2+AJ134*参数!$B$6*参数!$B$2+Z134*参数!$B$13-T134*参数!$B$14-AD134*参数!$B$13+IF(ISNUMBER(AU134),AU134*参数!$B$38,0)-AV134*参数!$B$41-AW134*参数!$B$14-参数!$B$17)*参数!$B$18,IF(AND(F134="能力",AL134="能力持续"),(参数!$B$2-1)*参数!$B$3,0)+M134*O134*参数!$B$5*IF(AND(F134="能力",AL134="能力持续"),参数!$B$2,1)+P134*参数!$B$6*IF(AND(F134="能力",AL134="能力持续"),参数!$B$2,1)+R134*参数!$B$7*IF(AND(F134="能力",AL134="能力持续"),参数!$B$2,1)+V134*参数!$B$8+IF(X134&lt;0,X134*参数!$B$13,X134*参数!$B$39)+IF(AE134&lt;0,AE134*参数!$B$13,AE134*参数!$B$12)*参数!$B$2+AQ134*参数!$B$15+AB134*参数!$B$11+AF134*参数!$B$40*参数!$B$2+AG134*参数!$B$44*参数!$B$2+AH134*参数!$B$6*参数!$B$2+AI134*参数!$B$39*参数!$B$2+AJ134*参数!$B$6*参数!$B$2+Z134*参数!$B$13-T134*参数!$B$14-AD134*参数!$B$13+IF(ISNUMBER(AU134),AU134*参数!$B$38,0)-AV134*参数!$B$41-AW134*参数!$B$14),0),0)</f>
        <v>4.5</v>
      </c>
      <c r="AZ134">
        <f>AY134-MAX(AP134,0)*参数!$B$10</f>
        <v>3.3</v>
      </c>
      <c r="BA134">
        <f t="shared" si="5"/>
        <v>11.25</v>
      </c>
    </row>
    <row r="135" spans="1:53" x14ac:dyDescent="0.3">
      <c r="A135">
        <v>134</v>
      </c>
      <c r="B135" t="s">
        <v>661</v>
      </c>
      <c r="C135" t="s">
        <v>452</v>
      </c>
      <c r="D135" t="s">
        <v>662</v>
      </c>
      <c r="E135" t="s">
        <v>663</v>
      </c>
      <c r="F135" t="s">
        <v>117</v>
      </c>
      <c r="G135" t="s">
        <v>14</v>
      </c>
      <c r="H135">
        <v>3</v>
      </c>
      <c r="I135">
        <v>3</v>
      </c>
      <c r="J135" t="s">
        <v>664</v>
      </c>
      <c r="L135" t="s">
        <v>111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</v>
      </c>
      <c r="AG135">
        <v>0</v>
      </c>
      <c r="AH135">
        <v>0</v>
      </c>
      <c r="AI135">
        <v>0</v>
      </c>
      <c r="AJ135">
        <v>0</v>
      </c>
      <c r="AK135" t="s">
        <v>112</v>
      </c>
      <c r="AP135">
        <f t="shared" si="4"/>
        <v>3</v>
      </c>
      <c r="AQ135">
        <v>0</v>
      </c>
      <c r="AR135">
        <v>0</v>
      </c>
      <c r="AT135" t="s">
        <v>113</v>
      </c>
      <c r="AU135">
        <v>0</v>
      </c>
      <c r="AY135">
        <f>IFERROR(MAX(IF(IF(AND(F135="能力",AL135="能力持续"),(参数!$B$2-1)*参数!$B$3,0)+M135*O135*参数!$B$5*IF(AND(F135="能力",AL135="能力持续"),参数!$B$2,1)+P135*参数!$B$6*IF(AND(F135="能力",AL135="能力持续"),参数!$B$2,1)+R135*参数!$B$7*IF(AND(F135="能力",AL135="能力持续"),参数!$B$2,1)+V135*参数!$B$8+IF(X135&lt;0,X135*参数!$B$13,X135*参数!$B$39)+IF(AE135&lt;0,AE135*参数!$B$13,AE135*参数!$B$12)*参数!$B$2+AQ135*参数!$B$15+AB135*参数!$B$11+AF135*参数!$B$40*参数!$B$2+AG135*参数!$B$44*参数!$B$2+AH135*参数!$B$6*参数!$B$2+AI135*参数!$B$39*参数!$B$2+AJ135*参数!$B$6*参数!$B$2+Z135*参数!$B$13-T135*参数!$B$14-AD135*参数!$B$13+IF(ISNUMBER(AU135),AU135*参数!$B$38,0)-AV135*参数!$B$41-AW135*参数!$B$14&gt;参数!$B$17,参数!$B$17+SQRT(IF(AND(F135="能力",AL135="能力持续"),(参数!$B$2-1)*参数!$B$3,0)+M135*O135*参数!$B$5*IF(AND(F135="能力",AL135="能力持续"),参数!$B$2,1)+P135*参数!$B$6*IF(AND(F135="能力",AL135="能力持续"),参数!$B$2,1)+R135*参数!$B$7*IF(AND(F135="能力",AL135="能力持续"),参数!$B$2,1)+V135*参数!$B$8+IF(X135&lt;0,X135*参数!$B$13,X135*参数!$B$39)+IF(AE135&lt;0,AE135*参数!$B$13,AE135*参数!$B$12)*参数!$B$2+AQ135*参数!$B$15+AB135*参数!$B$11+AF135*参数!$B$40*参数!$B$2+AG135*参数!$B$44*参数!$B$2+AH135*参数!$B$6*参数!$B$2+AI135*参数!$B$39*参数!$B$2+AJ135*参数!$B$6*参数!$B$2+Z135*参数!$B$13-T135*参数!$B$14-AD135*参数!$B$13+IF(ISNUMBER(AU135),AU135*参数!$B$38,0)-AV135*参数!$B$41-AW135*参数!$B$14-参数!$B$17)*参数!$B$18,IF(AND(F135="能力",AL135="能力持续"),(参数!$B$2-1)*参数!$B$3,0)+M135*O135*参数!$B$5*IF(AND(F135="能力",AL135="能力持续"),参数!$B$2,1)+P135*参数!$B$6*IF(AND(F135="能力",AL135="能力持续"),参数!$B$2,1)+R135*参数!$B$7*IF(AND(F135="能力",AL135="能力持续"),参数!$B$2,1)+V135*参数!$B$8+IF(X135&lt;0,X135*参数!$B$13,X135*参数!$B$39)+IF(AE135&lt;0,AE135*参数!$B$13,AE135*参数!$B$12)*参数!$B$2+AQ135*参数!$B$15+AB135*参数!$B$11+AF135*参数!$B$40*参数!$B$2+AG135*参数!$B$44*参数!$B$2+AH135*参数!$B$6*参数!$B$2+AI135*参数!$B$39*参数!$B$2+AJ135*参数!$B$6*参数!$B$2+Z135*参数!$B$13-T135*参数!$B$14-AD135*参数!$B$13+IF(ISNUMBER(AU135),AU135*参数!$B$38,0)-AV135*参数!$B$41-AW135*参数!$B$14),0),0)</f>
        <v>14.743416490252569</v>
      </c>
      <c r="AZ135">
        <f>AY135-MAX(AP135,0)*参数!$B$10</f>
        <v>5.7434164902525691</v>
      </c>
      <c r="BA135">
        <f t="shared" si="5"/>
        <v>4.914472163417523</v>
      </c>
    </row>
    <row r="136" spans="1:53" x14ac:dyDescent="0.3">
      <c r="A136">
        <v>135</v>
      </c>
      <c r="B136" t="s">
        <v>665</v>
      </c>
      <c r="C136" t="s">
        <v>452</v>
      </c>
      <c r="D136" t="s">
        <v>666</v>
      </c>
      <c r="E136" t="s">
        <v>667</v>
      </c>
      <c r="F136" t="s">
        <v>124</v>
      </c>
      <c r="G136" t="s">
        <v>12</v>
      </c>
      <c r="H136">
        <v>1</v>
      </c>
      <c r="I136">
        <v>1</v>
      </c>
      <c r="J136" t="s">
        <v>668</v>
      </c>
      <c r="L136" t="s">
        <v>191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0</v>
      </c>
      <c r="AK136" t="s">
        <v>112</v>
      </c>
      <c r="AL136" t="s">
        <v>127</v>
      </c>
      <c r="AN136" t="s">
        <v>322</v>
      </c>
      <c r="AP136">
        <f t="shared" si="4"/>
        <v>1</v>
      </c>
      <c r="AQ136">
        <v>0</v>
      </c>
      <c r="AR136">
        <v>0</v>
      </c>
      <c r="AT136" t="s">
        <v>113</v>
      </c>
      <c r="AU136">
        <v>0</v>
      </c>
      <c r="AY136">
        <f>IFERROR(MAX(IF(IF(AND(F136="能力",AL136="能力持续"),(参数!$B$2-1)*参数!$B$3,0)+M136*O136*参数!$B$5*IF(AND(F136="能力",AL136="能力持续"),参数!$B$2,1)+P136*参数!$B$6*IF(AND(F136="能力",AL136="能力持续"),参数!$B$2,1)+R136*参数!$B$7*IF(AND(F136="能力",AL136="能力持续"),参数!$B$2,1)+V136*参数!$B$8+IF(X136&lt;0,X136*参数!$B$13,X136*参数!$B$39)+IF(AE136&lt;0,AE136*参数!$B$13,AE136*参数!$B$12)*参数!$B$2+AQ136*参数!$B$15+AB136*参数!$B$11+AF136*参数!$B$40*参数!$B$2+AG136*参数!$B$44*参数!$B$2+AH136*参数!$B$6*参数!$B$2+AI136*参数!$B$39*参数!$B$2+AJ136*参数!$B$6*参数!$B$2+Z136*参数!$B$13-T136*参数!$B$14-AD136*参数!$B$13+IF(ISNUMBER(AU136),AU136*参数!$B$38,0)-AV136*参数!$B$41-AW136*参数!$B$14&gt;参数!$B$17,参数!$B$17+SQRT(IF(AND(F136="能力",AL136="能力持续"),(参数!$B$2-1)*参数!$B$3,0)+M136*O136*参数!$B$5*IF(AND(F136="能力",AL136="能力持续"),参数!$B$2,1)+P136*参数!$B$6*IF(AND(F136="能力",AL136="能力持续"),参数!$B$2,1)+R136*参数!$B$7*IF(AND(F136="能力",AL136="能力持续"),参数!$B$2,1)+V136*参数!$B$8+IF(X136&lt;0,X136*参数!$B$13,X136*参数!$B$39)+IF(AE136&lt;0,AE136*参数!$B$13,AE136*参数!$B$12)*参数!$B$2+AQ136*参数!$B$15+AB136*参数!$B$11+AF136*参数!$B$40*参数!$B$2+AG136*参数!$B$44*参数!$B$2+AH136*参数!$B$6*参数!$B$2+AI136*参数!$B$39*参数!$B$2+AJ136*参数!$B$6*参数!$B$2+Z136*参数!$B$13-T136*参数!$B$14-AD136*参数!$B$13+IF(ISNUMBER(AU136),AU136*参数!$B$38,0)-AV136*参数!$B$41-AW136*参数!$B$14-参数!$B$17)*参数!$B$18,IF(AND(F136="能力",AL136="能力持续"),(参数!$B$2-1)*参数!$B$3,0)+M136*O136*参数!$B$5*IF(AND(F136="能力",AL136="能力持续"),参数!$B$2,1)+P136*参数!$B$6*IF(AND(F136="能力",AL136="能力持续"),参数!$B$2,1)+R136*参数!$B$7*IF(AND(F136="能力",AL136="能力持续"),参数!$B$2,1)+V136*参数!$B$8+IF(X136&lt;0,X136*参数!$B$13,X136*参数!$B$39)+IF(AE136&lt;0,AE136*参数!$B$13,AE136*参数!$B$12)*参数!$B$2+AQ136*参数!$B$15+AB136*参数!$B$11+AF136*参数!$B$40*参数!$B$2+AG136*参数!$B$44*参数!$B$2+AH136*参数!$B$6*参数!$B$2+AI136*参数!$B$39*参数!$B$2+AJ136*参数!$B$6*参数!$B$2+Z136*参数!$B$13-T136*参数!$B$14-AD136*参数!$B$13+IF(ISNUMBER(AU136),AU136*参数!$B$38,0)-AV136*参数!$B$41-AW136*参数!$B$14),0),0)</f>
        <v>11.897366596101028</v>
      </c>
      <c r="AZ136">
        <f>AY136-MAX(AP136,0)*参数!$B$10</f>
        <v>8.897366596101028</v>
      </c>
      <c r="BA136">
        <f t="shared" si="5"/>
        <v>11.897366596101028</v>
      </c>
    </row>
    <row r="137" spans="1:53" x14ac:dyDescent="0.3">
      <c r="A137">
        <v>136</v>
      </c>
      <c r="B137" t="s">
        <v>669</v>
      </c>
      <c r="C137" t="s">
        <v>452</v>
      </c>
      <c r="D137" t="s">
        <v>670</v>
      </c>
      <c r="E137" t="s">
        <v>671</v>
      </c>
      <c r="F137" t="s">
        <v>124</v>
      </c>
      <c r="G137" t="s">
        <v>12</v>
      </c>
      <c r="H137">
        <v>3</v>
      </c>
      <c r="I137">
        <v>3</v>
      </c>
      <c r="J137" t="s">
        <v>672</v>
      </c>
      <c r="L137" t="s">
        <v>191</v>
      </c>
      <c r="M137">
        <v>9</v>
      </c>
      <c r="N137">
        <v>12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9</v>
      </c>
      <c r="AG137">
        <v>0</v>
      </c>
      <c r="AH137">
        <v>0</v>
      </c>
      <c r="AI137">
        <v>0</v>
      </c>
      <c r="AJ137">
        <v>0</v>
      </c>
      <c r="AK137" t="s">
        <v>112</v>
      </c>
      <c r="AL137" t="s">
        <v>127</v>
      </c>
      <c r="AN137" t="s">
        <v>322</v>
      </c>
      <c r="AP137">
        <f t="shared" si="4"/>
        <v>3</v>
      </c>
      <c r="AQ137">
        <v>0</v>
      </c>
      <c r="AR137">
        <v>0</v>
      </c>
      <c r="AT137" t="s">
        <v>113</v>
      </c>
      <c r="AU137">
        <v>0</v>
      </c>
      <c r="AY137">
        <f>IFERROR(MAX(IF(IF(AND(F137="能力",AL137="能力持续"),(参数!$B$2-1)*参数!$B$3,0)+M137*O137*参数!$B$5*IF(AND(F137="能力",AL137="能力持续"),参数!$B$2,1)+P137*参数!$B$6*IF(AND(F137="能力",AL137="能力持续"),参数!$B$2,1)+R137*参数!$B$7*IF(AND(F137="能力",AL137="能力持续"),参数!$B$2,1)+V137*参数!$B$8+IF(X137&lt;0,X137*参数!$B$13,X137*参数!$B$39)+IF(AE137&lt;0,AE137*参数!$B$13,AE137*参数!$B$12)*参数!$B$2+AQ137*参数!$B$15+AB137*参数!$B$11+AF137*参数!$B$40*参数!$B$2+AG137*参数!$B$44*参数!$B$2+AH137*参数!$B$6*参数!$B$2+AI137*参数!$B$39*参数!$B$2+AJ137*参数!$B$6*参数!$B$2+Z137*参数!$B$13-T137*参数!$B$14-AD137*参数!$B$13+IF(ISNUMBER(AU137),AU137*参数!$B$38,0)-AV137*参数!$B$41-AW137*参数!$B$14&gt;参数!$B$17,参数!$B$17+SQRT(IF(AND(F137="能力",AL137="能力持续"),(参数!$B$2-1)*参数!$B$3,0)+M137*O137*参数!$B$5*IF(AND(F137="能力",AL137="能力持续"),参数!$B$2,1)+P137*参数!$B$6*IF(AND(F137="能力",AL137="能力持续"),参数!$B$2,1)+R137*参数!$B$7*IF(AND(F137="能力",AL137="能力持续"),参数!$B$2,1)+V137*参数!$B$8+IF(X137&lt;0,X137*参数!$B$13,X137*参数!$B$39)+IF(AE137&lt;0,AE137*参数!$B$13,AE137*参数!$B$12)*参数!$B$2+AQ137*参数!$B$15+AB137*参数!$B$11+AF137*参数!$B$40*参数!$B$2+AG137*参数!$B$44*参数!$B$2+AH137*参数!$B$6*参数!$B$2+AI137*参数!$B$39*参数!$B$2+AJ137*参数!$B$6*参数!$B$2+Z137*参数!$B$13-T137*参数!$B$14-AD137*参数!$B$13+IF(ISNUMBER(AU137),AU137*参数!$B$38,0)-AV137*参数!$B$41-AW137*参数!$B$14-参数!$B$17)*参数!$B$18,IF(AND(F137="能力",AL137="能力持续"),(参数!$B$2-1)*参数!$B$3,0)+M137*O137*参数!$B$5*IF(AND(F137="能力",AL137="能力持续"),参数!$B$2,1)+P137*参数!$B$6*IF(AND(F137="能力",AL137="能力持续"),参数!$B$2,1)+R137*参数!$B$7*IF(AND(F137="能力",AL137="能力持续"),参数!$B$2,1)+V137*参数!$B$8+IF(X137&lt;0,X137*参数!$B$13,X137*参数!$B$39)+IF(AE137&lt;0,AE137*参数!$B$13,AE137*参数!$B$12)*参数!$B$2+AQ137*参数!$B$15+AB137*参数!$B$11+AF137*参数!$B$40*参数!$B$2+AG137*参数!$B$44*参数!$B$2+AH137*参数!$B$6*参数!$B$2+AI137*参数!$B$39*参数!$B$2+AJ137*参数!$B$6*参数!$B$2+Z137*参数!$B$13-T137*参数!$B$14-AD137*参数!$B$13+IF(ISNUMBER(AU137),AU137*参数!$B$38,0)-AV137*参数!$B$41-AW137*参数!$B$14),0),0)</f>
        <v>22.149074038789951</v>
      </c>
      <c r="AZ137">
        <f>AY137-MAX(AP137,0)*参数!$B$10</f>
        <v>13.149074038789951</v>
      </c>
      <c r="BA137">
        <f t="shared" si="5"/>
        <v>7.3830246795966508</v>
      </c>
    </row>
    <row r="138" spans="1:53" x14ac:dyDescent="0.3">
      <c r="A138">
        <v>137</v>
      </c>
      <c r="B138" t="s">
        <v>673</v>
      </c>
      <c r="C138" t="s">
        <v>452</v>
      </c>
      <c r="D138" t="s">
        <v>674</v>
      </c>
      <c r="E138" t="s">
        <v>675</v>
      </c>
      <c r="F138" t="s">
        <v>124</v>
      </c>
      <c r="G138" t="s">
        <v>12</v>
      </c>
      <c r="H138">
        <v>1</v>
      </c>
      <c r="I138">
        <v>1</v>
      </c>
      <c r="J138" t="s">
        <v>676</v>
      </c>
      <c r="L138" t="s">
        <v>120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 t="s">
        <v>112</v>
      </c>
      <c r="AL138" t="s">
        <v>127</v>
      </c>
      <c r="AN138" t="s">
        <v>124</v>
      </c>
      <c r="AP138">
        <f t="shared" si="4"/>
        <v>1</v>
      </c>
      <c r="AQ138">
        <v>9</v>
      </c>
      <c r="AR138">
        <v>0</v>
      </c>
      <c r="AT138" t="s">
        <v>113</v>
      </c>
      <c r="AU138">
        <v>0</v>
      </c>
      <c r="AY138">
        <f>IFERROR(MAX(IF(IF(AND(F138="能力",AL138="能力持续"),(参数!$B$2-1)*参数!$B$3,0)+M138*O138*参数!$B$5*IF(AND(F138="能力",AL138="能力持续"),参数!$B$2,1)+P138*参数!$B$6*IF(AND(F138="能力",AL138="能力持续"),参数!$B$2,1)+R138*参数!$B$7*IF(AND(F138="能力",AL138="能力持续"),参数!$B$2,1)+V138*参数!$B$8+IF(X138&lt;0,X138*参数!$B$13,X138*参数!$B$39)+IF(AE138&lt;0,AE138*参数!$B$13,AE138*参数!$B$12)*参数!$B$2+AQ138*参数!$B$15+AB138*参数!$B$11+AF138*参数!$B$40*参数!$B$2+AG138*参数!$B$44*参数!$B$2+AH138*参数!$B$6*参数!$B$2+AI138*参数!$B$39*参数!$B$2+AJ138*参数!$B$6*参数!$B$2+Z138*参数!$B$13-T138*参数!$B$14-AD138*参数!$B$13+IF(ISNUMBER(AU138),AU138*参数!$B$38,0)-AV138*参数!$B$41-AW138*参数!$B$14&gt;参数!$B$17,参数!$B$17+SQRT(IF(AND(F138="能力",AL138="能力持续"),(参数!$B$2-1)*参数!$B$3,0)+M138*O138*参数!$B$5*IF(AND(F138="能力",AL138="能力持续"),参数!$B$2,1)+P138*参数!$B$6*IF(AND(F138="能力",AL138="能力持续"),参数!$B$2,1)+R138*参数!$B$7*IF(AND(F138="能力",AL138="能力持续"),参数!$B$2,1)+V138*参数!$B$8+IF(X138&lt;0,X138*参数!$B$13,X138*参数!$B$39)+IF(AE138&lt;0,AE138*参数!$B$13,AE138*参数!$B$12)*参数!$B$2+AQ138*参数!$B$15+AB138*参数!$B$11+AF138*参数!$B$40*参数!$B$2+AG138*参数!$B$44*参数!$B$2+AH138*参数!$B$6*参数!$B$2+AI138*参数!$B$39*参数!$B$2+AJ138*参数!$B$6*参数!$B$2+Z138*参数!$B$13-T138*参数!$B$14-AD138*参数!$B$13+IF(ISNUMBER(AU138),AU138*参数!$B$38,0)-AV138*参数!$B$41-AW138*参数!$B$14-参数!$B$17)*参数!$B$18,IF(AND(F138="能力",AL138="能力持续"),(参数!$B$2-1)*参数!$B$3,0)+M138*O138*参数!$B$5*IF(AND(F138="能力",AL138="能力持续"),参数!$B$2,1)+P138*参数!$B$6*IF(AND(F138="能力",AL138="能力持续"),参数!$B$2,1)+R138*参数!$B$7*IF(AND(F138="能力",AL138="能力持续"),参数!$B$2,1)+V138*参数!$B$8+IF(X138&lt;0,X138*参数!$B$13,X138*参数!$B$39)+IF(AE138&lt;0,AE138*参数!$B$13,AE138*参数!$B$12)*参数!$B$2+AQ138*参数!$B$15+AB138*参数!$B$11+AF138*参数!$B$40*参数!$B$2+AG138*参数!$B$44*参数!$B$2+AH138*参数!$B$6*参数!$B$2+AI138*参数!$B$39*参数!$B$2+AJ138*参数!$B$6*参数!$B$2+Z138*参数!$B$13-T138*参数!$B$14-AD138*参数!$B$13+IF(ISNUMBER(AU138),AU138*参数!$B$38,0)-AV138*参数!$B$41-AW138*参数!$B$14),0),0)</f>
        <v>16.80808343074613</v>
      </c>
      <c r="AZ138">
        <f>AY138-MAX(AP138,0)*参数!$B$10</f>
        <v>13.80808343074613</v>
      </c>
      <c r="BA138">
        <f t="shared" si="5"/>
        <v>16.80808343074613</v>
      </c>
    </row>
    <row r="139" spans="1:53" x14ac:dyDescent="0.3">
      <c r="A139">
        <v>138</v>
      </c>
      <c r="B139" t="s">
        <v>677</v>
      </c>
      <c r="C139" t="s">
        <v>452</v>
      </c>
      <c r="D139" t="s">
        <v>678</v>
      </c>
      <c r="E139" t="s">
        <v>679</v>
      </c>
      <c r="F139" t="s">
        <v>117</v>
      </c>
      <c r="G139" t="s">
        <v>10</v>
      </c>
      <c r="H139">
        <v>1</v>
      </c>
      <c r="I139">
        <v>1</v>
      </c>
      <c r="J139" t="s">
        <v>680</v>
      </c>
      <c r="K139" t="s">
        <v>681</v>
      </c>
      <c r="L139" t="s">
        <v>191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112</v>
      </c>
      <c r="AN139" t="s">
        <v>217</v>
      </c>
      <c r="AO139" t="s">
        <v>681</v>
      </c>
      <c r="AP139">
        <f t="shared" si="4"/>
        <v>1</v>
      </c>
      <c r="AQ139">
        <f>6*参数!$B$12</f>
        <v>7.1999999999999993</v>
      </c>
      <c r="AR139">
        <v>0</v>
      </c>
      <c r="AT139" t="s">
        <v>113</v>
      </c>
      <c r="AU139">
        <v>0</v>
      </c>
      <c r="AY139">
        <f>IFERROR(MAX(IF(IF(AND(F139="能力",AL139="能力持续"),(参数!$B$2-1)*参数!$B$3,0)+M139*O139*参数!$B$5*IF(AND(F139="能力",AL139="能力持续"),参数!$B$2,1)+P139*参数!$B$6*IF(AND(F139="能力",AL139="能力持续"),参数!$B$2,1)+R139*参数!$B$7*IF(AND(F139="能力",AL139="能力持续"),参数!$B$2,1)+V139*参数!$B$8+IF(X139&lt;0,X139*参数!$B$13,X139*参数!$B$39)+IF(AE139&lt;0,AE139*参数!$B$13,AE139*参数!$B$12)*参数!$B$2+AQ139*参数!$B$15+AB139*参数!$B$11+AF139*参数!$B$40*参数!$B$2+AG139*参数!$B$44*参数!$B$2+AH139*参数!$B$6*参数!$B$2+AI139*参数!$B$39*参数!$B$2+AJ139*参数!$B$6*参数!$B$2+Z139*参数!$B$13-T139*参数!$B$14-AD139*参数!$B$13+IF(ISNUMBER(AU139),AU139*参数!$B$38,0)-AV139*参数!$B$41-AW139*参数!$B$14&gt;参数!$B$17,参数!$B$17+SQRT(IF(AND(F139="能力",AL139="能力持续"),(参数!$B$2-1)*参数!$B$3,0)+M139*O139*参数!$B$5*IF(AND(F139="能力",AL139="能力持续"),参数!$B$2,1)+P139*参数!$B$6*IF(AND(F139="能力",AL139="能力持续"),参数!$B$2,1)+R139*参数!$B$7*IF(AND(F139="能力",AL139="能力持续"),参数!$B$2,1)+V139*参数!$B$8+IF(X139&lt;0,X139*参数!$B$13,X139*参数!$B$39)+IF(AE139&lt;0,AE139*参数!$B$13,AE139*参数!$B$12)*参数!$B$2+AQ139*参数!$B$15+AB139*参数!$B$11+AF139*参数!$B$40*参数!$B$2+AG139*参数!$B$44*参数!$B$2+AH139*参数!$B$6*参数!$B$2+AI139*参数!$B$39*参数!$B$2+AJ139*参数!$B$6*参数!$B$2+Z139*参数!$B$13-T139*参数!$B$14-AD139*参数!$B$13+IF(ISNUMBER(AU139),AU139*参数!$B$38,0)-AV139*参数!$B$41-AW139*参数!$B$14-参数!$B$17)*参数!$B$18,IF(AND(F139="能力",AL139="能力持续"),(参数!$B$2-1)*参数!$B$3,0)+M139*O139*参数!$B$5*IF(AND(F139="能力",AL139="能力持续"),参数!$B$2,1)+P139*参数!$B$6*IF(AND(F139="能力",AL139="能力持续"),参数!$B$2,1)+R139*参数!$B$7*IF(AND(F139="能力",AL139="能力持续"),参数!$B$2,1)+V139*参数!$B$8+IF(X139&lt;0,X139*参数!$B$13,X139*参数!$B$39)+IF(AE139&lt;0,AE139*参数!$B$13,AE139*参数!$B$12)*参数!$B$2+AQ139*参数!$B$15+AB139*参数!$B$11+AF139*参数!$B$40*参数!$B$2+AG139*参数!$B$44*参数!$B$2+AH139*参数!$B$6*参数!$B$2+AI139*参数!$B$39*参数!$B$2+AJ139*参数!$B$6*参数!$B$2+Z139*参数!$B$13-T139*参数!$B$14-AD139*参数!$B$13+IF(ISNUMBER(AU139),AU139*参数!$B$38,0)-AV139*参数!$B$41-AW139*参数!$B$14),0),0)</f>
        <v>15.10881590977792</v>
      </c>
      <c r="AZ139">
        <f>AY139-MAX(AP139,0)*参数!$B$10</f>
        <v>12.10881590977792</v>
      </c>
      <c r="BA139">
        <f t="shared" si="5"/>
        <v>15.10881590977792</v>
      </c>
    </row>
    <row r="140" spans="1:53" x14ac:dyDescent="0.3">
      <c r="A140">
        <v>139</v>
      </c>
      <c r="B140" t="s">
        <v>682</v>
      </c>
      <c r="C140" t="s">
        <v>452</v>
      </c>
      <c r="D140" t="s">
        <v>683</v>
      </c>
      <c r="E140" t="s">
        <v>684</v>
      </c>
      <c r="F140" t="s">
        <v>108</v>
      </c>
      <c r="G140" t="s">
        <v>12</v>
      </c>
      <c r="H140">
        <v>3</v>
      </c>
      <c r="I140">
        <v>3</v>
      </c>
      <c r="J140" t="s">
        <v>685</v>
      </c>
      <c r="L140" t="s">
        <v>111</v>
      </c>
      <c r="M140">
        <v>15</v>
      </c>
      <c r="N140">
        <v>19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t="s">
        <v>112</v>
      </c>
      <c r="AN140" t="s">
        <v>161</v>
      </c>
      <c r="AP140">
        <f t="shared" si="4"/>
        <v>3</v>
      </c>
      <c r="AQ140">
        <v>0</v>
      </c>
      <c r="AR140">
        <v>0</v>
      </c>
      <c r="AT140" t="s">
        <v>113</v>
      </c>
      <c r="AU140">
        <v>0</v>
      </c>
      <c r="AY140">
        <f>IFERROR(MAX(IF(IF(AND(F140="能力",AL140="能力持续"),(参数!$B$2-1)*参数!$B$3,0)+M140*O140*参数!$B$5*IF(AND(F140="能力",AL140="能力持续"),参数!$B$2,1)+P140*参数!$B$6*IF(AND(F140="能力",AL140="能力持续"),参数!$B$2,1)+R140*参数!$B$7*IF(AND(F140="能力",AL140="能力持续"),参数!$B$2,1)+V140*参数!$B$8+IF(X140&lt;0,X140*参数!$B$13,X140*参数!$B$39)+IF(AE140&lt;0,AE140*参数!$B$13,AE140*参数!$B$12)*参数!$B$2+AQ140*参数!$B$15+AB140*参数!$B$11+AF140*参数!$B$40*参数!$B$2+AG140*参数!$B$44*参数!$B$2+AH140*参数!$B$6*参数!$B$2+AI140*参数!$B$39*参数!$B$2+AJ140*参数!$B$6*参数!$B$2+Z140*参数!$B$13-T140*参数!$B$14-AD140*参数!$B$13+IF(ISNUMBER(AU140),AU140*参数!$B$38,0)-AV140*参数!$B$41-AW140*参数!$B$14&gt;参数!$B$17,参数!$B$17+SQRT(IF(AND(F140="能力",AL140="能力持续"),(参数!$B$2-1)*参数!$B$3,0)+M140*O140*参数!$B$5*IF(AND(F140="能力",AL140="能力持续"),参数!$B$2,1)+P140*参数!$B$6*IF(AND(F140="能力",AL140="能力持续"),参数!$B$2,1)+R140*参数!$B$7*IF(AND(F140="能力",AL140="能力持续"),参数!$B$2,1)+V140*参数!$B$8+IF(X140&lt;0,X140*参数!$B$13,X140*参数!$B$39)+IF(AE140&lt;0,AE140*参数!$B$13,AE140*参数!$B$12)*参数!$B$2+AQ140*参数!$B$15+AB140*参数!$B$11+AF140*参数!$B$40*参数!$B$2+AG140*参数!$B$44*参数!$B$2+AH140*参数!$B$6*参数!$B$2+AI140*参数!$B$39*参数!$B$2+AJ140*参数!$B$6*参数!$B$2+Z140*参数!$B$13-T140*参数!$B$14-AD140*参数!$B$13+IF(ISNUMBER(AU140),AU140*参数!$B$38,0)-AV140*参数!$B$41-AW140*参数!$B$14-参数!$B$17)*参数!$B$18,IF(AND(F140="能力",AL140="能力持续"),(参数!$B$2-1)*参数!$B$3,0)+M140*O140*参数!$B$5*IF(AND(F140="能力",AL140="能力持续"),参数!$B$2,1)+P140*参数!$B$6*IF(AND(F140="能力",AL140="能力持续"),参数!$B$2,1)+R140*参数!$B$7*IF(AND(F140="能力",AL140="能力持续"),参数!$B$2,1)+V140*参数!$B$8+IF(X140&lt;0,X140*参数!$B$13,X140*参数!$B$39)+IF(AE140&lt;0,AE140*参数!$B$13,AE140*参数!$B$12)*参数!$B$2+AQ140*参数!$B$15+AB140*参数!$B$11+AF140*参数!$B$40*参数!$B$2+AG140*参数!$B$44*参数!$B$2+AH140*参数!$B$6*参数!$B$2+AI140*参数!$B$39*参数!$B$2+AJ140*参数!$B$6*参数!$B$2+Z140*参数!$B$13-T140*参数!$B$14-AD140*参数!$B$13+IF(ISNUMBER(AU140),AU140*参数!$B$38,0)-AV140*参数!$B$41-AW140*参数!$B$14),0),0)</f>
        <v>13.354101966249685</v>
      </c>
      <c r="AZ140">
        <f>AY140-MAX(AP140,0)*参数!$B$10</f>
        <v>4.3541019662496847</v>
      </c>
      <c r="BA140">
        <f t="shared" si="5"/>
        <v>4.4513673220832279</v>
      </c>
    </row>
    <row r="141" spans="1:53" x14ac:dyDescent="0.3">
      <c r="A141">
        <v>140</v>
      </c>
      <c r="B141" t="s">
        <v>686</v>
      </c>
      <c r="C141" t="s">
        <v>452</v>
      </c>
      <c r="D141" t="s">
        <v>687</v>
      </c>
      <c r="E141" t="s">
        <v>688</v>
      </c>
      <c r="F141" t="s">
        <v>108</v>
      </c>
      <c r="G141" t="s">
        <v>10</v>
      </c>
      <c r="H141">
        <v>1</v>
      </c>
      <c r="I141">
        <v>1</v>
      </c>
      <c r="J141" t="s">
        <v>689</v>
      </c>
      <c r="L141" t="s">
        <v>111</v>
      </c>
      <c r="M141">
        <v>6</v>
      </c>
      <c r="N141">
        <v>8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</v>
      </c>
      <c r="AG141">
        <v>0</v>
      </c>
      <c r="AH141">
        <v>0</v>
      </c>
      <c r="AI141">
        <v>0</v>
      </c>
      <c r="AJ141">
        <v>0</v>
      </c>
      <c r="AK141" t="s">
        <v>112</v>
      </c>
      <c r="AP141">
        <f t="shared" si="4"/>
        <v>1</v>
      </c>
      <c r="AQ141">
        <v>0</v>
      </c>
      <c r="AR141">
        <v>0</v>
      </c>
      <c r="AT141" t="s">
        <v>113</v>
      </c>
      <c r="AU141">
        <v>0</v>
      </c>
      <c r="AY141">
        <f>IFERROR(MAX(IF(IF(AND(F141="能力",AL141="能力持续"),(参数!$B$2-1)*参数!$B$3,0)+M141*O141*参数!$B$5*IF(AND(F141="能力",AL141="能力持续"),参数!$B$2,1)+P141*参数!$B$6*IF(AND(F141="能力",AL141="能力持续"),参数!$B$2,1)+R141*参数!$B$7*IF(AND(F141="能力",AL141="能力持续"),参数!$B$2,1)+V141*参数!$B$8+IF(X141&lt;0,X141*参数!$B$13,X141*参数!$B$39)+IF(AE141&lt;0,AE141*参数!$B$13,AE141*参数!$B$12)*参数!$B$2+AQ141*参数!$B$15+AB141*参数!$B$11+AF141*参数!$B$40*参数!$B$2+AG141*参数!$B$44*参数!$B$2+AH141*参数!$B$6*参数!$B$2+AI141*参数!$B$39*参数!$B$2+AJ141*参数!$B$6*参数!$B$2+Z141*参数!$B$13-T141*参数!$B$14-AD141*参数!$B$13+IF(ISNUMBER(AU141),AU141*参数!$B$38,0)-AV141*参数!$B$41-AW141*参数!$B$14&gt;参数!$B$17,参数!$B$17+SQRT(IF(AND(F141="能力",AL141="能力持续"),(参数!$B$2-1)*参数!$B$3,0)+M141*O141*参数!$B$5*IF(AND(F141="能力",AL141="能力持续"),参数!$B$2,1)+P141*参数!$B$6*IF(AND(F141="能力",AL141="能力持续"),参数!$B$2,1)+R141*参数!$B$7*IF(AND(F141="能力",AL141="能力持续"),参数!$B$2,1)+V141*参数!$B$8+IF(X141&lt;0,X141*参数!$B$13,X141*参数!$B$39)+IF(AE141&lt;0,AE141*参数!$B$13,AE141*参数!$B$12)*参数!$B$2+AQ141*参数!$B$15+AB141*参数!$B$11+AF141*参数!$B$40*参数!$B$2+AG141*参数!$B$44*参数!$B$2+AH141*参数!$B$6*参数!$B$2+AI141*参数!$B$39*参数!$B$2+AJ141*参数!$B$6*参数!$B$2+Z141*参数!$B$13-T141*参数!$B$14-AD141*参数!$B$13+IF(ISNUMBER(AU141),AU141*参数!$B$38,0)-AV141*参数!$B$41-AW141*参数!$B$14-参数!$B$17)*参数!$B$18,IF(AND(F141="能力",AL141="能力持续"),(参数!$B$2-1)*参数!$B$3,0)+M141*O141*参数!$B$5*IF(AND(F141="能力",AL141="能力持续"),参数!$B$2,1)+P141*参数!$B$6*IF(AND(F141="能力",AL141="能力持续"),参数!$B$2,1)+R141*参数!$B$7*IF(AND(F141="能力",AL141="能力持续"),参数!$B$2,1)+V141*参数!$B$8+IF(X141&lt;0,X141*参数!$B$13,X141*参数!$B$39)+IF(AE141&lt;0,AE141*参数!$B$13,AE141*参数!$B$12)*参数!$B$2+AQ141*参数!$B$15+AB141*参数!$B$11+AF141*参数!$B$40*参数!$B$2+AG141*参数!$B$44*参数!$B$2+AH141*参数!$B$6*参数!$B$2+AI141*参数!$B$39*参数!$B$2+AJ141*参数!$B$6*参数!$B$2+Z141*参数!$B$13-T141*参数!$B$14-AD141*参数!$B$13+IF(ISNUMBER(AU141),AU141*参数!$B$38,0)-AV141*参数!$B$41-AW141*参数!$B$14),0),0)</f>
        <v>14.242640687119286</v>
      </c>
      <c r="AZ141">
        <f>AY141-MAX(AP141,0)*参数!$B$10</f>
        <v>11.242640687119286</v>
      </c>
      <c r="BA141">
        <f t="shared" si="5"/>
        <v>14.242640687119286</v>
      </c>
    </row>
    <row r="142" spans="1:53" x14ac:dyDescent="0.3">
      <c r="A142">
        <v>141</v>
      </c>
      <c r="B142" t="s">
        <v>690</v>
      </c>
      <c r="C142" t="s">
        <v>452</v>
      </c>
      <c r="D142" t="s">
        <v>691</v>
      </c>
      <c r="E142" t="s">
        <v>692</v>
      </c>
      <c r="F142" t="s">
        <v>108</v>
      </c>
      <c r="G142" t="s">
        <v>12</v>
      </c>
      <c r="H142">
        <v>2</v>
      </c>
      <c r="I142">
        <v>2</v>
      </c>
      <c r="J142" t="s">
        <v>693</v>
      </c>
      <c r="L142" t="s">
        <v>111</v>
      </c>
      <c r="M142">
        <v>12</v>
      </c>
      <c r="N142">
        <v>18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s">
        <v>112</v>
      </c>
      <c r="AP142">
        <f t="shared" si="4"/>
        <v>2</v>
      </c>
      <c r="AQ142">
        <v>0</v>
      </c>
      <c r="AR142">
        <v>0</v>
      </c>
      <c r="AT142" t="s">
        <v>113</v>
      </c>
      <c r="AU142">
        <v>0</v>
      </c>
      <c r="AY142">
        <f>IFERROR(MAX(IF(IF(AND(F142="能力",AL142="能力持续"),(参数!$B$2-1)*参数!$B$3,0)+M142*O142*参数!$B$5*IF(AND(F142="能力",AL142="能力持续"),参数!$B$2,1)+P142*参数!$B$6*IF(AND(F142="能力",AL142="能力持续"),参数!$B$2,1)+R142*参数!$B$7*IF(AND(F142="能力",AL142="能力持续"),参数!$B$2,1)+V142*参数!$B$8+IF(X142&lt;0,X142*参数!$B$13,X142*参数!$B$39)+IF(AE142&lt;0,AE142*参数!$B$13,AE142*参数!$B$12)*参数!$B$2+AQ142*参数!$B$15+AB142*参数!$B$11+AF142*参数!$B$40*参数!$B$2+AG142*参数!$B$44*参数!$B$2+AH142*参数!$B$6*参数!$B$2+AI142*参数!$B$39*参数!$B$2+AJ142*参数!$B$6*参数!$B$2+Z142*参数!$B$13-T142*参数!$B$14-AD142*参数!$B$13+IF(ISNUMBER(AU142),AU142*参数!$B$38,0)-AV142*参数!$B$41-AW142*参数!$B$14&gt;参数!$B$17,参数!$B$17+SQRT(IF(AND(F142="能力",AL142="能力持续"),(参数!$B$2-1)*参数!$B$3,0)+M142*O142*参数!$B$5*IF(AND(F142="能力",AL142="能力持续"),参数!$B$2,1)+P142*参数!$B$6*IF(AND(F142="能力",AL142="能力持续"),参数!$B$2,1)+R142*参数!$B$7*IF(AND(F142="能力",AL142="能力持续"),参数!$B$2,1)+V142*参数!$B$8+IF(X142&lt;0,X142*参数!$B$13,X142*参数!$B$39)+IF(AE142&lt;0,AE142*参数!$B$13,AE142*参数!$B$12)*参数!$B$2+AQ142*参数!$B$15+AB142*参数!$B$11+AF142*参数!$B$40*参数!$B$2+AG142*参数!$B$44*参数!$B$2+AH142*参数!$B$6*参数!$B$2+AI142*参数!$B$39*参数!$B$2+AJ142*参数!$B$6*参数!$B$2+Z142*参数!$B$13-T142*参数!$B$14-AD142*参数!$B$13+IF(ISNUMBER(AU142),AU142*参数!$B$38,0)-AV142*参数!$B$41-AW142*参数!$B$14-参数!$B$17)*参数!$B$18,IF(AND(F142="能力",AL142="能力持续"),(参数!$B$2-1)*参数!$B$3,0)+M142*O142*参数!$B$5*IF(AND(F142="能力",AL142="能力持续"),参数!$B$2,1)+P142*参数!$B$6*IF(AND(F142="能力",AL142="能力持续"),参数!$B$2,1)+R142*参数!$B$7*IF(AND(F142="能力",AL142="能力持续"),参数!$B$2,1)+V142*参数!$B$8+IF(X142&lt;0,X142*参数!$B$13,X142*参数!$B$39)+IF(AE142&lt;0,AE142*参数!$B$13,AE142*参数!$B$12)*参数!$B$2+AQ142*参数!$B$15+AB142*参数!$B$11+AF142*参数!$B$40*参数!$B$2+AG142*参数!$B$44*参数!$B$2+AH142*参数!$B$6*参数!$B$2+AI142*参数!$B$39*参数!$B$2+AJ142*参数!$B$6*参数!$B$2+Z142*参数!$B$13-T142*参数!$B$14-AD142*参数!$B$13+IF(ISNUMBER(AU142),AU142*参数!$B$38,0)-AV142*参数!$B$41-AW142*参数!$B$14),0),0)</f>
        <v>12.121320343559642</v>
      </c>
      <c r="AZ142">
        <f>AY142-MAX(AP142,0)*参数!$B$10</f>
        <v>6.1213203435596419</v>
      </c>
      <c r="BA142">
        <f t="shared" si="5"/>
        <v>6.060660171779821</v>
      </c>
    </row>
    <row r="143" spans="1:53" x14ac:dyDescent="0.3">
      <c r="A143">
        <v>142</v>
      </c>
      <c r="B143" t="s">
        <v>694</v>
      </c>
      <c r="C143" t="s">
        <v>452</v>
      </c>
      <c r="D143" t="s">
        <v>695</v>
      </c>
      <c r="E143" t="s">
        <v>696</v>
      </c>
      <c r="F143" t="s">
        <v>108</v>
      </c>
      <c r="G143" t="s">
        <v>12</v>
      </c>
      <c r="H143">
        <v>0</v>
      </c>
      <c r="I143">
        <v>0</v>
      </c>
      <c r="J143" t="s">
        <v>697</v>
      </c>
      <c r="L143" t="s">
        <v>111</v>
      </c>
      <c r="M143">
        <v>13</v>
      </c>
      <c r="N143">
        <v>13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112</v>
      </c>
      <c r="AP143">
        <f t="shared" si="4"/>
        <v>0.4</v>
      </c>
      <c r="AQ143">
        <v>0</v>
      </c>
      <c r="AR143">
        <v>0</v>
      </c>
      <c r="AT143" t="s">
        <v>113</v>
      </c>
      <c r="AU143">
        <v>0</v>
      </c>
      <c r="AY143">
        <f>IFERROR(MAX(IF(IF(AND(F143="能力",AL143="能力持续"),(参数!$B$2-1)*参数!$B$3,0)+M143*O143*参数!$B$5*IF(AND(F143="能力",AL143="能力持续"),参数!$B$2,1)+P143*参数!$B$6*IF(AND(F143="能力",AL143="能力持续"),参数!$B$2,1)+R143*参数!$B$7*IF(AND(F143="能力",AL143="能力持续"),参数!$B$2,1)+V143*参数!$B$8+IF(X143&lt;0,X143*参数!$B$13,X143*参数!$B$39)+IF(AE143&lt;0,AE143*参数!$B$13,AE143*参数!$B$12)*参数!$B$2+AQ143*参数!$B$15+AB143*参数!$B$11+AF143*参数!$B$40*参数!$B$2+AG143*参数!$B$44*参数!$B$2+AH143*参数!$B$6*参数!$B$2+AI143*参数!$B$39*参数!$B$2+AJ143*参数!$B$6*参数!$B$2+Z143*参数!$B$13-T143*参数!$B$14-AD143*参数!$B$13+IF(ISNUMBER(AU143),AU143*参数!$B$38,0)-AV143*参数!$B$41-AW143*参数!$B$14&gt;参数!$B$17,参数!$B$17+SQRT(IF(AND(F143="能力",AL143="能力持续"),(参数!$B$2-1)*参数!$B$3,0)+M143*O143*参数!$B$5*IF(AND(F143="能力",AL143="能力持续"),参数!$B$2,1)+P143*参数!$B$6*IF(AND(F143="能力",AL143="能力持续"),参数!$B$2,1)+R143*参数!$B$7*IF(AND(F143="能力",AL143="能力持续"),参数!$B$2,1)+V143*参数!$B$8+IF(X143&lt;0,X143*参数!$B$13,X143*参数!$B$39)+IF(AE143&lt;0,AE143*参数!$B$13,AE143*参数!$B$12)*参数!$B$2+AQ143*参数!$B$15+AB143*参数!$B$11+AF143*参数!$B$40*参数!$B$2+AG143*参数!$B$44*参数!$B$2+AH143*参数!$B$6*参数!$B$2+AI143*参数!$B$39*参数!$B$2+AJ143*参数!$B$6*参数!$B$2+Z143*参数!$B$13-T143*参数!$B$14-AD143*参数!$B$13+IF(ISNUMBER(AU143),AU143*参数!$B$38,0)-AV143*参数!$B$41-AW143*参数!$B$14-参数!$B$17)*参数!$B$18,IF(AND(F143="能力",AL143="能力持续"),(参数!$B$2-1)*参数!$B$3,0)+M143*O143*参数!$B$5*IF(AND(F143="能力",AL143="能力持续"),参数!$B$2,1)+P143*参数!$B$6*IF(AND(F143="能力",AL143="能力持续"),参数!$B$2,1)+R143*参数!$B$7*IF(AND(F143="能力",AL143="能力持续"),参数!$B$2,1)+V143*参数!$B$8+IF(X143&lt;0,X143*参数!$B$13,X143*参数!$B$39)+IF(AE143&lt;0,AE143*参数!$B$13,AE143*参数!$B$12)*参数!$B$2+AQ143*参数!$B$15+AB143*参数!$B$11+AF143*参数!$B$40*参数!$B$2+AG143*参数!$B$44*参数!$B$2+AH143*参数!$B$6*参数!$B$2+AI143*参数!$B$39*参数!$B$2+AJ143*参数!$B$6*参数!$B$2+Z143*参数!$B$13-T143*参数!$B$14-AD143*参数!$B$13+IF(ISNUMBER(AU143),AU143*参数!$B$38,0)-AV143*参数!$B$41-AW143*参数!$B$14),0),0)</f>
        <v>12.598076211353316</v>
      </c>
      <c r="AZ143">
        <f>AY143-MAX(AP143,0)*参数!$B$10</f>
        <v>11.398076211353317</v>
      </c>
      <c r="BA143">
        <f t="shared" si="5"/>
        <v>31.49519052838329</v>
      </c>
    </row>
    <row r="144" spans="1:53" x14ac:dyDescent="0.3">
      <c r="A144">
        <v>143</v>
      </c>
      <c r="B144" t="s">
        <v>698</v>
      </c>
      <c r="C144" t="s">
        <v>452</v>
      </c>
      <c r="D144" t="s">
        <v>699</v>
      </c>
      <c r="E144" t="s">
        <v>700</v>
      </c>
      <c r="F144" t="s">
        <v>108</v>
      </c>
      <c r="G144" t="s">
        <v>12</v>
      </c>
      <c r="H144">
        <v>2</v>
      </c>
      <c r="I144">
        <v>2</v>
      </c>
      <c r="J144" t="s">
        <v>701</v>
      </c>
      <c r="L144" t="s">
        <v>111</v>
      </c>
      <c r="M144">
        <v>15</v>
      </c>
      <c r="N144">
        <v>20</v>
      </c>
      <c r="O144">
        <v>1</v>
      </c>
      <c r="P144">
        <v>0</v>
      </c>
      <c r="Q144">
        <v>0</v>
      </c>
      <c r="R144">
        <v>2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t="s">
        <v>112</v>
      </c>
      <c r="AP144">
        <f t="shared" si="4"/>
        <v>2</v>
      </c>
      <c r="AQ144">
        <v>0</v>
      </c>
      <c r="AR144">
        <v>0</v>
      </c>
      <c r="AT144" t="s">
        <v>113</v>
      </c>
      <c r="AU144">
        <v>0</v>
      </c>
      <c r="AY144">
        <f>IFERROR(MAX(IF(IF(AND(F144="能力",AL144="能力持续"),(参数!$B$2-1)*参数!$B$3,0)+M144*O144*参数!$B$5*IF(AND(F144="能力",AL144="能力持续"),参数!$B$2,1)+P144*参数!$B$6*IF(AND(F144="能力",AL144="能力持续"),参数!$B$2,1)+R144*参数!$B$7*IF(AND(F144="能力",AL144="能力持续"),参数!$B$2,1)+V144*参数!$B$8+IF(X144&lt;0,X144*参数!$B$13,X144*参数!$B$39)+IF(AE144&lt;0,AE144*参数!$B$13,AE144*参数!$B$12)*参数!$B$2+AQ144*参数!$B$15+AB144*参数!$B$11+AF144*参数!$B$40*参数!$B$2+AG144*参数!$B$44*参数!$B$2+AH144*参数!$B$6*参数!$B$2+AI144*参数!$B$39*参数!$B$2+AJ144*参数!$B$6*参数!$B$2+Z144*参数!$B$13-T144*参数!$B$14-AD144*参数!$B$13+IF(ISNUMBER(AU144),AU144*参数!$B$38,0)-AV144*参数!$B$41-AW144*参数!$B$14&gt;参数!$B$17,参数!$B$17+SQRT(IF(AND(F144="能力",AL144="能力持续"),(参数!$B$2-1)*参数!$B$3,0)+M144*O144*参数!$B$5*IF(AND(F144="能力",AL144="能力持续"),参数!$B$2,1)+P144*参数!$B$6*IF(AND(F144="能力",AL144="能力持续"),参数!$B$2,1)+R144*参数!$B$7*IF(AND(F144="能力",AL144="能力持续"),参数!$B$2,1)+V144*参数!$B$8+IF(X144&lt;0,X144*参数!$B$13,X144*参数!$B$39)+IF(AE144&lt;0,AE144*参数!$B$13,AE144*参数!$B$12)*参数!$B$2+AQ144*参数!$B$15+AB144*参数!$B$11+AF144*参数!$B$40*参数!$B$2+AG144*参数!$B$44*参数!$B$2+AH144*参数!$B$6*参数!$B$2+AI144*参数!$B$39*参数!$B$2+AJ144*参数!$B$6*参数!$B$2+Z144*参数!$B$13-T144*参数!$B$14-AD144*参数!$B$13+IF(ISNUMBER(AU144),AU144*参数!$B$38,0)-AV144*参数!$B$41-AW144*参数!$B$14-参数!$B$17)*参数!$B$18,IF(AND(F144="能力",AL144="能力持续"),(参数!$B$2-1)*参数!$B$3,0)+M144*O144*参数!$B$5*IF(AND(F144="能力",AL144="能力持续"),参数!$B$2,1)+P144*参数!$B$6*IF(AND(F144="能力",AL144="能力持续"),参数!$B$2,1)+R144*参数!$B$7*IF(AND(F144="能力",AL144="能力持续"),参数!$B$2,1)+V144*参数!$B$8+IF(X144&lt;0,X144*参数!$B$13,X144*参数!$B$39)+IF(AE144&lt;0,AE144*参数!$B$13,AE144*参数!$B$12)*参数!$B$2+AQ144*参数!$B$15+AB144*参数!$B$11+AF144*参数!$B$40*参数!$B$2+AG144*参数!$B$44*参数!$B$2+AH144*参数!$B$6*参数!$B$2+AI144*参数!$B$39*参数!$B$2+AJ144*参数!$B$6*参数!$B$2+Z144*参数!$B$13-T144*参数!$B$14-AD144*参数!$B$13+IF(ISNUMBER(AU144),AU144*参数!$B$38,0)-AV144*参数!$B$41-AW144*参数!$B$14),0),0)</f>
        <v>13.794733192202054</v>
      </c>
      <c r="AZ144">
        <f>AY144-MAX(AP144,0)*参数!$B$10</f>
        <v>7.7947331922020542</v>
      </c>
      <c r="BA144">
        <f t="shared" si="5"/>
        <v>6.8973665961010271</v>
      </c>
    </row>
    <row r="145" spans="1:53" x14ac:dyDescent="0.3">
      <c r="A145">
        <v>144</v>
      </c>
      <c r="B145" t="s">
        <v>702</v>
      </c>
      <c r="C145" t="s">
        <v>452</v>
      </c>
      <c r="D145" t="s">
        <v>703</v>
      </c>
      <c r="E145" t="s">
        <v>704</v>
      </c>
      <c r="F145" t="s">
        <v>117</v>
      </c>
      <c r="G145" t="s">
        <v>10</v>
      </c>
      <c r="H145">
        <v>0</v>
      </c>
      <c r="I145">
        <v>0</v>
      </c>
      <c r="J145" t="s">
        <v>705</v>
      </c>
      <c r="L145" t="s">
        <v>111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2</v>
      </c>
      <c r="T145">
        <v>1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112</v>
      </c>
      <c r="AP145">
        <f t="shared" si="4"/>
        <v>0.4</v>
      </c>
      <c r="AQ145">
        <v>0</v>
      </c>
      <c r="AR145">
        <v>0</v>
      </c>
      <c r="AT145" t="s">
        <v>113</v>
      </c>
      <c r="AU145">
        <v>0</v>
      </c>
      <c r="AY145">
        <f>IFERROR(MAX(IF(IF(AND(F145="能力",AL145="能力持续"),(参数!$B$2-1)*参数!$B$3,0)+M145*O145*参数!$B$5*IF(AND(F145="能力",AL145="能力持续"),参数!$B$2,1)+P145*参数!$B$6*IF(AND(F145="能力",AL145="能力持续"),参数!$B$2,1)+R145*参数!$B$7*IF(AND(F145="能力",AL145="能力持续"),参数!$B$2,1)+V145*参数!$B$8+IF(X145&lt;0,X145*参数!$B$13,X145*参数!$B$39)+IF(AE145&lt;0,AE145*参数!$B$13,AE145*参数!$B$12)*参数!$B$2+AQ145*参数!$B$15+AB145*参数!$B$11+AF145*参数!$B$40*参数!$B$2+AG145*参数!$B$44*参数!$B$2+AH145*参数!$B$6*参数!$B$2+AI145*参数!$B$39*参数!$B$2+AJ145*参数!$B$6*参数!$B$2+Z145*参数!$B$13-T145*参数!$B$14-AD145*参数!$B$13+IF(ISNUMBER(AU145),AU145*参数!$B$38,0)-AV145*参数!$B$41-AW145*参数!$B$14&gt;参数!$B$17,参数!$B$17+SQRT(IF(AND(F145="能力",AL145="能力持续"),(参数!$B$2-1)*参数!$B$3,0)+M145*O145*参数!$B$5*IF(AND(F145="能力",AL145="能力持续"),参数!$B$2,1)+P145*参数!$B$6*IF(AND(F145="能力",AL145="能力持续"),参数!$B$2,1)+R145*参数!$B$7*IF(AND(F145="能力",AL145="能力持续"),参数!$B$2,1)+V145*参数!$B$8+IF(X145&lt;0,X145*参数!$B$13,X145*参数!$B$39)+IF(AE145&lt;0,AE145*参数!$B$13,AE145*参数!$B$12)*参数!$B$2+AQ145*参数!$B$15+AB145*参数!$B$11+AF145*参数!$B$40*参数!$B$2+AG145*参数!$B$44*参数!$B$2+AH145*参数!$B$6*参数!$B$2+AI145*参数!$B$39*参数!$B$2+AJ145*参数!$B$6*参数!$B$2+Z145*参数!$B$13-T145*参数!$B$14-AD145*参数!$B$13+IF(ISNUMBER(AU145),AU145*参数!$B$38,0)-AV145*参数!$B$41-AW145*参数!$B$14-参数!$B$17)*参数!$B$18,IF(AND(F145="能力",AL145="能力持续"),(参数!$B$2-1)*参数!$B$3,0)+M145*O145*参数!$B$5*IF(AND(F145="能力",AL145="能力持续"),参数!$B$2,1)+P145*参数!$B$6*IF(AND(F145="能力",AL145="能力持续"),参数!$B$2,1)+R145*参数!$B$7*IF(AND(F145="能力",AL145="能力持续"),参数!$B$2,1)+V145*参数!$B$8+IF(X145&lt;0,X145*参数!$B$13,X145*参数!$B$39)+IF(AE145&lt;0,AE145*参数!$B$13,AE145*参数!$B$12)*参数!$B$2+AQ145*参数!$B$15+AB145*参数!$B$11+AF145*参数!$B$40*参数!$B$2+AG145*参数!$B$44*参数!$B$2+AH145*参数!$B$6*参数!$B$2+AI145*参数!$B$39*参数!$B$2+AJ145*参数!$B$6*参数!$B$2+Z145*参数!$B$13-T145*参数!$B$14-AD145*参数!$B$13+IF(ISNUMBER(AU145),AU145*参数!$B$38,0)-AV145*参数!$B$41-AW145*参数!$B$14),0),0)</f>
        <v>0.39999999999999997</v>
      </c>
      <c r="AZ145">
        <f>AY145-MAX(AP145,0)*参数!$B$10</f>
        <v>-0.80000000000000027</v>
      </c>
      <c r="BA145">
        <f t="shared" si="5"/>
        <v>0.99999999999999989</v>
      </c>
    </row>
    <row r="146" spans="1:53" x14ac:dyDescent="0.3">
      <c r="A146">
        <v>145</v>
      </c>
      <c r="B146" t="s">
        <v>706</v>
      </c>
      <c r="C146" t="s">
        <v>452</v>
      </c>
      <c r="D146" t="s">
        <v>707</v>
      </c>
      <c r="E146" t="s">
        <v>708</v>
      </c>
      <c r="F146" t="s">
        <v>117</v>
      </c>
      <c r="G146" t="s">
        <v>12</v>
      </c>
      <c r="H146">
        <v>3</v>
      </c>
      <c r="I146">
        <v>3</v>
      </c>
      <c r="J146" t="s">
        <v>709</v>
      </c>
      <c r="L146" t="s">
        <v>111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2</v>
      </c>
      <c r="S146">
        <v>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 t="s">
        <v>112</v>
      </c>
      <c r="AP146">
        <f t="shared" si="4"/>
        <v>3</v>
      </c>
      <c r="AQ146">
        <v>0</v>
      </c>
      <c r="AR146">
        <v>0</v>
      </c>
      <c r="AT146" t="s">
        <v>113</v>
      </c>
      <c r="AU146">
        <v>0</v>
      </c>
      <c r="AY146">
        <f>IFERROR(MAX(IF(IF(AND(F146="能力",AL146="能力持续"),(参数!$B$2-1)*参数!$B$3,0)+M146*O146*参数!$B$5*IF(AND(F146="能力",AL146="能力持续"),参数!$B$2,1)+P146*参数!$B$6*IF(AND(F146="能力",AL146="能力持续"),参数!$B$2,1)+R146*参数!$B$7*IF(AND(F146="能力",AL146="能力持续"),参数!$B$2,1)+V146*参数!$B$8+IF(X146&lt;0,X146*参数!$B$13,X146*参数!$B$39)+IF(AE146&lt;0,AE146*参数!$B$13,AE146*参数!$B$12)*参数!$B$2+AQ146*参数!$B$15+AB146*参数!$B$11+AF146*参数!$B$40*参数!$B$2+AG146*参数!$B$44*参数!$B$2+AH146*参数!$B$6*参数!$B$2+AI146*参数!$B$39*参数!$B$2+AJ146*参数!$B$6*参数!$B$2+Z146*参数!$B$13-T146*参数!$B$14-AD146*参数!$B$13+IF(ISNUMBER(AU146),AU146*参数!$B$38,0)-AV146*参数!$B$41-AW146*参数!$B$14&gt;参数!$B$17,参数!$B$17+SQRT(IF(AND(F146="能力",AL146="能力持续"),(参数!$B$2-1)*参数!$B$3,0)+M146*O146*参数!$B$5*IF(AND(F146="能力",AL146="能力持续"),参数!$B$2,1)+P146*参数!$B$6*IF(AND(F146="能力",AL146="能力持续"),参数!$B$2,1)+R146*参数!$B$7*IF(AND(F146="能力",AL146="能力持续"),参数!$B$2,1)+V146*参数!$B$8+IF(X146&lt;0,X146*参数!$B$13,X146*参数!$B$39)+IF(AE146&lt;0,AE146*参数!$B$13,AE146*参数!$B$12)*参数!$B$2+AQ146*参数!$B$15+AB146*参数!$B$11+AF146*参数!$B$40*参数!$B$2+AG146*参数!$B$44*参数!$B$2+AH146*参数!$B$6*参数!$B$2+AI146*参数!$B$39*参数!$B$2+AJ146*参数!$B$6*参数!$B$2+Z146*参数!$B$13-T146*参数!$B$14-AD146*参数!$B$13+IF(ISNUMBER(AU146),AU146*参数!$B$38,0)-AV146*参数!$B$41-AW146*参数!$B$14-参数!$B$17)*参数!$B$18,IF(AND(F146="能力",AL146="能力持续"),(参数!$B$2-1)*参数!$B$3,0)+M146*O146*参数!$B$5*IF(AND(F146="能力",AL146="能力持续"),参数!$B$2,1)+P146*参数!$B$6*IF(AND(F146="能力",AL146="能力持续"),参数!$B$2,1)+R146*参数!$B$7*IF(AND(F146="能力",AL146="能力持续"),参数!$B$2,1)+V146*参数!$B$8+IF(X146&lt;0,X146*参数!$B$13,X146*参数!$B$39)+IF(AE146&lt;0,AE146*参数!$B$13,AE146*参数!$B$12)*参数!$B$2+AQ146*参数!$B$15+AB146*参数!$B$11+AF146*参数!$B$40*参数!$B$2+AG146*参数!$B$44*参数!$B$2+AH146*参数!$B$6*参数!$B$2+AI146*参数!$B$39*参数!$B$2+AJ146*参数!$B$6*参数!$B$2+Z146*参数!$B$13-T146*参数!$B$14-AD146*参数!$B$13+IF(ISNUMBER(AU146),AU146*参数!$B$38,0)-AV146*参数!$B$41-AW146*参数!$B$14),0),0)</f>
        <v>1.4</v>
      </c>
      <c r="AZ146">
        <f>AY146-MAX(AP146,0)*参数!$B$10</f>
        <v>-7.6</v>
      </c>
      <c r="BA146">
        <f t="shared" si="5"/>
        <v>0.46666666666666662</v>
      </c>
    </row>
    <row r="147" spans="1:53" x14ac:dyDescent="0.3">
      <c r="A147">
        <v>146</v>
      </c>
      <c r="B147" t="s">
        <v>710</v>
      </c>
      <c r="C147" t="s">
        <v>452</v>
      </c>
      <c r="D147" t="s">
        <v>711</v>
      </c>
      <c r="E147" t="s">
        <v>712</v>
      </c>
      <c r="F147" t="s">
        <v>108</v>
      </c>
      <c r="G147" t="s">
        <v>10</v>
      </c>
      <c r="H147">
        <v>2</v>
      </c>
      <c r="I147">
        <v>2</v>
      </c>
      <c r="J147" t="s">
        <v>713</v>
      </c>
      <c r="L147" t="s">
        <v>301</v>
      </c>
      <c r="M147">
        <v>3</v>
      </c>
      <c r="N147">
        <v>3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112</v>
      </c>
      <c r="AP147">
        <f t="shared" si="4"/>
        <v>2</v>
      </c>
      <c r="AQ147">
        <v>0</v>
      </c>
      <c r="AR147">
        <v>0</v>
      </c>
      <c r="AT147" t="s">
        <v>113</v>
      </c>
      <c r="AU147">
        <v>0</v>
      </c>
      <c r="AY147">
        <f>IFERROR(MAX(IF(IF(AND(F147="能力",AL147="能力持续"),(参数!$B$2-1)*参数!$B$3,0)+M147*O147*参数!$B$5*IF(AND(F147="能力",AL147="能力持续"),参数!$B$2,1)+P147*参数!$B$6*IF(AND(F147="能力",AL147="能力持续"),参数!$B$2,1)+R147*参数!$B$7*IF(AND(F147="能力",AL147="能力持续"),参数!$B$2,1)+V147*参数!$B$8+IF(X147&lt;0,X147*参数!$B$13,X147*参数!$B$39)+IF(AE147&lt;0,AE147*参数!$B$13,AE147*参数!$B$12)*参数!$B$2+AQ147*参数!$B$15+AB147*参数!$B$11+AF147*参数!$B$40*参数!$B$2+AG147*参数!$B$44*参数!$B$2+AH147*参数!$B$6*参数!$B$2+AI147*参数!$B$39*参数!$B$2+AJ147*参数!$B$6*参数!$B$2+Z147*参数!$B$13-T147*参数!$B$14-AD147*参数!$B$13+IF(ISNUMBER(AU147),AU147*参数!$B$38,0)-AV147*参数!$B$41-AW147*参数!$B$14&gt;参数!$B$17,参数!$B$17+SQRT(IF(AND(F147="能力",AL147="能力持续"),(参数!$B$2-1)*参数!$B$3,0)+M147*O147*参数!$B$5*IF(AND(F147="能力",AL147="能力持续"),参数!$B$2,1)+P147*参数!$B$6*IF(AND(F147="能力",AL147="能力持续"),参数!$B$2,1)+R147*参数!$B$7*IF(AND(F147="能力",AL147="能力持续"),参数!$B$2,1)+V147*参数!$B$8+IF(X147&lt;0,X147*参数!$B$13,X147*参数!$B$39)+IF(AE147&lt;0,AE147*参数!$B$13,AE147*参数!$B$12)*参数!$B$2+AQ147*参数!$B$15+AB147*参数!$B$11+AF147*参数!$B$40*参数!$B$2+AG147*参数!$B$44*参数!$B$2+AH147*参数!$B$6*参数!$B$2+AI147*参数!$B$39*参数!$B$2+AJ147*参数!$B$6*参数!$B$2+Z147*参数!$B$13-T147*参数!$B$14-AD147*参数!$B$13+IF(ISNUMBER(AU147),AU147*参数!$B$38,0)-AV147*参数!$B$41-AW147*参数!$B$14-参数!$B$17)*参数!$B$18,IF(AND(F147="能力",AL147="能力持续"),(参数!$B$2-1)*参数!$B$3,0)+M147*O147*参数!$B$5*IF(AND(F147="能力",AL147="能力持续"),参数!$B$2,1)+P147*参数!$B$6*IF(AND(F147="能力",AL147="能力持续"),参数!$B$2,1)+R147*参数!$B$7*IF(AND(F147="能力",AL147="能力持续"),参数!$B$2,1)+V147*参数!$B$8+IF(X147&lt;0,X147*参数!$B$13,X147*参数!$B$39)+IF(AE147&lt;0,AE147*参数!$B$13,AE147*参数!$B$12)*参数!$B$2+AQ147*参数!$B$15+AB147*参数!$B$11+AF147*参数!$B$40*参数!$B$2+AG147*参数!$B$44*参数!$B$2+AH147*参数!$B$6*参数!$B$2+AI147*参数!$B$39*参数!$B$2+AJ147*参数!$B$6*参数!$B$2+Z147*参数!$B$13-T147*参数!$B$14-AD147*参数!$B$13+IF(ISNUMBER(AU147),AU147*参数!$B$38,0)-AV147*参数!$B$41-AW147*参数!$B$14),0),0)</f>
        <v>12.121320343559642</v>
      </c>
      <c r="AZ147">
        <f>AY147-MAX(AP147,0)*参数!$B$10</f>
        <v>6.1213203435596419</v>
      </c>
      <c r="BA147">
        <f t="shared" si="5"/>
        <v>6.060660171779821</v>
      </c>
    </row>
    <row r="148" spans="1:53" x14ac:dyDescent="0.3">
      <c r="A148">
        <v>147</v>
      </c>
      <c r="B148" t="s">
        <v>714</v>
      </c>
      <c r="C148" t="s">
        <v>452</v>
      </c>
      <c r="D148" t="s">
        <v>715</v>
      </c>
      <c r="E148" t="s">
        <v>716</v>
      </c>
      <c r="F148" t="s">
        <v>124</v>
      </c>
      <c r="G148" t="s">
        <v>14</v>
      </c>
      <c r="H148">
        <v>3</v>
      </c>
      <c r="I148">
        <v>3</v>
      </c>
      <c r="J148" t="s">
        <v>717</v>
      </c>
      <c r="L148" t="s">
        <v>301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t="s">
        <v>112</v>
      </c>
      <c r="AL148" t="s">
        <v>127</v>
      </c>
      <c r="AN148" t="s">
        <v>124</v>
      </c>
      <c r="AP148">
        <f t="shared" si="4"/>
        <v>3</v>
      </c>
      <c r="AQ148">
        <v>0</v>
      </c>
      <c r="AR148">
        <v>0</v>
      </c>
      <c r="AT148" t="s">
        <v>113</v>
      </c>
      <c r="AU148">
        <v>0</v>
      </c>
      <c r="AY148">
        <f>IFERROR(MAX(IF(IF(AND(F148="能力",AL148="能力持续"),(参数!$B$2-1)*参数!$B$3,0)+M148*O148*参数!$B$5*IF(AND(F148="能力",AL148="能力持续"),参数!$B$2,1)+P148*参数!$B$6*IF(AND(F148="能力",AL148="能力持续"),参数!$B$2,1)+R148*参数!$B$7*IF(AND(F148="能力",AL148="能力持续"),参数!$B$2,1)+V148*参数!$B$8+IF(X148&lt;0,X148*参数!$B$13,X148*参数!$B$39)+IF(AE148&lt;0,AE148*参数!$B$13,AE148*参数!$B$12)*参数!$B$2+AQ148*参数!$B$15+AB148*参数!$B$11+AF148*参数!$B$40*参数!$B$2+AG148*参数!$B$44*参数!$B$2+AH148*参数!$B$6*参数!$B$2+AI148*参数!$B$39*参数!$B$2+AJ148*参数!$B$6*参数!$B$2+Z148*参数!$B$13-T148*参数!$B$14-AD148*参数!$B$13+IF(ISNUMBER(AU148),AU148*参数!$B$38,0)-AV148*参数!$B$41-AW148*参数!$B$14&gt;参数!$B$17,参数!$B$17+SQRT(IF(AND(F148="能力",AL148="能力持续"),(参数!$B$2-1)*参数!$B$3,0)+M148*O148*参数!$B$5*IF(AND(F148="能力",AL148="能力持续"),参数!$B$2,1)+P148*参数!$B$6*IF(AND(F148="能力",AL148="能力持续"),参数!$B$2,1)+R148*参数!$B$7*IF(AND(F148="能力",AL148="能力持续"),参数!$B$2,1)+V148*参数!$B$8+IF(X148&lt;0,X148*参数!$B$13,X148*参数!$B$39)+IF(AE148&lt;0,AE148*参数!$B$13,AE148*参数!$B$12)*参数!$B$2+AQ148*参数!$B$15+AB148*参数!$B$11+AF148*参数!$B$40*参数!$B$2+AG148*参数!$B$44*参数!$B$2+AH148*参数!$B$6*参数!$B$2+AI148*参数!$B$39*参数!$B$2+AJ148*参数!$B$6*参数!$B$2+Z148*参数!$B$13-T148*参数!$B$14-AD148*参数!$B$13+IF(ISNUMBER(AU148),AU148*参数!$B$38,0)-AV148*参数!$B$41-AW148*参数!$B$14-参数!$B$17)*参数!$B$18,IF(AND(F148="能力",AL148="能力持续"),(参数!$B$2-1)*参数!$B$3,0)+M148*O148*参数!$B$5*IF(AND(F148="能力",AL148="能力持续"),参数!$B$2,1)+P148*参数!$B$6*IF(AND(F148="能力",AL148="能力持续"),参数!$B$2,1)+R148*参数!$B$7*IF(AND(F148="能力",AL148="能力持续"),参数!$B$2,1)+V148*参数!$B$8+IF(X148&lt;0,X148*参数!$B$13,X148*参数!$B$39)+IF(AE148&lt;0,AE148*参数!$B$13,AE148*参数!$B$12)*参数!$B$2+AQ148*参数!$B$15+AB148*参数!$B$11+AF148*参数!$B$40*参数!$B$2+AG148*参数!$B$44*参数!$B$2+AH148*参数!$B$6*参数!$B$2+AI148*参数!$B$39*参数!$B$2+AJ148*参数!$B$6*参数!$B$2+Z148*参数!$B$13-T148*参数!$B$14-AD148*参数!$B$13+IF(ISNUMBER(AU148),AU148*参数!$B$38,0)-AV148*参数!$B$41-AW148*参数!$B$14),0),0)</f>
        <v>3.5999999999999996</v>
      </c>
      <c r="AZ148">
        <f>AY148-MAX(AP148,0)*参数!$B$10</f>
        <v>-5.4</v>
      </c>
      <c r="BA148">
        <f t="shared" si="5"/>
        <v>1.2</v>
      </c>
    </row>
    <row r="149" spans="1:53" x14ac:dyDescent="0.3">
      <c r="A149">
        <v>148</v>
      </c>
      <c r="B149" t="s">
        <v>718</v>
      </c>
      <c r="C149" t="s">
        <v>452</v>
      </c>
      <c r="D149" t="s">
        <v>719</v>
      </c>
      <c r="E149" t="s">
        <v>720</v>
      </c>
      <c r="F149" t="s">
        <v>117</v>
      </c>
      <c r="G149" t="s">
        <v>14</v>
      </c>
      <c r="H149">
        <v>1</v>
      </c>
      <c r="I149">
        <v>1</v>
      </c>
      <c r="J149" t="s">
        <v>721</v>
      </c>
      <c r="L149" t="s">
        <v>111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f>参数!$B$49</f>
        <v>5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 t="s">
        <v>112</v>
      </c>
      <c r="AP149">
        <f t="shared" si="4"/>
        <v>1</v>
      </c>
      <c r="AQ149">
        <v>12</v>
      </c>
      <c r="AR149">
        <v>0</v>
      </c>
      <c r="AT149" t="s">
        <v>113</v>
      </c>
      <c r="AU149">
        <v>0</v>
      </c>
      <c r="AY149">
        <f>IFERROR(MAX(IF(IF(AND(F149="能力",AL149="能力持续"),(参数!$B$2-1)*参数!$B$3,0)+M149*O149*参数!$B$5*IF(AND(F149="能力",AL149="能力持续"),参数!$B$2,1)+P149*参数!$B$6*IF(AND(F149="能力",AL149="能力持续"),参数!$B$2,1)+R149*参数!$B$7*IF(AND(F149="能力",AL149="能力持续"),参数!$B$2,1)+V149*参数!$B$8+IF(X149&lt;0,X149*参数!$B$13,X149*参数!$B$39)+IF(AE149&lt;0,AE149*参数!$B$13,AE149*参数!$B$12)*参数!$B$2+AQ149*参数!$B$15+AB149*参数!$B$11+AF149*参数!$B$40*参数!$B$2+AG149*参数!$B$44*参数!$B$2+AH149*参数!$B$6*参数!$B$2+AI149*参数!$B$39*参数!$B$2+AJ149*参数!$B$6*参数!$B$2+Z149*参数!$B$13-T149*参数!$B$14-AD149*参数!$B$13+IF(ISNUMBER(AU149),AU149*参数!$B$38,0)-AV149*参数!$B$41-AW149*参数!$B$14&gt;参数!$B$17,参数!$B$17+SQRT(IF(AND(F149="能力",AL149="能力持续"),(参数!$B$2-1)*参数!$B$3,0)+M149*O149*参数!$B$5*IF(AND(F149="能力",AL149="能力持续"),参数!$B$2,1)+P149*参数!$B$6*IF(AND(F149="能力",AL149="能力持续"),参数!$B$2,1)+R149*参数!$B$7*IF(AND(F149="能力",AL149="能力持续"),参数!$B$2,1)+V149*参数!$B$8+IF(X149&lt;0,X149*参数!$B$13,X149*参数!$B$39)+IF(AE149&lt;0,AE149*参数!$B$13,AE149*参数!$B$12)*参数!$B$2+AQ149*参数!$B$15+AB149*参数!$B$11+AF149*参数!$B$40*参数!$B$2+AG149*参数!$B$44*参数!$B$2+AH149*参数!$B$6*参数!$B$2+AI149*参数!$B$39*参数!$B$2+AJ149*参数!$B$6*参数!$B$2+Z149*参数!$B$13-T149*参数!$B$14-AD149*参数!$B$13+IF(ISNUMBER(AU149),AU149*参数!$B$38,0)-AV149*参数!$B$41-AW149*参数!$B$14-参数!$B$17)*参数!$B$18,IF(AND(F149="能力",AL149="能力持续"),(参数!$B$2-1)*参数!$B$3,0)+M149*O149*参数!$B$5*IF(AND(F149="能力",AL149="能力持续"),参数!$B$2,1)+P149*参数!$B$6*IF(AND(F149="能力",AL149="能力持续"),参数!$B$2,1)+R149*参数!$B$7*IF(AND(F149="能力",AL149="能力持续"),参数!$B$2,1)+V149*参数!$B$8+IF(X149&lt;0,X149*参数!$B$13,X149*参数!$B$39)+IF(AE149&lt;0,AE149*参数!$B$13,AE149*参数!$B$12)*参数!$B$2+AQ149*参数!$B$15+AB149*参数!$B$11+AF149*参数!$B$40*参数!$B$2+AG149*参数!$B$44*参数!$B$2+AH149*参数!$B$6*参数!$B$2+AI149*参数!$B$39*参数!$B$2+AJ149*参数!$B$6*参数!$B$2+Z149*参数!$B$13-T149*参数!$B$14-AD149*参数!$B$13+IF(ISNUMBER(AU149),AU149*参数!$B$38,0)-AV149*参数!$B$41-AW149*参数!$B$14),0),0)</f>
        <v>17.424621202458749</v>
      </c>
      <c r="AZ149">
        <f>AY149-MAX(AP149,0)*参数!$B$10</f>
        <v>14.424621202458749</v>
      </c>
      <c r="BA149">
        <f t="shared" si="5"/>
        <v>17.424621202458749</v>
      </c>
    </row>
    <row r="150" spans="1:53" x14ac:dyDescent="0.3">
      <c r="A150">
        <v>149</v>
      </c>
      <c r="B150" t="s">
        <v>722</v>
      </c>
      <c r="C150" t="s">
        <v>452</v>
      </c>
      <c r="D150" t="s">
        <v>723</v>
      </c>
      <c r="E150" t="s">
        <v>724</v>
      </c>
      <c r="F150" t="s">
        <v>117</v>
      </c>
      <c r="G150" t="s">
        <v>14</v>
      </c>
      <c r="H150">
        <v>1</v>
      </c>
      <c r="I150">
        <v>1</v>
      </c>
      <c r="J150" t="s">
        <v>725</v>
      </c>
      <c r="L150" t="s">
        <v>111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 t="s">
        <v>112</v>
      </c>
      <c r="AN150" t="s">
        <v>161</v>
      </c>
      <c r="AP150">
        <f t="shared" si="4"/>
        <v>1</v>
      </c>
      <c r="AQ150">
        <v>8</v>
      </c>
      <c r="AR150">
        <v>0</v>
      </c>
      <c r="AT150" t="s">
        <v>113</v>
      </c>
      <c r="AU150">
        <v>0</v>
      </c>
      <c r="AY150">
        <f>IFERROR(MAX(IF(IF(AND(F150="能力",AL150="能力持续"),(参数!$B$2-1)*参数!$B$3,0)+M150*O150*参数!$B$5*IF(AND(F150="能力",AL150="能力持续"),参数!$B$2,1)+P150*参数!$B$6*IF(AND(F150="能力",AL150="能力持续"),参数!$B$2,1)+R150*参数!$B$7*IF(AND(F150="能力",AL150="能力持续"),参数!$B$2,1)+V150*参数!$B$8+IF(X150&lt;0,X150*参数!$B$13,X150*参数!$B$39)+IF(AE150&lt;0,AE150*参数!$B$13,AE150*参数!$B$12)*参数!$B$2+AQ150*参数!$B$15+AB150*参数!$B$11+AF150*参数!$B$40*参数!$B$2+AG150*参数!$B$44*参数!$B$2+AH150*参数!$B$6*参数!$B$2+AI150*参数!$B$39*参数!$B$2+AJ150*参数!$B$6*参数!$B$2+Z150*参数!$B$13-T150*参数!$B$14-AD150*参数!$B$13+IF(ISNUMBER(AU150),AU150*参数!$B$38,0)-AV150*参数!$B$41-AW150*参数!$B$14&gt;参数!$B$17,参数!$B$17+SQRT(IF(AND(F150="能力",AL150="能力持续"),(参数!$B$2-1)*参数!$B$3,0)+M150*O150*参数!$B$5*IF(AND(F150="能力",AL150="能力持续"),参数!$B$2,1)+P150*参数!$B$6*IF(AND(F150="能力",AL150="能力持续"),参数!$B$2,1)+R150*参数!$B$7*IF(AND(F150="能力",AL150="能力持续"),参数!$B$2,1)+V150*参数!$B$8+IF(X150&lt;0,X150*参数!$B$13,X150*参数!$B$39)+IF(AE150&lt;0,AE150*参数!$B$13,AE150*参数!$B$12)*参数!$B$2+AQ150*参数!$B$15+AB150*参数!$B$11+AF150*参数!$B$40*参数!$B$2+AG150*参数!$B$44*参数!$B$2+AH150*参数!$B$6*参数!$B$2+AI150*参数!$B$39*参数!$B$2+AJ150*参数!$B$6*参数!$B$2+Z150*参数!$B$13-T150*参数!$B$14-AD150*参数!$B$13+IF(ISNUMBER(AU150),AU150*参数!$B$38,0)-AV150*参数!$B$41-AW150*参数!$B$14-参数!$B$17)*参数!$B$18,IF(AND(F150="能力",AL150="能力持续"),(参数!$B$2-1)*参数!$B$3,0)+M150*O150*参数!$B$5*IF(AND(F150="能力",AL150="能力持续"),参数!$B$2,1)+P150*参数!$B$6*IF(AND(F150="能力",AL150="能力持续"),参数!$B$2,1)+R150*参数!$B$7*IF(AND(F150="能力",AL150="能力持续"),参数!$B$2,1)+V150*参数!$B$8+IF(X150&lt;0,X150*参数!$B$13,X150*参数!$B$39)+IF(AE150&lt;0,AE150*参数!$B$13,AE150*参数!$B$12)*参数!$B$2+AQ150*参数!$B$15+AB150*参数!$B$11+AF150*参数!$B$40*参数!$B$2+AG150*参数!$B$44*参数!$B$2+AH150*参数!$B$6*参数!$B$2+AI150*参数!$B$39*参数!$B$2+AJ150*参数!$B$6*参数!$B$2+Z150*参数!$B$13-T150*参数!$B$14-AD150*参数!$B$13+IF(ISNUMBER(AU150),AU150*参数!$B$38,0)-AV150*参数!$B$41-AW150*参数!$B$14),0),0)</f>
        <v>15.612486080160913</v>
      </c>
      <c r="AZ150">
        <f>AY150-MAX(AP150,0)*参数!$B$10</f>
        <v>12.612486080160913</v>
      </c>
      <c r="BA150">
        <f t="shared" si="5"/>
        <v>15.612486080160913</v>
      </c>
    </row>
    <row r="151" spans="1:53" x14ac:dyDescent="0.3">
      <c r="A151">
        <v>150</v>
      </c>
      <c r="B151" t="s">
        <v>726</v>
      </c>
      <c r="C151" t="s">
        <v>452</v>
      </c>
      <c r="D151" t="s">
        <v>727</v>
      </c>
      <c r="E151" t="s">
        <v>728</v>
      </c>
      <c r="F151" t="s">
        <v>108</v>
      </c>
      <c r="G151" t="s">
        <v>12</v>
      </c>
      <c r="H151" t="s">
        <v>203</v>
      </c>
      <c r="I151" t="s">
        <v>203</v>
      </c>
      <c r="J151" t="s">
        <v>729</v>
      </c>
      <c r="L151" t="s">
        <v>111</v>
      </c>
      <c r="M151">
        <v>8</v>
      </c>
      <c r="N151">
        <v>11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112</v>
      </c>
      <c r="AP151">
        <f t="shared" si="4"/>
        <v>0.4</v>
      </c>
      <c r="AQ151">
        <v>0</v>
      </c>
      <c r="AR151">
        <v>0</v>
      </c>
      <c r="AT151" t="s">
        <v>113</v>
      </c>
      <c r="AU151">
        <v>0</v>
      </c>
      <c r="AY151">
        <f>IFERROR(MAX(IF(IF(AND(F151="能力",AL151="能力持续"),(参数!$B$2-1)*参数!$B$3,0)+M151*O151*参数!$B$5*IF(AND(F151="能力",AL151="能力持续"),参数!$B$2,1)+P151*参数!$B$6*IF(AND(F151="能力",AL151="能力持续"),参数!$B$2,1)+R151*参数!$B$7*IF(AND(F151="能力",AL151="能力持续"),参数!$B$2,1)+V151*参数!$B$8+IF(X151&lt;0,X151*参数!$B$13,X151*参数!$B$39)+IF(AE151&lt;0,AE151*参数!$B$13,AE151*参数!$B$12)*参数!$B$2+AQ151*参数!$B$15+AB151*参数!$B$11+AF151*参数!$B$40*参数!$B$2+AG151*参数!$B$44*参数!$B$2+AH151*参数!$B$6*参数!$B$2+AI151*参数!$B$39*参数!$B$2+AJ151*参数!$B$6*参数!$B$2+Z151*参数!$B$13-T151*参数!$B$14-AD151*参数!$B$13+IF(ISNUMBER(AU151),AU151*参数!$B$38,0)-AV151*参数!$B$41-AW151*参数!$B$14&gt;参数!$B$17,参数!$B$17+SQRT(IF(AND(F151="能力",AL151="能力持续"),(参数!$B$2-1)*参数!$B$3,0)+M151*O151*参数!$B$5*IF(AND(F151="能力",AL151="能力持续"),参数!$B$2,1)+P151*参数!$B$6*IF(AND(F151="能力",AL151="能力持续"),参数!$B$2,1)+R151*参数!$B$7*IF(AND(F151="能力",AL151="能力持续"),参数!$B$2,1)+V151*参数!$B$8+IF(X151&lt;0,X151*参数!$B$13,X151*参数!$B$39)+IF(AE151&lt;0,AE151*参数!$B$13,AE151*参数!$B$12)*参数!$B$2+AQ151*参数!$B$15+AB151*参数!$B$11+AF151*参数!$B$40*参数!$B$2+AG151*参数!$B$44*参数!$B$2+AH151*参数!$B$6*参数!$B$2+AI151*参数!$B$39*参数!$B$2+AJ151*参数!$B$6*参数!$B$2+Z151*参数!$B$13-T151*参数!$B$14-AD151*参数!$B$13+IF(ISNUMBER(AU151),AU151*参数!$B$38,0)-AV151*参数!$B$41-AW151*参数!$B$14-参数!$B$17)*参数!$B$18,IF(AND(F151="能力",AL151="能力持续"),(参数!$B$2-1)*参数!$B$3,0)+M151*O151*参数!$B$5*IF(AND(F151="能力",AL151="能力持续"),参数!$B$2,1)+P151*参数!$B$6*IF(AND(F151="能力",AL151="能力持续"),参数!$B$2,1)+R151*参数!$B$7*IF(AND(F151="能力",AL151="能力持续"),参数!$B$2,1)+V151*参数!$B$8+IF(X151&lt;0,X151*参数!$B$13,X151*参数!$B$39)+IF(AE151&lt;0,AE151*参数!$B$13,AE151*参数!$B$12)*参数!$B$2+AQ151*参数!$B$15+AB151*参数!$B$11+AF151*参数!$B$40*参数!$B$2+AG151*参数!$B$44*参数!$B$2+AH151*参数!$B$6*参数!$B$2+AI151*参数!$B$39*参数!$B$2+AJ151*参数!$B$6*参数!$B$2+Z151*参数!$B$13-T151*参数!$B$14-AD151*参数!$B$13+IF(ISNUMBER(AU151),AU151*参数!$B$38,0)-AV151*参数!$B$41-AW151*参数!$B$14),0),0)</f>
        <v>13.674234614174766</v>
      </c>
      <c r="AZ151">
        <f>AY151-MAX(AP151,0)*参数!$B$10</f>
        <v>12.474234614174765</v>
      </c>
      <c r="BA151">
        <f t="shared" si="5"/>
        <v>34.185586535436912</v>
      </c>
    </row>
    <row r="152" spans="1:53" x14ac:dyDescent="0.3">
      <c r="A152">
        <v>151</v>
      </c>
      <c r="B152" t="s">
        <v>730</v>
      </c>
      <c r="C152" t="s">
        <v>452</v>
      </c>
      <c r="D152" t="s">
        <v>731</v>
      </c>
      <c r="E152" t="s">
        <v>732</v>
      </c>
      <c r="F152" t="s">
        <v>108</v>
      </c>
      <c r="G152" t="s">
        <v>10</v>
      </c>
      <c r="H152">
        <v>0</v>
      </c>
      <c r="I152">
        <v>0</v>
      </c>
      <c r="J152" t="s">
        <v>109</v>
      </c>
      <c r="L152" t="s">
        <v>111</v>
      </c>
      <c r="M152">
        <v>6</v>
      </c>
      <c r="N152">
        <v>9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 t="s">
        <v>112</v>
      </c>
      <c r="AP152">
        <f t="shared" si="4"/>
        <v>0.4</v>
      </c>
      <c r="AQ152">
        <v>0</v>
      </c>
      <c r="AR152">
        <v>0</v>
      </c>
      <c r="AT152" t="s">
        <v>113</v>
      </c>
      <c r="AU152">
        <v>0</v>
      </c>
      <c r="AY152">
        <f>IFERROR(MAX(IF(IF(AND(F152="能力",AL152="能力持续"),(参数!$B$2-1)*参数!$B$3,0)+M152*O152*参数!$B$5*IF(AND(F152="能力",AL152="能力持续"),参数!$B$2,1)+P152*参数!$B$6*IF(AND(F152="能力",AL152="能力持续"),参数!$B$2,1)+R152*参数!$B$7*IF(AND(F152="能力",AL152="能力持续"),参数!$B$2,1)+V152*参数!$B$8+IF(X152&lt;0,X152*参数!$B$13,X152*参数!$B$39)+IF(AE152&lt;0,AE152*参数!$B$13,AE152*参数!$B$12)*参数!$B$2+AQ152*参数!$B$15+AB152*参数!$B$11+AF152*参数!$B$40*参数!$B$2+AG152*参数!$B$44*参数!$B$2+AH152*参数!$B$6*参数!$B$2+AI152*参数!$B$39*参数!$B$2+AJ152*参数!$B$6*参数!$B$2+Z152*参数!$B$13-T152*参数!$B$14-AD152*参数!$B$13+IF(ISNUMBER(AU152),AU152*参数!$B$38,0)-AV152*参数!$B$41-AW152*参数!$B$14&gt;参数!$B$17,参数!$B$17+SQRT(IF(AND(F152="能力",AL152="能力持续"),(参数!$B$2-1)*参数!$B$3,0)+M152*O152*参数!$B$5*IF(AND(F152="能力",AL152="能力持续"),参数!$B$2,1)+P152*参数!$B$6*IF(AND(F152="能力",AL152="能力持续"),参数!$B$2,1)+R152*参数!$B$7*IF(AND(F152="能力",AL152="能力持续"),参数!$B$2,1)+V152*参数!$B$8+IF(X152&lt;0,X152*参数!$B$13,X152*参数!$B$39)+IF(AE152&lt;0,AE152*参数!$B$13,AE152*参数!$B$12)*参数!$B$2+AQ152*参数!$B$15+AB152*参数!$B$11+AF152*参数!$B$40*参数!$B$2+AG152*参数!$B$44*参数!$B$2+AH152*参数!$B$6*参数!$B$2+AI152*参数!$B$39*参数!$B$2+AJ152*参数!$B$6*参数!$B$2+Z152*参数!$B$13-T152*参数!$B$14-AD152*参数!$B$13+IF(ISNUMBER(AU152),AU152*参数!$B$38,0)-AV152*参数!$B$41-AW152*参数!$B$14-参数!$B$17)*参数!$B$18,IF(AND(F152="能力",AL152="能力持续"),(参数!$B$2-1)*参数!$B$3,0)+M152*O152*参数!$B$5*IF(AND(F152="能力",AL152="能力持续"),参数!$B$2,1)+P152*参数!$B$6*IF(AND(F152="能力",AL152="能力持续"),参数!$B$2,1)+R152*参数!$B$7*IF(AND(F152="能力",AL152="能力持续"),参数!$B$2,1)+V152*参数!$B$8+IF(X152&lt;0,X152*参数!$B$13,X152*参数!$B$39)+IF(AE152&lt;0,AE152*参数!$B$13,AE152*参数!$B$12)*参数!$B$2+AQ152*参数!$B$15+AB152*参数!$B$11+AF152*参数!$B$40*参数!$B$2+AG152*参数!$B$44*参数!$B$2+AH152*参数!$B$6*参数!$B$2+AI152*参数!$B$39*参数!$B$2+AJ152*参数!$B$6*参数!$B$2+Z152*参数!$B$13-T152*参数!$B$14-AD152*参数!$B$13+IF(ISNUMBER(AU152),AU152*参数!$B$38,0)-AV152*参数!$B$41-AW152*参数!$B$14),0),0)</f>
        <v>6</v>
      </c>
      <c r="AZ152">
        <f>AY152-MAX(AP152,0)*参数!$B$10</f>
        <v>4.8</v>
      </c>
      <c r="BA152">
        <f t="shared" si="5"/>
        <v>15</v>
      </c>
    </row>
    <row r="153" spans="1:53" x14ac:dyDescent="0.3">
      <c r="A153">
        <v>152</v>
      </c>
      <c r="B153" t="s">
        <v>733</v>
      </c>
      <c r="C153" t="s">
        <v>452</v>
      </c>
      <c r="D153" t="s">
        <v>734</v>
      </c>
      <c r="E153" t="s">
        <v>735</v>
      </c>
      <c r="F153" t="s">
        <v>117</v>
      </c>
      <c r="G153" t="s">
        <v>10</v>
      </c>
      <c r="H153">
        <v>2</v>
      </c>
      <c r="I153">
        <v>2</v>
      </c>
      <c r="J153" t="s">
        <v>736</v>
      </c>
      <c r="L153" t="s">
        <v>111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7</v>
      </c>
      <c r="AG153">
        <v>0</v>
      </c>
      <c r="AH153">
        <v>0</v>
      </c>
      <c r="AI153">
        <v>0</v>
      </c>
      <c r="AJ153">
        <v>0</v>
      </c>
      <c r="AK153" t="s">
        <v>112</v>
      </c>
      <c r="AP153">
        <f t="shared" si="4"/>
        <v>2</v>
      </c>
      <c r="AQ153">
        <v>0</v>
      </c>
      <c r="AR153">
        <v>0</v>
      </c>
      <c r="AT153" t="s">
        <v>113</v>
      </c>
      <c r="AU153">
        <v>0</v>
      </c>
      <c r="AY153">
        <f>IFERROR(MAX(IF(IF(AND(F153="能力",AL153="能力持续"),(参数!$B$2-1)*参数!$B$3,0)+M153*O153*参数!$B$5*IF(AND(F153="能力",AL153="能力持续"),参数!$B$2,1)+P153*参数!$B$6*IF(AND(F153="能力",AL153="能力持续"),参数!$B$2,1)+R153*参数!$B$7*IF(AND(F153="能力",AL153="能力持续"),参数!$B$2,1)+V153*参数!$B$8+IF(X153&lt;0,X153*参数!$B$13,X153*参数!$B$39)+IF(AE153&lt;0,AE153*参数!$B$13,AE153*参数!$B$12)*参数!$B$2+AQ153*参数!$B$15+AB153*参数!$B$11+AF153*参数!$B$40*参数!$B$2+AG153*参数!$B$44*参数!$B$2+AH153*参数!$B$6*参数!$B$2+AI153*参数!$B$39*参数!$B$2+AJ153*参数!$B$6*参数!$B$2+Z153*参数!$B$13-T153*参数!$B$14-AD153*参数!$B$13+IF(ISNUMBER(AU153),AU153*参数!$B$38,0)-AV153*参数!$B$41-AW153*参数!$B$14&gt;参数!$B$17,参数!$B$17+SQRT(IF(AND(F153="能力",AL153="能力持续"),(参数!$B$2-1)*参数!$B$3,0)+M153*O153*参数!$B$5*IF(AND(F153="能力",AL153="能力持续"),参数!$B$2,1)+P153*参数!$B$6*IF(AND(F153="能力",AL153="能力持续"),参数!$B$2,1)+R153*参数!$B$7*IF(AND(F153="能力",AL153="能力持续"),参数!$B$2,1)+V153*参数!$B$8+IF(X153&lt;0,X153*参数!$B$13,X153*参数!$B$39)+IF(AE153&lt;0,AE153*参数!$B$13,AE153*参数!$B$12)*参数!$B$2+AQ153*参数!$B$15+AB153*参数!$B$11+AF153*参数!$B$40*参数!$B$2+AG153*参数!$B$44*参数!$B$2+AH153*参数!$B$6*参数!$B$2+AI153*参数!$B$39*参数!$B$2+AJ153*参数!$B$6*参数!$B$2+Z153*参数!$B$13-T153*参数!$B$14-AD153*参数!$B$13+IF(ISNUMBER(AU153),AU153*参数!$B$38,0)-AV153*参数!$B$41-AW153*参数!$B$14-参数!$B$17)*参数!$B$18,IF(AND(F153="能力",AL153="能力持续"),(参数!$B$2-1)*参数!$B$3,0)+M153*O153*参数!$B$5*IF(AND(F153="能力",AL153="能力持续"),参数!$B$2,1)+P153*参数!$B$6*IF(AND(F153="能力",AL153="能力持续"),参数!$B$2,1)+R153*参数!$B$7*IF(AND(F153="能力",AL153="能力持续"),参数!$B$2,1)+V153*参数!$B$8+IF(X153&lt;0,X153*参数!$B$13,X153*参数!$B$39)+IF(AE153&lt;0,AE153*参数!$B$13,AE153*参数!$B$12)*参数!$B$2+AQ153*参数!$B$15+AB153*参数!$B$11+AF153*参数!$B$40*参数!$B$2+AG153*参数!$B$44*参数!$B$2+AH153*参数!$B$6*参数!$B$2+AI153*参数!$B$39*参数!$B$2+AJ153*参数!$B$6*参数!$B$2+Z153*参数!$B$13-T153*参数!$B$14-AD153*参数!$B$13+IF(ISNUMBER(AU153),AU153*参数!$B$38,0)-AV153*参数!$B$41-AW153*参数!$B$14),0),0)</f>
        <v>16.363961030678929</v>
      </c>
      <c r="AZ153">
        <f>AY153-MAX(AP153,0)*参数!$B$10</f>
        <v>10.363961030678929</v>
      </c>
      <c r="BA153">
        <f t="shared" si="5"/>
        <v>8.1819805153394647</v>
      </c>
    </row>
    <row r="154" spans="1:53" x14ac:dyDescent="0.3">
      <c r="A154">
        <v>153</v>
      </c>
      <c r="B154" t="s">
        <v>737</v>
      </c>
      <c r="C154" t="s">
        <v>452</v>
      </c>
      <c r="D154" t="s">
        <v>738</v>
      </c>
      <c r="E154" t="s">
        <v>739</v>
      </c>
      <c r="F154" t="s">
        <v>124</v>
      </c>
      <c r="G154" t="s">
        <v>14</v>
      </c>
      <c r="H154">
        <v>2</v>
      </c>
      <c r="I154">
        <v>2</v>
      </c>
      <c r="J154" t="s">
        <v>740</v>
      </c>
      <c r="L154" t="s">
        <v>120</v>
      </c>
      <c r="M154">
        <v>0</v>
      </c>
      <c r="N154">
        <v>0</v>
      </c>
      <c r="O154">
        <v>1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t="s">
        <v>112</v>
      </c>
      <c r="AL154" t="s">
        <v>127</v>
      </c>
      <c r="AN154" t="s">
        <v>124</v>
      </c>
      <c r="AP154">
        <f t="shared" si="4"/>
        <v>2</v>
      </c>
      <c r="AQ154">
        <v>0</v>
      </c>
      <c r="AR154">
        <v>0</v>
      </c>
      <c r="AT154" t="s">
        <v>113</v>
      </c>
      <c r="AU154">
        <v>0</v>
      </c>
      <c r="AY154">
        <f>IFERROR(MAX(IF(IF(AND(F154="能力",AL154="能力持续"),(参数!$B$2-1)*参数!$B$3,0)+M154*O154*参数!$B$5*IF(AND(F154="能力",AL154="能力持续"),参数!$B$2,1)+P154*参数!$B$6*IF(AND(F154="能力",AL154="能力持续"),参数!$B$2,1)+R154*参数!$B$7*IF(AND(F154="能力",AL154="能力持续"),参数!$B$2,1)+V154*参数!$B$8+IF(X154&lt;0,X154*参数!$B$13,X154*参数!$B$39)+IF(AE154&lt;0,AE154*参数!$B$13,AE154*参数!$B$12)*参数!$B$2+AQ154*参数!$B$15+AB154*参数!$B$11+AF154*参数!$B$40*参数!$B$2+AG154*参数!$B$44*参数!$B$2+AH154*参数!$B$6*参数!$B$2+AI154*参数!$B$39*参数!$B$2+AJ154*参数!$B$6*参数!$B$2+Z154*参数!$B$13-T154*参数!$B$14-AD154*参数!$B$13+IF(ISNUMBER(AU154),AU154*参数!$B$38,0)-AV154*参数!$B$41-AW154*参数!$B$14&gt;参数!$B$17,参数!$B$17+SQRT(IF(AND(F154="能力",AL154="能力持续"),(参数!$B$2-1)*参数!$B$3,0)+M154*O154*参数!$B$5*IF(AND(F154="能力",AL154="能力持续"),参数!$B$2,1)+P154*参数!$B$6*IF(AND(F154="能力",AL154="能力持续"),参数!$B$2,1)+R154*参数!$B$7*IF(AND(F154="能力",AL154="能力持续"),参数!$B$2,1)+V154*参数!$B$8+IF(X154&lt;0,X154*参数!$B$13,X154*参数!$B$39)+IF(AE154&lt;0,AE154*参数!$B$13,AE154*参数!$B$12)*参数!$B$2+AQ154*参数!$B$15+AB154*参数!$B$11+AF154*参数!$B$40*参数!$B$2+AG154*参数!$B$44*参数!$B$2+AH154*参数!$B$6*参数!$B$2+AI154*参数!$B$39*参数!$B$2+AJ154*参数!$B$6*参数!$B$2+Z154*参数!$B$13-T154*参数!$B$14-AD154*参数!$B$13+IF(ISNUMBER(AU154),AU154*参数!$B$38,0)-AV154*参数!$B$41-AW154*参数!$B$14-参数!$B$17)*参数!$B$18,IF(AND(F154="能力",AL154="能力持续"),(参数!$B$2-1)*参数!$B$3,0)+M154*O154*参数!$B$5*IF(AND(F154="能力",AL154="能力持续"),参数!$B$2,1)+P154*参数!$B$6*IF(AND(F154="能力",AL154="能力持续"),参数!$B$2,1)+R154*参数!$B$7*IF(AND(F154="能力",AL154="能力持续"),参数!$B$2,1)+V154*参数!$B$8+IF(X154&lt;0,X154*参数!$B$13,X154*参数!$B$39)+IF(AE154&lt;0,AE154*参数!$B$13,AE154*参数!$B$12)*参数!$B$2+AQ154*参数!$B$15+AB154*参数!$B$11+AF154*参数!$B$40*参数!$B$2+AG154*参数!$B$44*参数!$B$2+AH154*参数!$B$6*参数!$B$2+AI154*参数!$B$39*参数!$B$2+AJ154*参数!$B$6*参数!$B$2+Z154*参数!$B$13-T154*参数!$B$14-AD154*参数!$B$13+IF(ISNUMBER(AU154),AU154*参数!$B$38,0)-AV154*参数!$B$41-AW154*参数!$B$14),0),0)</f>
        <v>13.91152144312159</v>
      </c>
      <c r="AZ154">
        <f>AY154-MAX(AP154,0)*参数!$B$10</f>
        <v>7.9115214431215897</v>
      </c>
      <c r="BA154">
        <f t="shared" si="5"/>
        <v>6.9557607215607948</v>
      </c>
    </row>
    <row r="155" spans="1:53" x14ac:dyDescent="0.3">
      <c r="A155">
        <v>154</v>
      </c>
      <c r="B155" t="s">
        <v>741</v>
      </c>
      <c r="C155" t="s">
        <v>452</v>
      </c>
      <c r="D155" t="s">
        <v>742</v>
      </c>
      <c r="E155" t="s">
        <v>743</v>
      </c>
      <c r="F155" t="s">
        <v>124</v>
      </c>
      <c r="G155" t="s">
        <v>12</v>
      </c>
      <c r="H155">
        <v>2</v>
      </c>
      <c r="I155">
        <v>2</v>
      </c>
      <c r="J155" t="s">
        <v>744</v>
      </c>
      <c r="L155" t="s">
        <v>191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112</v>
      </c>
      <c r="AL155" t="s">
        <v>127</v>
      </c>
      <c r="AN155" t="s">
        <v>322</v>
      </c>
      <c r="AP155">
        <f t="shared" si="4"/>
        <v>2</v>
      </c>
      <c r="AQ155">
        <v>0</v>
      </c>
      <c r="AR155">
        <v>0</v>
      </c>
      <c r="AT155" t="s">
        <v>113</v>
      </c>
      <c r="AU155">
        <v>0</v>
      </c>
      <c r="AY155">
        <f>IFERROR(MAX(IF(IF(AND(F155="能力",AL155="能力持续"),(参数!$B$2-1)*参数!$B$3,0)+M155*O155*参数!$B$5*IF(AND(F155="能力",AL155="能力持续"),参数!$B$2,1)+P155*参数!$B$6*IF(AND(F155="能力",AL155="能力持续"),参数!$B$2,1)+R155*参数!$B$7*IF(AND(F155="能力",AL155="能力持续"),参数!$B$2,1)+V155*参数!$B$8+IF(X155&lt;0,X155*参数!$B$13,X155*参数!$B$39)+IF(AE155&lt;0,AE155*参数!$B$13,AE155*参数!$B$12)*参数!$B$2+AQ155*参数!$B$15+AB155*参数!$B$11+AF155*参数!$B$40*参数!$B$2+AG155*参数!$B$44*参数!$B$2+AH155*参数!$B$6*参数!$B$2+AI155*参数!$B$39*参数!$B$2+AJ155*参数!$B$6*参数!$B$2+Z155*参数!$B$13-T155*参数!$B$14-AD155*参数!$B$13+IF(ISNUMBER(AU155),AU155*参数!$B$38,0)-AV155*参数!$B$41-AW155*参数!$B$14&gt;参数!$B$17,参数!$B$17+SQRT(IF(AND(F155="能力",AL155="能力持续"),(参数!$B$2-1)*参数!$B$3,0)+M155*O155*参数!$B$5*IF(AND(F155="能力",AL155="能力持续"),参数!$B$2,1)+P155*参数!$B$6*IF(AND(F155="能力",AL155="能力持续"),参数!$B$2,1)+R155*参数!$B$7*IF(AND(F155="能力",AL155="能力持续"),参数!$B$2,1)+V155*参数!$B$8+IF(X155&lt;0,X155*参数!$B$13,X155*参数!$B$39)+IF(AE155&lt;0,AE155*参数!$B$13,AE155*参数!$B$12)*参数!$B$2+AQ155*参数!$B$15+AB155*参数!$B$11+AF155*参数!$B$40*参数!$B$2+AG155*参数!$B$44*参数!$B$2+AH155*参数!$B$6*参数!$B$2+AI155*参数!$B$39*参数!$B$2+AJ155*参数!$B$6*参数!$B$2+Z155*参数!$B$13-T155*参数!$B$14-AD155*参数!$B$13+IF(ISNUMBER(AU155),AU155*参数!$B$38,0)-AV155*参数!$B$41-AW155*参数!$B$14-参数!$B$17)*参数!$B$18,IF(AND(F155="能力",AL155="能力持续"),(参数!$B$2-1)*参数!$B$3,0)+M155*O155*参数!$B$5*IF(AND(F155="能力",AL155="能力持续"),参数!$B$2,1)+P155*参数!$B$6*IF(AND(F155="能力",AL155="能力持续"),参数!$B$2,1)+R155*参数!$B$7*IF(AND(F155="能力",AL155="能力持续"),参数!$B$2,1)+V155*参数!$B$8+IF(X155&lt;0,X155*参数!$B$13,X155*参数!$B$39)+IF(AE155&lt;0,AE155*参数!$B$13,AE155*参数!$B$12)*参数!$B$2+AQ155*参数!$B$15+AB155*参数!$B$11+AF155*参数!$B$40*参数!$B$2+AG155*参数!$B$44*参数!$B$2+AH155*参数!$B$6*参数!$B$2+AI155*参数!$B$39*参数!$B$2+AJ155*参数!$B$6*参数!$B$2+Z155*参数!$B$13-T155*参数!$B$14-AD155*参数!$B$13+IF(ISNUMBER(AU155),AU155*参数!$B$38,0)-AV155*参数!$B$41-AW155*参数!$B$14),0),0)</f>
        <v>3.5999999999999996</v>
      </c>
      <c r="AZ155">
        <f>AY155-MAX(AP155,0)*参数!$B$10</f>
        <v>-2.4000000000000004</v>
      </c>
      <c r="BA155">
        <f t="shared" si="5"/>
        <v>1.7999999999999998</v>
      </c>
    </row>
    <row r="156" spans="1:53" x14ac:dyDescent="0.3">
      <c r="A156">
        <v>155</v>
      </c>
      <c r="B156" t="s">
        <v>745</v>
      </c>
      <c r="C156" t="s">
        <v>452</v>
      </c>
      <c r="D156" t="s">
        <v>746</v>
      </c>
      <c r="E156" t="s">
        <v>747</v>
      </c>
      <c r="F156" t="s">
        <v>117</v>
      </c>
      <c r="G156" t="s">
        <v>14</v>
      </c>
      <c r="H156">
        <v>1</v>
      </c>
      <c r="I156">
        <v>1</v>
      </c>
      <c r="J156" t="s">
        <v>748</v>
      </c>
      <c r="L156" t="s">
        <v>111</v>
      </c>
      <c r="M156">
        <v>4</v>
      </c>
      <c r="N156">
        <v>0</v>
      </c>
      <c r="O156">
        <v>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112</v>
      </c>
      <c r="AP156">
        <f t="shared" si="4"/>
        <v>1</v>
      </c>
      <c r="AQ156">
        <v>0</v>
      </c>
      <c r="AR156">
        <v>0</v>
      </c>
      <c r="AT156" t="s">
        <v>113</v>
      </c>
      <c r="AU156">
        <v>0</v>
      </c>
      <c r="AY156">
        <f>IFERROR(MAX(IF(IF(AND(F156="能力",AL156="能力持续"),(参数!$B$2-1)*参数!$B$3,0)+M156*O156*参数!$B$5*IF(AND(F156="能力",AL156="能力持续"),参数!$B$2,1)+P156*参数!$B$6*IF(AND(F156="能力",AL156="能力持续"),参数!$B$2,1)+R156*参数!$B$7*IF(AND(F156="能力",AL156="能力持续"),参数!$B$2,1)+V156*参数!$B$8+IF(X156&lt;0,X156*参数!$B$13,X156*参数!$B$39)+IF(AE156&lt;0,AE156*参数!$B$13,AE156*参数!$B$12)*参数!$B$2+AQ156*参数!$B$15+AB156*参数!$B$11+AF156*参数!$B$40*参数!$B$2+AG156*参数!$B$44*参数!$B$2+AH156*参数!$B$6*参数!$B$2+AI156*参数!$B$39*参数!$B$2+AJ156*参数!$B$6*参数!$B$2+Z156*参数!$B$13-T156*参数!$B$14-AD156*参数!$B$13+IF(ISNUMBER(AU156),AU156*参数!$B$38,0)-AV156*参数!$B$41-AW156*参数!$B$14&gt;参数!$B$17,参数!$B$17+SQRT(IF(AND(F156="能力",AL156="能力持续"),(参数!$B$2-1)*参数!$B$3,0)+M156*O156*参数!$B$5*IF(AND(F156="能力",AL156="能力持续"),参数!$B$2,1)+P156*参数!$B$6*IF(AND(F156="能力",AL156="能力持续"),参数!$B$2,1)+R156*参数!$B$7*IF(AND(F156="能力",AL156="能力持续"),参数!$B$2,1)+V156*参数!$B$8+IF(X156&lt;0,X156*参数!$B$13,X156*参数!$B$39)+IF(AE156&lt;0,AE156*参数!$B$13,AE156*参数!$B$12)*参数!$B$2+AQ156*参数!$B$15+AB156*参数!$B$11+AF156*参数!$B$40*参数!$B$2+AG156*参数!$B$44*参数!$B$2+AH156*参数!$B$6*参数!$B$2+AI156*参数!$B$39*参数!$B$2+AJ156*参数!$B$6*参数!$B$2+Z156*参数!$B$13-T156*参数!$B$14-AD156*参数!$B$13+IF(ISNUMBER(AU156),AU156*参数!$B$38,0)-AV156*参数!$B$41-AW156*参数!$B$14-参数!$B$17)*参数!$B$18,IF(AND(F156="能力",AL156="能力持续"),(参数!$B$2-1)*参数!$B$3,0)+M156*O156*参数!$B$5*IF(AND(F156="能力",AL156="能力持续"),参数!$B$2,1)+P156*参数!$B$6*IF(AND(F156="能力",AL156="能力持续"),参数!$B$2,1)+R156*参数!$B$7*IF(AND(F156="能力",AL156="能力持续"),参数!$B$2,1)+V156*参数!$B$8+IF(X156&lt;0,X156*参数!$B$13,X156*参数!$B$39)+IF(AE156&lt;0,AE156*参数!$B$13,AE156*参数!$B$12)*参数!$B$2+AQ156*参数!$B$15+AB156*参数!$B$11+AF156*参数!$B$40*参数!$B$2+AG156*参数!$B$44*参数!$B$2+AH156*参数!$B$6*参数!$B$2+AI156*参数!$B$39*参数!$B$2+AJ156*参数!$B$6*参数!$B$2+Z156*参数!$B$13-T156*参数!$B$14-AD156*参数!$B$13+IF(ISNUMBER(AU156),AU156*参数!$B$38,0)-AV156*参数!$B$41-AW156*参数!$B$14),0),0)</f>
        <v>14.743416490252569</v>
      </c>
      <c r="AZ156">
        <f>AY156-MAX(AP156,0)*参数!$B$10</f>
        <v>11.743416490252569</v>
      </c>
      <c r="BA156">
        <f t="shared" si="5"/>
        <v>14.743416490252569</v>
      </c>
    </row>
    <row r="157" spans="1:53" x14ac:dyDescent="0.3">
      <c r="A157">
        <v>156</v>
      </c>
      <c r="B157" t="s">
        <v>749</v>
      </c>
      <c r="C157" t="s">
        <v>452</v>
      </c>
      <c r="D157" t="s">
        <v>750</v>
      </c>
      <c r="E157" t="s">
        <v>751</v>
      </c>
      <c r="F157" t="s">
        <v>108</v>
      </c>
      <c r="G157" t="s">
        <v>12</v>
      </c>
      <c r="H157">
        <v>1</v>
      </c>
      <c r="I157">
        <v>1</v>
      </c>
      <c r="J157" t="s">
        <v>752</v>
      </c>
      <c r="L157" t="s">
        <v>111</v>
      </c>
      <c r="M157">
        <f>8+2*2</f>
        <v>12</v>
      </c>
      <c r="N157">
        <f>10+3*2</f>
        <v>16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 t="s">
        <v>112</v>
      </c>
      <c r="AN157" t="s">
        <v>161</v>
      </c>
      <c r="AP157">
        <f t="shared" si="4"/>
        <v>1</v>
      </c>
      <c r="AQ157">
        <v>0</v>
      </c>
      <c r="AR157">
        <v>0</v>
      </c>
      <c r="AT157" t="s">
        <v>113</v>
      </c>
      <c r="AU157">
        <v>0</v>
      </c>
      <c r="AY157">
        <f>IFERROR(MAX(IF(IF(AND(F157="能力",AL157="能力持续"),(参数!$B$2-1)*参数!$B$3,0)+M157*O157*参数!$B$5*IF(AND(F157="能力",AL157="能力持续"),参数!$B$2,1)+P157*参数!$B$6*IF(AND(F157="能力",AL157="能力持续"),参数!$B$2,1)+R157*参数!$B$7*IF(AND(F157="能力",AL157="能力持续"),参数!$B$2,1)+V157*参数!$B$8+IF(X157&lt;0,X157*参数!$B$13,X157*参数!$B$39)+IF(AE157&lt;0,AE157*参数!$B$13,AE157*参数!$B$12)*参数!$B$2+AQ157*参数!$B$15+AB157*参数!$B$11+AF157*参数!$B$40*参数!$B$2+AG157*参数!$B$44*参数!$B$2+AH157*参数!$B$6*参数!$B$2+AI157*参数!$B$39*参数!$B$2+AJ157*参数!$B$6*参数!$B$2+Z157*参数!$B$13-T157*参数!$B$14-AD157*参数!$B$13+IF(ISNUMBER(AU157),AU157*参数!$B$38,0)-AV157*参数!$B$41-AW157*参数!$B$14&gt;参数!$B$17,参数!$B$17+SQRT(IF(AND(F157="能力",AL157="能力持续"),(参数!$B$2-1)*参数!$B$3,0)+M157*O157*参数!$B$5*IF(AND(F157="能力",AL157="能力持续"),参数!$B$2,1)+P157*参数!$B$6*IF(AND(F157="能力",AL157="能力持续"),参数!$B$2,1)+R157*参数!$B$7*IF(AND(F157="能力",AL157="能力持续"),参数!$B$2,1)+V157*参数!$B$8+IF(X157&lt;0,X157*参数!$B$13,X157*参数!$B$39)+IF(AE157&lt;0,AE157*参数!$B$13,AE157*参数!$B$12)*参数!$B$2+AQ157*参数!$B$15+AB157*参数!$B$11+AF157*参数!$B$40*参数!$B$2+AG157*参数!$B$44*参数!$B$2+AH157*参数!$B$6*参数!$B$2+AI157*参数!$B$39*参数!$B$2+AJ157*参数!$B$6*参数!$B$2+Z157*参数!$B$13-T157*参数!$B$14-AD157*参数!$B$13+IF(ISNUMBER(AU157),AU157*参数!$B$38,0)-AV157*参数!$B$41-AW157*参数!$B$14-参数!$B$17)*参数!$B$18,IF(AND(F157="能力",AL157="能力持续"),(参数!$B$2-1)*参数!$B$3,0)+M157*O157*参数!$B$5*IF(AND(F157="能力",AL157="能力持续"),参数!$B$2,1)+P157*参数!$B$6*IF(AND(F157="能力",AL157="能力持续"),参数!$B$2,1)+R157*参数!$B$7*IF(AND(F157="能力",AL157="能力持续"),参数!$B$2,1)+V157*参数!$B$8+IF(X157&lt;0,X157*参数!$B$13,X157*参数!$B$39)+IF(AE157&lt;0,AE157*参数!$B$13,AE157*参数!$B$12)*参数!$B$2+AQ157*参数!$B$15+AB157*参数!$B$11+AF157*参数!$B$40*参数!$B$2+AG157*参数!$B$44*参数!$B$2+AH157*参数!$B$6*参数!$B$2+AI157*参数!$B$39*参数!$B$2+AJ157*参数!$B$6*参数!$B$2+Z157*参数!$B$13-T157*参数!$B$14-AD157*参数!$B$13+IF(ISNUMBER(AU157),AU157*参数!$B$38,0)-AV157*参数!$B$41-AW157*参数!$B$14),0),0)</f>
        <v>12.121320343559642</v>
      </c>
      <c r="AZ157">
        <f>AY157-MAX(AP157,0)*参数!$B$10</f>
        <v>9.1213203435596419</v>
      </c>
      <c r="BA157">
        <f t="shared" si="5"/>
        <v>12.121320343559642</v>
      </c>
    </row>
    <row r="158" spans="1:53" x14ac:dyDescent="0.3">
      <c r="A158">
        <v>157</v>
      </c>
      <c r="B158" t="s">
        <v>753</v>
      </c>
      <c r="C158" t="s">
        <v>452</v>
      </c>
      <c r="D158" t="s">
        <v>106</v>
      </c>
      <c r="E158" t="s">
        <v>107</v>
      </c>
      <c r="F158" t="s">
        <v>108</v>
      </c>
      <c r="G158" t="s">
        <v>8</v>
      </c>
      <c r="H158">
        <v>1</v>
      </c>
      <c r="I158">
        <v>1</v>
      </c>
      <c r="J158" t="s">
        <v>109</v>
      </c>
      <c r="L158" t="s">
        <v>111</v>
      </c>
      <c r="M158">
        <v>6</v>
      </c>
      <c r="N158">
        <v>9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 t="s">
        <v>112</v>
      </c>
      <c r="AP158">
        <f t="shared" si="4"/>
        <v>1</v>
      </c>
      <c r="AQ158">
        <v>0</v>
      </c>
      <c r="AR158">
        <v>0</v>
      </c>
      <c r="AT158" t="s">
        <v>113</v>
      </c>
      <c r="AU158">
        <v>0</v>
      </c>
      <c r="AY158">
        <f>IFERROR(MAX(IF(IF(AND(F158="能力",AL158="能力持续"),(参数!$B$2-1)*参数!$B$3,0)+M158*O158*参数!$B$5*IF(AND(F158="能力",AL158="能力持续"),参数!$B$2,1)+P158*参数!$B$6*IF(AND(F158="能力",AL158="能力持续"),参数!$B$2,1)+R158*参数!$B$7*IF(AND(F158="能力",AL158="能力持续"),参数!$B$2,1)+V158*参数!$B$8+IF(X158&lt;0,X158*参数!$B$13,X158*参数!$B$39)+IF(AE158&lt;0,AE158*参数!$B$13,AE158*参数!$B$12)*参数!$B$2+AQ158*参数!$B$15+AB158*参数!$B$11+AF158*参数!$B$40*参数!$B$2+AG158*参数!$B$44*参数!$B$2+AH158*参数!$B$6*参数!$B$2+AI158*参数!$B$39*参数!$B$2+AJ158*参数!$B$6*参数!$B$2+Z158*参数!$B$13-T158*参数!$B$14-AD158*参数!$B$13+IF(ISNUMBER(AU158),AU158*参数!$B$38,0)-AV158*参数!$B$41-AW158*参数!$B$14&gt;参数!$B$17,参数!$B$17+SQRT(IF(AND(F158="能力",AL158="能力持续"),(参数!$B$2-1)*参数!$B$3,0)+M158*O158*参数!$B$5*IF(AND(F158="能力",AL158="能力持续"),参数!$B$2,1)+P158*参数!$B$6*IF(AND(F158="能力",AL158="能力持续"),参数!$B$2,1)+R158*参数!$B$7*IF(AND(F158="能力",AL158="能力持续"),参数!$B$2,1)+V158*参数!$B$8+IF(X158&lt;0,X158*参数!$B$13,X158*参数!$B$39)+IF(AE158&lt;0,AE158*参数!$B$13,AE158*参数!$B$12)*参数!$B$2+AQ158*参数!$B$15+AB158*参数!$B$11+AF158*参数!$B$40*参数!$B$2+AG158*参数!$B$44*参数!$B$2+AH158*参数!$B$6*参数!$B$2+AI158*参数!$B$39*参数!$B$2+AJ158*参数!$B$6*参数!$B$2+Z158*参数!$B$13-T158*参数!$B$14-AD158*参数!$B$13+IF(ISNUMBER(AU158),AU158*参数!$B$38,0)-AV158*参数!$B$41-AW158*参数!$B$14-参数!$B$17)*参数!$B$18,IF(AND(F158="能力",AL158="能力持续"),(参数!$B$2-1)*参数!$B$3,0)+M158*O158*参数!$B$5*IF(AND(F158="能力",AL158="能力持续"),参数!$B$2,1)+P158*参数!$B$6*IF(AND(F158="能力",AL158="能力持续"),参数!$B$2,1)+R158*参数!$B$7*IF(AND(F158="能力",AL158="能力持续"),参数!$B$2,1)+V158*参数!$B$8+IF(X158&lt;0,X158*参数!$B$13,X158*参数!$B$39)+IF(AE158&lt;0,AE158*参数!$B$13,AE158*参数!$B$12)*参数!$B$2+AQ158*参数!$B$15+AB158*参数!$B$11+AF158*参数!$B$40*参数!$B$2+AG158*参数!$B$44*参数!$B$2+AH158*参数!$B$6*参数!$B$2+AI158*参数!$B$39*参数!$B$2+AJ158*参数!$B$6*参数!$B$2+Z158*参数!$B$13-T158*参数!$B$14-AD158*参数!$B$13+IF(ISNUMBER(AU158),AU158*参数!$B$38,0)-AV158*参数!$B$41-AW158*参数!$B$14),0),0)</f>
        <v>6</v>
      </c>
      <c r="AZ158">
        <f>AY158-MAX(AP158,0)*参数!$B$10</f>
        <v>3</v>
      </c>
      <c r="BA158">
        <f t="shared" si="5"/>
        <v>6</v>
      </c>
    </row>
    <row r="159" spans="1:53" x14ac:dyDescent="0.3">
      <c r="A159">
        <v>158</v>
      </c>
      <c r="B159" t="s">
        <v>754</v>
      </c>
      <c r="C159" t="s">
        <v>452</v>
      </c>
      <c r="D159" t="s">
        <v>755</v>
      </c>
      <c r="E159" t="s">
        <v>756</v>
      </c>
      <c r="F159" t="s">
        <v>108</v>
      </c>
      <c r="G159" t="s">
        <v>10</v>
      </c>
      <c r="H159">
        <v>1</v>
      </c>
      <c r="I159">
        <v>1</v>
      </c>
      <c r="J159" t="s">
        <v>757</v>
      </c>
      <c r="L159" t="s">
        <v>111</v>
      </c>
      <c r="M159">
        <v>8</v>
      </c>
      <c r="N159">
        <v>10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112</v>
      </c>
      <c r="AP159">
        <f t="shared" si="4"/>
        <v>1</v>
      </c>
      <c r="AQ159">
        <v>0</v>
      </c>
      <c r="AR159">
        <v>0</v>
      </c>
      <c r="AT159" t="s">
        <v>113</v>
      </c>
      <c r="AU159">
        <v>0</v>
      </c>
      <c r="AY159">
        <f>IFERROR(MAX(IF(IF(AND(F159="能力",AL159="能力持续"),(参数!$B$2-1)*参数!$B$3,0)+M159*O159*参数!$B$5*IF(AND(F159="能力",AL159="能力持续"),参数!$B$2,1)+P159*参数!$B$6*IF(AND(F159="能力",AL159="能力持续"),参数!$B$2,1)+R159*参数!$B$7*IF(AND(F159="能力",AL159="能力持续"),参数!$B$2,1)+V159*参数!$B$8+IF(X159&lt;0,X159*参数!$B$13,X159*参数!$B$39)+IF(AE159&lt;0,AE159*参数!$B$13,AE159*参数!$B$12)*参数!$B$2+AQ159*参数!$B$15+AB159*参数!$B$11+AF159*参数!$B$40*参数!$B$2+AG159*参数!$B$44*参数!$B$2+AH159*参数!$B$6*参数!$B$2+AI159*参数!$B$39*参数!$B$2+AJ159*参数!$B$6*参数!$B$2+Z159*参数!$B$13-T159*参数!$B$14-AD159*参数!$B$13+IF(ISNUMBER(AU159),AU159*参数!$B$38,0)-AV159*参数!$B$41-AW159*参数!$B$14&gt;参数!$B$17,参数!$B$17+SQRT(IF(AND(F159="能力",AL159="能力持续"),(参数!$B$2-1)*参数!$B$3,0)+M159*O159*参数!$B$5*IF(AND(F159="能力",AL159="能力持续"),参数!$B$2,1)+P159*参数!$B$6*IF(AND(F159="能力",AL159="能力持续"),参数!$B$2,1)+R159*参数!$B$7*IF(AND(F159="能力",AL159="能力持续"),参数!$B$2,1)+V159*参数!$B$8+IF(X159&lt;0,X159*参数!$B$13,X159*参数!$B$39)+IF(AE159&lt;0,AE159*参数!$B$13,AE159*参数!$B$12)*参数!$B$2+AQ159*参数!$B$15+AB159*参数!$B$11+AF159*参数!$B$40*参数!$B$2+AG159*参数!$B$44*参数!$B$2+AH159*参数!$B$6*参数!$B$2+AI159*参数!$B$39*参数!$B$2+AJ159*参数!$B$6*参数!$B$2+Z159*参数!$B$13-T159*参数!$B$14-AD159*参数!$B$13+IF(ISNUMBER(AU159),AU159*参数!$B$38,0)-AV159*参数!$B$41-AW159*参数!$B$14-参数!$B$17)*参数!$B$18,IF(AND(F159="能力",AL159="能力持续"),(参数!$B$2-1)*参数!$B$3,0)+M159*O159*参数!$B$5*IF(AND(F159="能力",AL159="能力持续"),参数!$B$2,1)+P159*参数!$B$6*IF(AND(F159="能力",AL159="能力持续"),参数!$B$2,1)+R159*参数!$B$7*IF(AND(F159="能力",AL159="能力持续"),参数!$B$2,1)+V159*参数!$B$8+IF(X159&lt;0,X159*参数!$B$13,X159*参数!$B$39)+IF(AE159&lt;0,AE159*参数!$B$13,AE159*参数!$B$12)*参数!$B$2+AQ159*参数!$B$15+AB159*参数!$B$11+AF159*参数!$B$40*参数!$B$2+AG159*参数!$B$44*参数!$B$2+AH159*参数!$B$6*参数!$B$2+AI159*参数!$B$39*参数!$B$2+AJ159*参数!$B$6*参数!$B$2+Z159*参数!$B$13-T159*参数!$B$14-AD159*参数!$B$13+IF(ISNUMBER(AU159),AU159*参数!$B$38,0)-AV159*参数!$B$41-AW159*参数!$B$14),0),0)</f>
        <v>9.5</v>
      </c>
      <c r="AZ159">
        <f>AY159-MAX(AP159,0)*参数!$B$10</f>
        <v>6.5</v>
      </c>
      <c r="BA159">
        <f t="shared" si="5"/>
        <v>9.5</v>
      </c>
    </row>
    <row r="160" spans="1:53" x14ac:dyDescent="0.3">
      <c r="A160">
        <v>159</v>
      </c>
      <c r="B160" t="s">
        <v>758</v>
      </c>
      <c r="C160" t="s">
        <v>452</v>
      </c>
      <c r="D160" t="s">
        <v>759</v>
      </c>
      <c r="E160" t="s">
        <v>760</v>
      </c>
      <c r="F160" t="s">
        <v>108</v>
      </c>
      <c r="G160" t="s">
        <v>16</v>
      </c>
      <c r="H160">
        <v>0</v>
      </c>
      <c r="I160">
        <v>0</v>
      </c>
      <c r="J160" t="s">
        <v>761</v>
      </c>
      <c r="L160" t="s">
        <v>111</v>
      </c>
      <c r="M160">
        <v>11</v>
      </c>
      <c r="N160">
        <v>17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 t="s">
        <v>112</v>
      </c>
      <c r="AP160">
        <f t="shared" si="4"/>
        <v>0.4</v>
      </c>
      <c r="AQ160">
        <v>0</v>
      </c>
      <c r="AR160">
        <v>0</v>
      </c>
      <c r="AT160" t="s">
        <v>113</v>
      </c>
      <c r="AU160">
        <v>0</v>
      </c>
      <c r="AY160">
        <f>IFERROR(MAX(IF(IF(AND(F160="能力",AL160="能力持续"),(参数!$B$2-1)*参数!$B$3,0)+M160*O160*参数!$B$5*IF(AND(F160="能力",AL160="能力持续"),参数!$B$2,1)+P160*参数!$B$6*IF(AND(F160="能力",AL160="能力持续"),参数!$B$2,1)+R160*参数!$B$7*IF(AND(F160="能力",AL160="能力持续"),参数!$B$2,1)+V160*参数!$B$8+IF(X160&lt;0,X160*参数!$B$13,X160*参数!$B$39)+IF(AE160&lt;0,AE160*参数!$B$13,AE160*参数!$B$12)*参数!$B$2+AQ160*参数!$B$15+AB160*参数!$B$11+AF160*参数!$B$40*参数!$B$2+AG160*参数!$B$44*参数!$B$2+AH160*参数!$B$6*参数!$B$2+AI160*参数!$B$39*参数!$B$2+AJ160*参数!$B$6*参数!$B$2+Z160*参数!$B$13-T160*参数!$B$14-AD160*参数!$B$13+IF(ISNUMBER(AU160),AU160*参数!$B$38,0)-AV160*参数!$B$41-AW160*参数!$B$14&gt;参数!$B$17,参数!$B$17+SQRT(IF(AND(F160="能力",AL160="能力持续"),(参数!$B$2-1)*参数!$B$3,0)+M160*O160*参数!$B$5*IF(AND(F160="能力",AL160="能力持续"),参数!$B$2,1)+P160*参数!$B$6*IF(AND(F160="能力",AL160="能力持续"),参数!$B$2,1)+R160*参数!$B$7*IF(AND(F160="能力",AL160="能力持续"),参数!$B$2,1)+V160*参数!$B$8+IF(X160&lt;0,X160*参数!$B$13,X160*参数!$B$39)+IF(AE160&lt;0,AE160*参数!$B$13,AE160*参数!$B$12)*参数!$B$2+AQ160*参数!$B$15+AB160*参数!$B$11+AF160*参数!$B$40*参数!$B$2+AG160*参数!$B$44*参数!$B$2+AH160*参数!$B$6*参数!$B$2+AI160*参数!$B$39*参数!$B$2+AJ160*参数!$B$6*参数!$B$2+Z160*参数!$B$13-T160*参数!$B$14-AD160*参数!$B$13+IF(ISNUMBER(AU160),AU160*参数!$B$38,0)-AV160*参数!$B$41-AW160*参数!$B$14-参数!$B$17)*参数!$B$18,IF(AND(F160="能力",AL160="能力持续"),(参数!$B$2-1)*参数!$B$3,0)+M160*O160*参数!$B$5*IF(AND(F160="能力",AL160="能力持续"),参数!$B$2,1)+P160*参数!$B$6*IF(AND(F160="能力",AL160="能力持续"),参数!$B$2,1)+R160*参数!$B$7*IF(AND(F160="能力",AL160="能力持续"),参数!$B$2,1)+V160*参数!$B$8+IF(X160&lt;0,X160*参数!$B$13,X160*参数!$B$39)+IF(AE160&lt;0,AE160*参数!$B$13,AE160*参数!$B$12)*参数!$B$2+AQ160*参数!$B$15+AB160*参数!$B$11+AF160*参数!$B$40*参数!$B$2+AG160*参数!$B$44*参数!$B$2+AH160*参数!$B$6*参数!$B$2+AI160*参数!$B$39*参数!$B$2+AJ160*参数!$B$6*参数!$B$2+Z160*参数!$B$13-T160*参数!$B$14-AD160*参数!$B$13+IF(ISNUMBER(AU160),AU160*参数!$B$38,0)-AV160*参数!$B$41-AW160*参数!$B$14),0),0)</f>
        <v>13.517811819867571</v>
      </c>
      <c r="AZ160">
        <f>AY160-MAX(AP160,0)*参数!$B$10</f>
        <v>12.317811819867572</v>
      </c>
      <c r="BA160">
        <f t="shared" si="5"/>
        <v>33.794529549668923</v>
      </c>
    </row>
    <row r="161" spans="1:53" x14ac:dyDescent="0.3">
      <c r="A161">
        <v>160</v>
      </c>
      <c r="B161" t="s">
        <v>762</v>
      </c>
      <c r="C161" t="s">
        <v>452</v>
      </c>
      <c r="D161" t="s">
        <v>763</v>
      </c>
      <c r="E161" t="s">
        <v>764</v>
      </c>
      <c r="F161" t="s">
        <v>117</v>
      </c>
      <c r="G161" t="s">
        <v>8</v>
      </c>
      <c r="H161">
        <v>1</v>
      </c>
      <c r="I161">
        <v>1</v>
      </c>
      <c r="J161" t="s">
        <v>765</v>
      </c>
      <c r="L161" t="s">
        <v>120</v>
      </c>
      <c r="M161">
        <v>0</v>
      </c>
      <c r="N161">
        <v>0</v>
      </c>
      <c r="O161">
        <v>1</v>
      </c>
      <c r="P161">
        <v>8</v>
      </c>
      <c r="Q161">
        <v>11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112</v>
      </c>
      <c r="AP161">
        <f t="shared" si="4"/>
        <v>1</v>
      </c>
      <c r="AQ161">
        <v>0</v>
      </c>
      <c r="AR161">
        <v>0</v>
      </c>
      <c r="AT161" t="s">
        <v>113</v>
      </c>
      <c r="AU161">
        <v>0</v>
      </c>
      <c r="AY161">
        <f>IFERROR(MAX(IF(IF(AND(F161="能力",AL161="能力持续"),(参数!$B$2-1)*参数!$B$3,0)+M161*O161*参数!$B$5*IF(AND(F161="能力",AL161="能力持续"),参数!$B$2,1)+P161*参数!$B$6*IF(AND(F161="能力",AL161="能力持续"),参数!$B$2,1)+R161*参数!$B$7*IF(AND(F161="能力",AL161="能力持续"),参数!$B$2,1)+V161*参数!$B$8+IF(X161&lt;0,X161*参数!$B$13,X161*参数!$B$39)+IF(AE161&lt;0,AE161*参数!$B$13,AE161*参数!$B$12)*参数!$B$2+AQ161*参数!$B$15+AB161*参数!$B$11+AF161*参数!$B$40*参数!$B$2+AG161*参数!$B$44*参数!$B$2+AH161*参数!$B$6*参数!$B$2+AI161*参数!$B$39*参数!$B$2+AJ161*参数!$B$6*参数!$B$2+Z161*参数!$B$13-T161*参数!$B$14-AD161*参数!$B$13+IF(ISNUMBER(AU161),AU161*参数!$B$38,0)-AV161*参数!$B$41-AW161*参数!$B$14&gt;参数!$B$17,参数!$B$17+SQRT(IF(AND(F161="能力",AL161="能力持续"),(参数!$B$2-1)*参数!$B$3,0)+M161*O161*参数!$B$5*IF(AND(F161="能力",AL161="能力持续"),参数!$B$2,1)+P161*参数!$B$6*IF(AND(F161="能力",AL161="能力持续"),参数!$B$2,1)+R161*参数!$B$7*IF(AND(F161="能力",AL161="能力持续"),参数!$B$2,1)+V161*参数!$B$8+IF(X161&lt;0,X161*参数!$B$13,X161*参数!$B$39)+IF(AE161&lt;0,AE161*参数!$B$13,AE161*参数!$B$12)*参数!$B$2+AQ161*参数!$B$15+AB161*参数!$B$11+AF161*参数!$B$40*参数!$B$2+AG161*参数!$B$44*参数!$B$2+AH161*参数!$B$6*参数!$B$2+AI161*参数!$B$39*参数!$B$2+AJ161*参数!$B$6*参数!$B$2+Z161*参数!$B$13-T161*参数!$B$14-AD161*参数!$B$13+IF(ISNUMBER(AU161),AU161*参数!$B$38,0)-AV161*参数!$B$41-AW161*参数!$B$14-参数!$B$17)*参数!$B$18,IF(AND(F161="能力",AL161="能力持续"),(参数!$B$2-1)*参数!$B$3,0)+M161*O161*参数!$B$5*IF(AND(F161="能力",AL161="能力持续"),参数!$B$2,1)+P161*参数!$B$6*IF(AND(F161="能力",AL161="能力持续"),参数!$B$2,1)+R161*参数!$B$7*IF(AND(F161="能力",AL161="能力持续"),参数!$B$2,1)+V161*参数!$B$8+IF(X161&lt;0,X161*参数!$B$13,X161*参数!$B$39)+IF(AE161&lt;0,AE161*参数!$B$13,AE161*参数!$B$12)*参数!$B$2+AQ161*参数!$B$15+AB161*参数!$B$11+AF161*参数!$B$40*参数!$B$2+AG161*参数!$B$44*参数!$B$2+AH161*参数!$B$6*参数!$B$2+AI161*参数!$B$39*参数!$B$2+AJ161*参数!$B$6*参数!$B$2+Z161*参数!$B$13-T161*参数!$B$14-AD161*参数!$B$13+IF(ISNUMBER(AU161),AU161*参数!$B$38,0)-AV161*参数!$B$41-AW161*参数!$B$14),0),0)</f>
        <v>8.5</v>
      </c>
      <c r="AZ161">
        <f>AY161-MAX(AP161,0)*参数!$B$10</f>
        <v>5.5</v>
      </c>
      <c r="BA161">
        <f t="shared" si="5"/>
        <v>8.5</v>
      </c>
    </row>
    <row r="162" spans="1:53" s="12" customFormat="1" x14ac:dyDescent="0.3">
      <c r="A162" s="12">
        <v>161</v>
      </c>
      <c r="B162" s="12" t="s">
        <v>766</v>
      </c>
      <c r="C162" s="12" t="s">
        <v>767</v>
      </c>
      <c r="D162" s="12" t="s">
        <v>768</v>
      </c>
      <c r="E162" s="12" t="s">
        <v>769</v>
      </c>
      <c r="F162" s="12" t="s">
        <v>108</v>
      </c>
      <c r="G162" s="12" t="s">
        <v>14</v>
      </c>
      <c r="H162" s="12">
        <v>2</v>
      </c>
      <c r="I162" s="12">
        <v>2</v>
      </c>
      <c r="J162" s="12" t="s">
        <v>770</v>
      </c>
      <c r="L162" s="12" t="s">
        <v>111</v>
      </c>
      <c r="M162" s="12">
        <v>18</v>
      </c>
      <c r="N162" s="12">
        <v>23</v>
      </c>
      <c r="O162" s="12">
        <v>1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 t="s">
        <v>112</v>
      </c>
      <c r="AP162" s="12">
        <f t="shared" si="4"/>
        <v>2</v>
      </c>
      <c r="AQ162" s="12">
        <v>0</v>
      </c>
      <c r="AR162" s="12">
        <v>0</v>
      </c>
      <c r="AT162" s="12" t="s">
        <v>113</v>
      </c>
      <c r="AU162" s="12">
        <v>0</v>
      </c>
      <c r="AY162" s="12">
        <f>IFERROR(MAX(IF(IF(AND(F162="能力",AL162="能力持续"),(参数!$B$2-1)*参数!$B$3,0)+M162*O162*参数!$B$5*IF(AND(F162="能力",AL162="能力持续"),参数!$B$2,1)+P162*参数!$B$6*IF(AND(F162="能力",AL162="能力持续"),参数!$B$2,1)+R162*参数!$B$7*IF(AND(F162="能力",AL162="能力持续"),参数!$B$2,1)+V162*参数!$B$8+IF(X162&lt;0,X162*参数!$B$13,X162*参数!$B$39)+IF(AE162&lt;0,AE162*参数!$B$13,AE162*参数!$B$12)*参数!$B$2+AQ162*参数!$B$15+AB162*参数!$B$11+AF162*参数!$B$40*参数!$B$2+AG162*参数!$B$44*参数!$B$2+AH162*参数!$B$6*参数!$B$2+AI162*参数!$B$39*参数!$B$2+AJ162*参数!$B$6*参数!$B$2+Z162*参数!$B$13-T162*参数!$B$14-AD162*参数!$B$13+IF(ISNUMBER(AU162),AU162*参数!$B$38,0)-AV162*参数!$B$41-AW162*参数!$B$14&gt;参数!$B$17,参数!$B$17+SQRT(IF(AND(F162="能力",AL162="能力持续"),(参数!$B$2-1)*参数!$B$3,0)+M162*O162*参数!$B$5*IF(AND(F162="能力",AL162="能力持续"),参数!$B$2,1)+P162*参数!$B$6*IF(AND(F162="能力",AL162="能力持续"),参数!$B$2,1)+R162*参数!$B$7*IF(AND(F162="能力",AL162="能力持续"),参数!$B$2,1)+V162*参数!$B$8+IF(X162&lt;0,X162*参数!$B$13,X162*参数!$B$39)+IF(AE162&lt;0,AE162*参数!$B$13,AE162*参数!$B$12)*参数!$B$2+AQ162*参数!$B$15+AB162*参数!$B$11+AF162*参数!$B$40*参数!$B$2+AG162*参数!$B$44*参数!$B$2+AH162*参数!$B$6*参数!$B$2+AI162*参数!$B$39*参数!$B$2+AJ162*参数!$B$6*参数!$B$2+Z162*参数!$B$13-T162*参数!$B$14-AD162*参数!$B$13+IF(ISNUMBER(AU162),AU162*参数!$B$38,0)-AV162*参数!$B$41-AW162*参数!$B$14-参数!$B$17)*参数!$B$18,IF(AND(F162="能力",AL162="能力持续"),(参数!$B$2-1)*参数!$B$3,0)+M162*O162*参数!$B$5*IF(AND(F162="能力",AL162="能力持续"),参数!$B$2,1)+P162*参数!$B$6*IF(AND(F162="能力",AL162="能力持续"),参数!$B$2,1)+R162*参数!$B$7*IF(AND(F162="能力",AL162="能力持续"),参数!$B$2,1)+V162*参数!$B$8+IF(X162&lt;0,X162*参数!$B$13,X162*参数!$B$39)+IF(AE162&lt;0,AE162*参数!$B$13,AE162*参数!$B$12)*参数!$B$2+AQ162*参数!$B$15+AB162*参数!$B$11+AF162*参数!$B$40*参数!$B$2+AG162*参数!$B$44*参数!$B$2+AH162*参数!$B$6*参数!$B$2+AI162*参数!$B$39*参数!$B$2+AJ162*参数!$B$6*参数!$B$2+Z162*参数!$B$13-T162*参数!$B$14-AD162*参数!$B$13+IF(ISNUMBER(AU162),AU162*参数!$B$38,0)-AV162*参数!$B$41-AW162*参数!$B$14),0),0)</f>
        <v>14.242640687119286</v>
      </c>
      <c r="AZ162" s="12">
        <f>AY162-MAX(AP162,0)*参数!$B$10</f>
        <v>8.2426406871192857</v>
      </c>
      <c r="BA162" s="12">
        <f t="shared" si="5"/>
        <v>7.1213203435596428</v>
      </c>
    </row>
    <row r="163" spans="1:53" x14ac:dyDescent="0.3">
      <c r="A163">
        <v>162</v>
      </c>
      <c r="B163" t="s">
        <v>771</v>
      </c>
      <c r="C163" t="s">
        <v>767</v>
      </c>
      <c r="D163" t="s">
        <v>772</v>
      </c>
      <c r="E163" t="s">
        <v>773</v>
      </c>
      <c r="F163" t="s">
        <v>108</v>
      </c>
      <c r="G163" t="s">
        <v>14</v>
      </c>
      <c r="H163">
        <v>2</v>
      </c>
      <c r="I163">
        <v>2</v>
      </c>
      <c r="J163" t="s">
        <v>774</v>
      </c>
      <c r="L163" t="s">
        <v>111</v>
      </c>
      <c r="M163">
        <v>10</v>
      </c>
      <c r="N163">
        <v>14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112</v>
      </c>
      <c r="AP163">
        <f t="shared" si="4"/>
        <v>2</v>
      </c>
      <c r="AQ163">
        <v>0</v>
      </c>
      <c r="AR163">
        <v>0</v>
      </c>
      <c r="AT163" t="s">
        <v>113</v>
      </c>
      <c r="AU163">
        <v>0</v>
      </c>
      <c r="AY163">
        <f>IFERROR(MAX(IF(IF(AND(F163="能力",AL163="能力持续"),(参数!$B$2-1)*参数!$B$3,0)+M163*O163*参数!$B$5*IF(AND(F163="能力",AL163="能力持续"),参数!$B$2,1)+P163*参数!$B$6*IF(AND(F163="能力",AL163="能力持续"),参数!$B$2,1)+R163*参数!$B$7*IF(AND(F163="能力",AL163="能力持续"),参数!$B$2,1)+V163*参数!$B$8+IF(X163&lt;0,X163*参数!$B$13,X163*参数!$B$39)+IF(AE163&lt;0,AE163*参数!$B$13,AE163*参数!$B$12)*参数!$B$2+AQ163*参数!$B$15+AB163*参数!$B$11+AF163*参数!$B$40*参数!$B$2+AG163*参数!$B$44*参数!$B$2+AH163*参数!$B$6*参数!$B$2+AI163*参数!$B$39*参数!$B$2+AJ163*参数!$B$6*参数!$B$2+Z163*参数!$B$13-T163*参数!$B$14-AD163*参数!$B$13+IF(ISNUMBER(AU163),AU163*参数!$B$38,0)-AV163*参数!$B$41-AW163*参数!$B$14&gt;参数!$B$17,参数!$B$17+SQRT(IF(AND(F163="能力",AL163="能力持续"),(参数!$B$2-1)*参数!$B$3,0)+M163*O163*参数!$B$5*IF(AND(F163="能力",AL163="能力持续"),参数!$B$2,1)+P163*参数!$B$6*IF(AND(F163="能力",AL163="能力持续"),参数!$B$2,1)+R163*参数!$B$7*IF(AND(F163="能力",AL163="能力持续"),参数!$B$2,1)+V163*参数!$B$8+IF(X163&lt;0,X163*参数!$B$13,X163*参数!$B$39)+IF(AE163&lt;0,AE163*参数!$B$13,AE163*参数!$B$12)*参数!$B$2+AQ163*参数!$B$15+AB163*参数!$B$11+AF163*参数!$B$40*参数!$B$2+AG163*参数!$B$44*参数!$B$2+AH163*参数!$B$6*参数!$B$2+AI163*参数!$B$39*参数!$B$2+AJ163*参数!$B$6*参数!$B$2+Z163*参数!$B$13-T163*参数!$B$14-AD163*参数!$B$13+IF(ISNUMBER(AU163),AU163*参数!$B$38,0)-AV163*参数!$B$41-AW163*参数!$B$14-参数!$B$17)*参数!$B$18,IF(AND(F163="能力",AL163="能力持续"),(参数!$B$2-1)*参数!$B$3,0)+M163*O163*参数!$B$5*IF(AND(F163="能力",AL163="能力持续"),参数!$B$2,1)+P163*参数!$B$6*IF(AND(F163="能力",AL163="能力持续"),参数!$B$2,1)+R163*参数!$B$7*IF(AND(F163="能力",AL163="能力持续"),参数!$B$2,1)+V163*参数!$B$8+IF(X163&lt;0,X163*参数!$B$13,X163*参数!$B$39)+IF(AE163&lt;0,AE163*参数!$B$13,AE163*参数!$B$12)*参数!$B$2+AQ163*参数!$B$15+AB163*参数!$B$11+AF163*参数!$B$40*参数!$B$2+AG163*参数!$B$44*参数!$B$2+AH163*参数!$B$6*参数!$B$2+AI163*参数!$B$39*参数!$B$2+AJ163*参数!$B$6*参数!$B$2+Z163*参数!$B$13-T163*参数!$B$14-AD163*参数!$B$13+IF(ISNUMBER(AU163),AU163*参数!$B$38,0)-AV163*参数!$B$41-AW163*参数!$B$14),0),0)</f>
        <v>10</v>
      </c>
      <c r="AZ163">
        <f>AY163-MAX(AP163,0)*参数!$B$10</f>
        <v>4</v>
      </c>
      <c r="BA163">
        <f t="shared" si="5"/>
        <v>5</v>
      </c>
    </row>
    <row r="164" spans="1:53" x14ac:dyDescent="0.3">
      <c r="A164">
        <v>163</v>
      </c>
      <c r="B164" t="s">
        <v>775</v>
      </c>
      <c r="C164" t="s">
        <v>767</v>
      </c>
      <c r="D164" t="s">
        <v>776</v>
      </c>
      <c r="E164" t="s">
        <v>777</v>
      </c>
      <c r="F164" t="s">
        <v>108</v>
      </c>
      <c r="G164" t="s">
        <v>10</v>
      </c>
      <c r="H164">
        <v>1</v>
      </c>
      <c r="I164">
        <v>1</v>
      </c>
      <c r="J164" t="s">
        <v>778</v>
      </c>
      <c r="L164" t="s">
        <v>111</v>
      </c>
      <c r="M164">
        <f>7+3</f>
        <v>10</v>
      </c>
      <c r="N164">
        <f>10+3</f>
        <v>13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 t="s">
        <v>112</v>
      </c>
      <c r="AP164">
        <f t="shared" si="4"/>
        <v>1</v>
      </c>
      <c r="AQ164">
        <v>0</v>
      </c>
      <c r="AR164">
        <v>0</v>
      </c>
      <c r="AT164" t="s">
        <v>113</v>
      </c>
      <c r="AU164">
        <v>0</v>
      </c>
      <c r="AY164">
        <f>IFERROR(MAX(IF(IF(AND(F164="能力",AL164="能力持续"),(参数!$B$2-1)*参数!$B$3,0)+M164*O164*参数!$B$5*IF(AND(F164="能力",AL164="能力持续"),参数!$B$2,1)+P164*参数!$B$6*IF(AND(F164="能力",AL164="能力持续"),参数!$B$2,1)+R164*参数!$B$7*IF(AND(F164="能力",AL164="能力持续"),参数!$B$2,1)+V164*参数!$B$8+IF(X164&lt;0,X164*参数!$B$13,X164*参数!$B$39)+IF(AE164&lt;0,AE164*参数!$B$13,AE164*参数!$B$12)*参数!$B$2+AQ164*参数!$B$15+AB164*参数!$B$11+AF164*参数!$B$40*参数!$B$2+AG164*参数!$B$44*参数!$B$2+AH164*参数!$B$6*参数!$B$2+AI164*参数!$B$39*参数!$B$2+AJ164*参数!$B$6*参数!$B$2+Z164*参数!$B$13-T164*参数!$B$14-AD164*参数!$B$13+IF(ISNUMBER(AU164),AU164*参数!$B$38,0)-AV164*参数!$B$41-AW164*参数!$B$14&gt;参数!$B$17,参数!$B$17+SQRT(IF(AND(F164="能力",AL164="能力持续"),(参数!$B$2-1)*参数!$B$3,0)+M164*O164*参数!$B$5*IF(AND(F164="能力",AL164="能力持续"),参数!$B$2,1)+P164*参数!$B$6*IF(AND(F164="能力",AL164="能力持续"),参数!$B$2,1)+R164*参数!$B$7*IF(AND(F164="能力",AL164="能力持续"),参数!$B$2,1)+V164*参数!$B$8+IF(X164&lt;0,X164*参数!$B$13,X164*参数!$B$39)+IF(AE164&lt;0,AE164*参数!$B$13,AE164*参数!$B$12)*参数!$B$2+AQ164*参数!$B$15+AB164*参数!$B$11+AF164*参数!$B$40*参数!$B$2+AG164*参数!$B$44*参数!$B$2+AH164*参数!$B$6*参数!$B$2+AI164*参数!$B$39*参数!$B$2+AJ164*参数!$B$6*参数!$B$2+Z164*参数!$B$13-T164*参数!$B$14-AD164*参数!$B$13+IF(ISNUMBER(AU164),AU164*参数!$B$38,0)-AV164*参数!$B$41-AW164*参数!$B$14-参数!$B$17)*参数!$B$18,IF(AND(F164="能力",AL164="能力持续"),(参数!$B$2-1)*参数!$B$3,0)+M164*O164*参数!$B$5*IF(AND(F164="能力",AL164="能力持续"),参数!$B$2,1)+P164*参数!$B$6*IF(AND(F164="能力",AL164="能力持续"),参数!$B$2,1)+R164*参数!$B$7*IF(AND(F164="能力",AL164="能力持续"),参数!$B$2,1)+V164*参数!$B$8+IF(X164&lt;0,X164*参数!$B$13,X164*参数!$B$39)+IF(AE164&lt;0,AE164*参数!$B$13,AE164*参数!$B$12)*参数!$B$2+AQ164*参数!$B$15+AB164*参数!$B$11+AF164*参数!$B$40*参数!$B$2+AG164*参数!$B$44*参数!$B$2+AH164*参数!$B$6*参数!$B$2+AI164*参数!$B$39*参数!$B$2+AJ164*参数!$B$6*参数!$B$2+Z164*参数!$B$13-T164*参数!$B$14-AD164*参数!$B$13+IF(ISNUMBER(AU164),AU164*参数!$B$38,0)-AV164*参数!$B$41-AW164*参数!$B$14),0),0)</f>
        <v>10</v>
      </c>
      <c r="AZ164">
        <f>AY164-MAX(AP164,0)*参数!$B$10</f>
        <v>7</v>
      </c>
      <c r="BA164">
        <f t="shared" si="5"/>
        <v>10</v>
      </c>
    </row>
    <row r="165" spans="1:53" x14ac:dyDescent="0.3">
      <c r="A165">
        <v>164</v>
      </c>
      <c r="B165" t="s">
        <v>779</v>
      </c>
      <c r="C165" t="s">
        <v>767</v>
      </c>
      <c r="D165" t="s">
        <v>780</v>
      </c>
      <c r="E165" t="s">
        <v>781</v>
      </c>
      <c r="F165" t="s">
        <v>108</v>
      </c>
      <c r="G165" t="s">
        <v>10</v>
      </c>
      <c r="H165">
        <v>1</v>
      </c>
      <c r="I165">
        <v>1</v>
      </c>
      <c r="J165" t="s">
        <v>782</v>
      </c>
      <c r="L165" t="s">
        <v>111</v>
      </c>
      <c r="M165">
        <v>5</v>
      </c>
      <c r="N165">
        <v>5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 t="s">
        <v>112</v>
      </c>
      <c r="AP165">
        <f t="shared" si="4"/>
        <v>1</v>
      </c>
      <c r="AQ165">
        <v>0</v>
      </c>
      <c r="AR165">
        <v>0</v>
      </c>
      <c r="AT165" t="s">
        <v>113</v>
      </c>
      <c r="AU165">
        <v>0</v>
      </c>
      <c r="AY165">
        <f>IFERROR(MAX(IF(IF(AND(F165="能力",AL165="能力持续"),(参数!$B$2-1)*参数!$B$3,0)+M165*O165*参数!$B$5*IF(AND(F165="能力",AL165="能力持续"),参数!$B$2,1)+P165*参数!$B$6*IF(AND(F165="能力",AL165="能力持续"),参数!$B$2,1)+R165*参数!$B$7*IF(AND(F165="能力",AL165="能力持续"),参数!$B$2,1)+V165*参数!$B$8+IF(X165&lt;0,X165*参数!$B$13,X165*参数!$B$39)+IF(AE165&lt;0,AE165*参数!$B$13,AE165*参数!$B$12)*参数!$B$2+AQ165*参数!$B$15+AB165*参数!$B$11+AF165*参数!$B$40*参数!$B$2+AG165*参数!$B$44*参数!$B$2+AH165*参数!$B$6*参数!$B$2+AI165*参数!$B$39*参数!$B$2+AJ165*参数!$B$6*参数!$B$2+Z165*参数!$B$13-T165*参数!$B$14-AD165*参数!$B$13+IF(ISNUMBER(AU165),AU165*参数!$B$38,0)-AV165*参数!$B$41-AW165*参数!$B$14&gt;参数!$B$17,参数!$B$17+SQRT(IF(AND(F165="能力",AL165="能力持续"),(参数!$B$2-1)*参数!$B$3,0)+M165*O165*参数!$B$5*IF(AND(F165="能力",AL165="能力持续"),参数!$B$2,1)+P165*参数!$B$6*IF(AND(F165="能力",AL165="能力持续"),参数!$B$2,1)+R165*参数!$B$7*IF(AND(F165="能力",AL165="能力持续"),参数!$B$2,1)+V165*参数!$B$8+IF(X165&lt;0,X165*参数!$B$13,X165*参数!$B$39)+IF(AE165&lt;0,AE165*参数!$B$13,AE165*参数!$B$12)*参数!$B$2+AQ165*参数!$B$15+AB165*参数!$B$11+AF165*参数!$B$40*参数!$B$2+AG165*参数!$B$44*参数!$B$2+AH165*参数!$B$6*参数!$B$2+AI165*参数!$B$39*参数!$B$2+AJ165*参数!$B$6*参数!$B$2+Z165*参数!$B$13-T165*参数!$B$14-AD165*参数!$B$13+IF(ISNUMBER(AU165),AU165*参数!$B$38,0)-AV165*参数!$B$41-AW165*参数!$B$14-参数!$B$17)*参数!$B$18,IF(AND(F165="能力",AL165="能力持续"),(参数!$B$2-1)*参数!$B$3,0)+M165*O165*参数!$B$5*IF(AND(F165="能力",AL165="能力持续"),参数!$B$2,1)+P165*参数!$B$6*IF(AND(F165="能力",AL165="能力持续"),参数!$B$2,1)+R165*参数!$B$7*IF(AND(F165="能力",AL165="能力持续"),参数!$B$2,1)+V165*参数!$B$8+IF(X165&lt;0,X165*参数!$B$13,X165*参数!$B$39)+IF(AE165&lt;0,AE165*参数!$B$13,AE165*参数!$B$12)*参数!$B$2+AQ165*参数!$B$15+AB165*参数!$B$11+AF165*参数!$B$40*参数!$B$2+AG165*参数!$B$44*参数!$B$2+AH165*参数!$B$6*参数!$B$2+AI165*参数!$B$39*参数!$B$2+AJ165*参数!$B$6*参数!$B$2+Z165*参数!$B$13-T165*参数!$B$14-AD165*参数!$B$13+IF(ISNUMBER(AU165),AU165*参数!$B$38,0)-AV165*参数!$B$41-AW165*参数!$B$14),0),0)</f>
        <v>10</v>
      </c>
      <c r="AZ165">
        <f>AY165-MAX(AP165,0)*参数!$B$10</f>
        <v>7</v>
      </c>
      <c r="BA165">
        <f t="shared" si="5"/>
        <v>10</v>
      </c>
    </row>
    <row r="166" spans="1:53" x14ac:dyDescent="0.3">
      <c r="A166">
        <v>165</v>
      </c>
      <c r="B166" t="s">
        <v>783</v>
      </c>
      <c r="C166" t="s">
        <v>767</v>
      </c>
      <c r="D166" t="s">
        <v>784</v>
      </c>
      <c r="E166" t="s">
        <v>785</v>
      </c>
      <c r="F166" t="s">
        <v>108</v>
      </c>
      <c r="G166" t="s">
        <v>10</v>
      </c>
      <c r="H166">
        <v>0</v>
      </c>
      <c r="I166">
        <v>0</v>
      </c>
      <c r="J166" t="s">
        <v>786</v>
      </c>
      <c r="L166" t="s">
        <v>111</v>
      </c>
      <c r="M166">
        <v>3</v>
      </c>
      <c r="N166">
        <v>4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 t="s">
        <v>112</v>
      </c>
      <c r="AP166">
        <f t="shared" si="4"/>
        <v>0.4</v>
      </c>
      <c r="AQ166">
        <v>0</v>
      </c>
      <c r="AR166">
        <v>0</v>
      </c>
      <c r="AT166" t="s">
        <v>113</v>
      </c>
      <c r="AU166">
        <v>0</v>
      </c>
      <c r="AY166">
        <f>IFERROR(MAX(IF(IF(AND(F166="能力",AL166="能力持续"),(参数!$B$2-1)*参数!$B$3,0)+M166*O166*参数!$B$5*IF(AND(F166="能力",AL166="能力持续"),参数!$B$2,1)+P166*参数!$B$6*IF(AND(F166="能力",AL166="能力持续"),参数!$B$2,1)+R166*参数!$B$7*IF(AND(F166="能力",AL166="能力持续"),参数!$B$2,1)+V166*参数!$B$8+IF(X166&lt;0,X166*参数!$B$13,X166*参数!$B$39)+IF(AE166&lt;0,AE166*参数!$B$13,AE166*参数!$B$12)*参数!$B$2+AQ166*参数!$B$15+AB166*参数!$B$11+AF166*参数!$B$40*参数!$B$2+AG166*参数!$B$44*参数!$B$2+AH166*参数!$B$6*参数!$B$2+AI166*参数!$B$39*参数!$B$2+AJ166*参数!$B$6*参数!$B$2+Z166*参数!$B$13-T166*参数!$B$14-AD166*参数!$B$13+IF(ISNUMBER(AU166),AU166*参数!$B$38,0)-AV166*参数!$B$41-AW166*参数!$B$14&gt;参数!$B$17,参数!$B$17+SQRT(IF(AND(F166="能力",AL166="能力持续"),(参数!$B$2-1)*参数!$B$3,0)+M166*O166*参数!$B$5*IF(AND(F166="能力",AL166="能力持续"),参数!$B$2,1)+P166*参数!$B$6*IF(AND(F166="能力",AL166="能力持续"),参数!$B$2,1)+R166*参数!$B$7*IF(AND(F166="能力",AL166="能力持续"),参数!$B$2,1)+V166*参数!$B$8+IF(X166&lt;0,X166*参数!$B$13,X166*参数!$B$39)+IF(AE166&lt;0,AE166*参数!$B$13,AE166*参数!$B$12)*参数!$B$2+AQ166*参数!$B$15+AB166*参数!$B$11+AF166*参数!$B$40*参数!$B$2+AG166*参数!$B$44*参数!$B$2+AH166*参数!$B$6*参数!$B$2+AI166*参数!$B$39*参数!$B$2+AJ166*参数!$B$6*参数!$B$2+Z166*参数!$B$13-T166*参数!$B$14-AD166*参数!$B$13+IF(ISNUMBER(AU166),AU166*参数!$B$38,0)-AV166*参数!$B$41-AW166*参数!$B$14-参数!$B$17)*参数!$B$18,IF(AND(F166="能力",AL166="能力持续"),(参数!$B$2-1)*参数!$B$3,0)+M166*O166*参数!$B$5*IF(AND(F166="能力",AL166="能力持续"),参数!$B$2,1)+P166*参数!$B$6*IF(AND(F166="能力",AL166="能力持续"),参数!$B$2,1)+R166*参数!$B$7*IF(AND(F166="能力",AL166="能力持续"),参数!$B$2,1)+V166*参数!$B$8+IF(X166&lt;0,X166*参数!$B$13,X166*参数!$B$39)+IF(AE166&lt;0,AE166*参数!$B$13,AE166*参数!$B$12)*参数!$B$2+AQ166*参数!$B$15+AB166*参数!$B$11+AF166*参数!$B$40*参数!$B$2+AG166*参数!$B$44*参数!$B$2+AH166*参数!$B$6*参数!$B$2+AI166*参数!$B$39*参数!$B$2+AJ166*参数!$B$6*参数!$B$2+Z166*参数!$B$13-T166*参数!$B$14-AD166*参数!$B$13+IF(ISNUMBER(AU166),AU166*参数!$B$38,0)-AV166*参数!$B$41-AW166*参数!$B$14),0),0)</f>
        <v>4.3</v>
      </c>
      <c r="AZ166">
        <f>AY166-MAX(AP166,0)*参数!$B$10</f>
        <v>3.0999999999999996</v>
      </c>
      <c r="BA166">
        <f t="shared" si="5"/>
        <v>10.749999999999998</v>
      </c>
    </row>
    <row r="167" spans="1:53" x14ac:dyDescent="0.3">
      <c r="A167">
        <v>166</v>
      </c>
      <c r="B167" t="s">
        <v>787</v>
      </c>
      <c r="C167" t="s">
        <v>767</v>
      </c>
      <c r="D167" t="s">
        <v>788</v>
      </c>
      <c r="E167" t="s">
        <v>789</v>
      </c>
      <c r="F167" t="s">
        <v>124</v>
      </c>
      <c r="G167" t="s">
        <v>16</v>
      </c>
      <c r="H167">
        <v>1</v>
      </c>
      <c r="I167">
        <v>1</v>
      </c>
      <c r="J167" t="s">
        <v>790</v>
      </c>
      <c r="L167" t="s">
        <v>120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5</v>
      </c>
      <c r="AJ167">
        <v>0</v>
      </c>
      <c r="AK167" t="s">
        <v>112</v>
      </c>
      <c r="AL167" t="s">
        <v>127</v>
      </c>
      <c r="AN167" t="s">
        <v>124</v>
      </c>
      <c r="AP167">
        <f t="shared" si="4"/>
        <v>1</v>
      </c>
      <c r="AQ167">
        <v>0</v>
      </c>
      <c r="AR167">
        <v>0</v>
      </c>
      <c r="AT167" t="s">
        <v>113</v>
      </c>
      <c r="AU167">
        <v>0</v>
      </c>
      <c r="AY167">
        <f>IFERROR(MAX(IF(IF(AND(F167="能力",AL167="能力持续"),(参数!$B$2-1)*参数!$B$3,0)+M167*O167*参数!$B$5*IF(AND(F167="能力",AL167="能力持续"),参数!$B$2,1)+P167*参数!$B$6*IF(AND(F167="能力",AL167="能力持续"),参数!$B$2,1)+R167*参数!$B$7*IF(AND(F167="能力",AL167="能力持续"),参数!$B$2,1)+V167*参数!$B$8+IF(X167&lt;0,X167*参数!$B$13,X167*参数!$B$39)+IF(AE167&lt;0,AE167*参数!$B$13,AE167*参数!$B$12)*参数!$B$2+AQ167*参数!$B$15+AB167*参数!$B$11+AF167*参数!$B$40*参数!$B$2+AG167*参数!$B$44*参数!$B$2+AH167*参数!$B$6*参数!$B$2+AI167*参数!$B$39*参数!$B$2+AJ167*参数!$B$6*参数!$B$2+Z167*参数!$B$13-T167*参数!$B$14-AD167*参数!$B$13+IF(ISNUMBER(AU167),AU167*参数!$B$38,0)-AV167*参数!$B$41-AW167*参数!$B$14&gt;参数!$B$17,参数!$B$17+SQRT(IF(AND(F167="能力",AL167="能力持续"),(参数!$B$2-1)*参数!$B$3,0)+M167*O167*参数!$B$5*IF(AND(F167="能力",AL167="能力持续"),参数!$B$2,1)+P167*参数!$B$6*IF(AND(F167="能力",AL167="能力持续"),参数!$B$2,1)+R167*参数!$B$7*IF(AND(F167="能力",AL167="能力持续"),参数!$B$2,1)+V167*参数!$B$8+IF(X167&lt;0,X167*参数!$B$13,X167*参数!$B$39)+IF(AE167&lt;0,AE167*参数!$B$13,AE167*参数!$B$12)*参数!$B$2+AQ167*参数!$B$15+AB167*参数!$B$11+AF167*参数!$B$40*参数!$B$2+AG167*参数!$B$44*参数!$B$2+AH167*参数!$B$6*参数!$B$2+AI167*参数!$B$39*参数!$B$2+AJ167*参数!$B$6*参数!$B$2+Z167*参数!$B$13-T167*参数!$B$14-AD167*参数!$B$13+IF(ISNUMBER(AU167),AU167*参数!$B$38,0)-AV167*参数!$B$41-AW167*参数!$B$14-参数!$B$17)*参数!$B$18,IF(AND(F167="能力",AL167="能力持续"),(参数!$B$2-1)*参数!$B$3,0)+M167*O167*参数!$B$5*IF(AND(F167="能力",AL167="能力持续"),参数!$B$2,1)+P167*参数!$B$6*IF(AND(F167="能力",AL167="能力持续"),参数!$B$2,1)+R167*参数!$B$7*IF(AND(F167="能力",AL167="能力持续"),参数!$B$2,1)+V167*参数!$B$8+IF(X167&lt;0,X167*参数!$B$13,X167*参数!$B$39)+IF(AE167&lt;0,AE167*参数!$B$13,AE167*参数!$B$12)*参数!$B$2+AQ167*参数!$B$15+AB167*参数!$B$11+AF167*参数!$B$40*参数!$B$2+AG167*参数!$B$44*参数!$B$2+AH167*参数!$B$6*参数!$B$2+AI167*参数!$B$39*参数!$B$2+AJ167*参数!$B$6*参数!$B$2+Z167*参数!$B$13-T167*参数!$B$14-AD167*参数!$B$13+IF(ISNUMBER(AU167),AU167*参数!$B$38,0)-AV167*参数!$B$41-AW167*参数!$B$14),0),0)</f>
        <v>16.640783086353597</v>
      </c>
      <c r="AZ167">
        <f>AY167-MAX(AP167,0)*参数!$B$10</f>
        <v>13.640783086353597</v>
      </c>
      <c r="BA167">
        <f t="shared" si="5"/>
        <v>16.640783086353597</v>
      </c>
    </row>
    <row r="168" spans="1:53" x14ac:dyDescent="0.3">
      <c r="A168">
        <v>167</v>
      </c>
      <c r="B168" t="s">
        <v>791</v>
      </c>
      <c r="C168" t="s">
        <v>767</v>
      </c>
      <c r="D168" t="s">
        <v>792</v>
      </c>
      <c r="E168" t="s">
        <v>793</v>
      </c>
      <c r="F168" t="s">
        <v>117</v>
      </c>
      <c r="G168" t="s">
        <v>10</v>
      </c>
      <c r="H168">
        <v>0</v>
      </c>
      <c r="I168">
        <v>0</v>
      </c>
      <c r="J168" t="s">
        <v>794</v>
      </c>
      <c r="L168" t="s">
        <v>120</v>
      </c>
      <c r="M168">
        <v>0</v>
      </c>
      <c r="N168">
        <v>0</v>
      </c>
      <c r="O168">
        <v>1</v>
      </c>
      <c r="P168">
        <v>6</v>
      </c>
      <c r="Q168">
        <v>9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112</v>
      </c>
      <c r="AP168">
        <f t="shared" si="4"/>
        <v>0.4</v>
      </c>
      <c r="AQ168">
        <v>0</v>
      </c>
      <c r="AR168">
        <v>0</v>
      </c>
      <c r="AT168" t="s">
        <v>113</v>
      </c>
      <c r="AU168">
        <v>0</v>
      </c>
      <c r="AY168">
        <f>IFERROR(MAX(IF(IF(AND(F168="能力",AL168="能力持续"),(参数!$B$2-1)*参数!$B$3,0)+M168*O168*参数!$B$5*IF(AND(F168="能力",AL168="能力持续"),参数!$B$2,1)+P168*参数!$B$6*IF(AND(F168="能力",AL168="能力持续"),参数!$B$2,1)+R168*参数!$B$7*IF(AND(F168="能力",AL168="能力持续"),参数!$B$2,1)+V168*参数!$B$8+IF(X168&lt;0,X168*参数!$B$13,X168*参数!$B$39)+IF(AE168&lt;0,AE168*参数!$B$13,AE168*参数!$B$12)*参数!$B$2+AQ168*参数!$B$15+AB168*参数!$B$11+AF168*参数!$B$40*参数!$B$2+AG168*参数!$B$44*参数!$B$2+AH168*参数!$B$6*参数!$B$2+AI168*参数!$B$39*参数!$B$2+AJ168*参数!$B$6*参数!$B$2+Z168*参数!$B$13-T168*参数!$B$14-AD168*参数!$B$13+IF(ISNUMBER(AU168),AU168*参数!$B$38,0)-AV168*参数!$B$41-AW168*参数!$B$14&gt;参数!$B$17,参数!$B$17+SQRT(IF(AND(F168="能力",AL168="能力持续"),(参数!$B$2-1)*参数!$B$3,0)+M168*O168*参数!$B$5*IF(AND(F168="能力",AL168="能力持续"),参数!$B$2,1)+P168*参数!$B$6*IF(AND(F168="能力",AL168="能力持续"),参数!$B$2,1)+R168*参数!$B$7*IF(AND(F168="能力",AL168="能力持续"),参数!$B$2,1)+V168*参数!$B$8+IF(X168&lt;0,X168*参数!$B$13,X168*参数!$B$39)+IF(AE168&lt;0,AE168*参数!$B$13,AE168*参数!$B$12)*参数!$B$2+AQ168*参数!$B$15+AB168*参数!$B$11+AF168*参数!$B$40*参数!$B$2+AG168*参数!$B$44*参数!$B$2+AH168*参数!$B$6*参数!$B$2+AI168*参数!$B$39*参数!$B$2+AJ168*参数!$B$6*参数!$B$2+Z168*参数!$B$13-T168*参数!$B$14-AD168*参数!$B$13+IF(ISNUMBER(AU168),AU168*参数!$B$38,0)-AV168*参数!$B$41-AW168*参数!$B$14-参数!$B$17)*参数!$B$18,IF(AND(F168="能力",AL168="能力持续"),(参数!$B$2-1)*参数!$B$3,0)+M168*O168*参数!$B$5*IF(AND(F168="能力",AL168="能力持续"),参数!$B$2,1)+P168*参数!$B$6*IF(AND(F168="能力",AL168="能力持续"),参数!$B$2,1)+R168*参数!$B$7*IF(AND(F168="能力",AL168="能力持续"),参数!$B$2,1)+V168*参数!$B$8+IF(X168&lt;0,X168*参数!$B$13,X168*参数!$B$39)+IF(AE168&lt;0,AE168*参数!$B$13,AE168*参数!$B$12)*参数!$B$2+AQ168*参数!$B$15+AB168*参数!$B$11+AF168*参数!$B$40*参数!$B$2+AG168*参数!$B$44*参数!$B$2+AH168*参数!$B$6*参数!$B$2+AI168*参数!$B$39*参数!$B$2+AJ168*参数!$B$6*参数!$B$2+Z168*参数!$B$13-T168*参数!$B$14-AD168*参数!$B$13+IF(ISNUMBER(AU168),AU168*参数!$B$38,0)-AV168*参数!$B$41-AW168*参数!$B$14),0),0)</f>
        <v>5.1000000000000005</v>
      </c>
      <c r="AZ168">
        <f>AY168-MAX(AP168,0)*参数!$B$10</f>
        <v>3.9000000000000004</v>
      </c>
      <c r="BA168">
        <f t="shared" si="5"/>
        <v>12.75</v>
      </c>
    </row>
    <row r="169" spans="1:53" x14ac:dyDescent="0.3">
      <c r="A169">
        <v>168</v>
      </c>
      <c r="B169" t="s">
        <v>795</v>
      </c>
      <c r="C169" t="s">
        <v>767</v>
      </c>
      <c r="D169" t="s">
        <v>796</v>
      </c>
      <c r="E169" t="s">
        <v>797</v>
      </c>
      <c r="F169" t="s">
        <v>117</v>
      </c>
      <c r="G169" t="s">
        <v>12</v>
      </c>
      <c r="H169">
        <v>0</v>
      </c>
      <c r="I169">
        <v>0</v>
      </c>
      <c r="J169" t="s">
        <v>798</v>
      </c>
      <c r="L169" t="s">
        <v>120</v>
      </c>
      <c r="M169">
        <v>0</v>
      </c>
      <c r="N169">
        <v>0</v>
      </c>
      <c r="O169">
        <v>1</v>
      </c>
      <c r="P169">
        <v>10</v>
      </c>
      <c r="Q169">
        <v>13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112</v>
      </c>
      <c r="AP169">
        <f t="shared" si="4"/>
        <v>0.4</v>
      </c>
      <c r="AQ169">
        <v>0</v>
      </c>
      <c r="AR169">
        <v>0</v>
      </c>
      <c r="AT169" t="s">
        <v>113</v>
      </c>
      <c r="AU169">
        <v>0</v>
      </c>
      <c r="AY169">
        <f>IFERROR(MAX(IF(IF(AND(F169="能力",AL169="能力持续"),(参数!$B$2-1)*参数!$B$3,0)+M169*O169*参数!$B$5*IF(AND(F169="能力",AL169="能力持续"),参数!$B$2,1)+P169*参数!$B$6*IF(AND(F169="能力",AL169="能力持续"),参数!$B$2,1)+R169*参数!$B$7*IF(AND(F169="能力",AL169="能力持续"),参数!$B$2,1)+V169*参数!$B$8+IF(X169&lt;0,X169*参数!$B$13,X169*参数!$B$39)+IF(AE169&lt;0,AE169*参数!$B$13,AE169*参数!$B$12)*参数!$B$2+AQ169*参数!$B$15+AB169*参数!$B$11+AF169*参数!$B$40*参数!$B$2+AG169*参数!$B$44*参数!$B$2+AH169*参数!$B$6*参数!$B$2+AI169*参数!$B$39*参数!$B$2+AJ169*参数!$B$6*参数!$B$2+Z169*参数!$B$13-T169*参数!$B$14-AD169*参数!$B$13+IF(ISNUMBER(AU169),AU169*参数!$B$38,0)-AV169*参数!$B$41-AW169*参数!$B$14&gt;参数!$B$17,参数!$B$17+SQRT(IF(AND(F169="能力",AL169="能力持续"),(参数!$B$2-1)*参数!$B$3,0)+M169*O169*参数!$B$5*IF(AND(F169="能力",AL169="能力持续"),参数!$B$2,1)+P169*参数!$B$6*IF(AND(F169="能力",AL169="能力持续"),参数!$B$2,1)+R169*参数!$B$7*IF(AND(F169="能力",AL169="能力持续"),参数!$B$2,1)+V169*参数!$B$8+IF(X169&lt;0,X169*参数!$B$13,X169*参数!$B$39)+IF(AE169&lt;0,AE169*参数!$B$13,AE169*参数!$B$12)*参数!$B$2+AQ169*参数!$B$15+AB169*参数!$B$11+AF169*参数!$B$40*参数!$B$2+AG169*参数!$B$44*参数!$B$2+AH169*参数!$B$6*参数!$B$2+AI169*参数!$B$39*参数!$B$2+AJ169*参数!$B$6*参数!$B$2+Z169*参数!$B$13-T169*参数!$B$14-AD169*参数!$B$13+IF(ISNUMBER(AU169),AU169*参数!$B$38,0)-AV169*参数!$B$41-AW169*参数!$B$14-参数!$B$17)*参数!$B$18,IF(AND(F169="能力",AL169="能力持续"),(参数!$B$2-1)*参数!$B$3,0)+M169*O169*参数!$B$5*IF(AND(F169="能力",AL169="能力持续"),参数!$B$2,1)+P169*参数!$B$6*IF(AND(F169="能力",AL169="能力持续"),参数!$B$2,1)+R169*参数!$B$7*IF(AND(F169="能力",AL169="能力持续"),参数!$B$2,1)+V169*参数!$B$8+IF(X169&lt;0,X169*参数!$B$13,X169*参数!$B$39)+IF(AE169&lt;0,AE169*参数!$B$13,AE169*参数!$B$12)*参数!$B$2+AQ169*参数!$B$15+AB169*参数!$B$11+AF169*参数!$B$40*参数!$B$2+AG169*参数!$B$44*参数!$B$2+AH169*参数!$B$6*参数!$B$2+AI169*参数!$B$39*参数!$B$2+AJ169*参数!$B$6*参数!$B$2+Z169*参数!$B$13-T169*参数!$B$14-AD169*参数!$B$13+IF(ISNUMBER(AU169),AU169*参数!$B$38,0)-AV169*参数!$B$41-AW169*参数!$B$14),0),0)</f>
        <v>11.5</v>
      </c>
      <c r="AZ169">
        <f>AY169-MAX(AP169,0)*参数!$B$10</f>
        <v>10.3</v>
      </c>
      <c r="BA169">
        <f t="shared" si="5"/>
        <v>28.75</v>
      </c>
    </row>
    <row r="170" spans="1:53" x14ac:dyDescent="0.3">
      <c r="A170">
        <v>169</v>
      </c>
      <c r="B170" t="s">
        <v>799</v>
      </c>
      <c r="C170" t="s">
        <v>767</v>
      </c>
      <c r="D170" t="s">
        <v>800</v>
      </c>
      <c r="E170" t="s">
        <v>801</v>
      </c>
      <c r="F170" t="s">
        <v>124</v>
      </c>
      <c r="G170" t="s">
        <v>14</v>
      </c>
      <c r="H170">
        <v>2</v>
      </c>
      <c r="I170">
        <v>2</v>
      </c>
      <c r="J170" t="s">
        <v>802</v>
      </c>
      <c r="L170" t="s">
        <v>120</v>
      </c>
      <c r="M170">
        <v>0</v>
      </c>
      <c r="N170">
        <v>0</v>
      </c>
      <c r="O170">
        <v>1</v>
      </c>
      <c r="P170">
        <v>20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112</v>
      </c>
      <c r="AN170" t="s">
        <v>124</v>
      </c>
      <c r="AP170">
        <f t="shared" si="4"/>
        <v>2</v>
      </c>
      <c r="AQ170">
        <v>0</v>
      </c>
      <c r="AR170">
        <v>0</v>
      </c>
      <c r="AT170" t="s">
        <v>113</v>
      </c>
      <c r="AU170">
        <v>0</v>
      </c>
      <c r="AY170">
        <f>IFERROR(MAX(IF(IF(AND(F170="能力",AL170="能力持续"),(参数!$B$2-1)*参数!$B$3,0)+M170*O170*参数!$B$5*IF(AND(F170="能力",AL170="能力持续"),参数!$B$2,1)+P170*参数!$B$6*IF(AND(F170="能力",AL170="能力持续"),参数!$B$2,1)+R170*参数!$B$7*IF(AND(F170="能力",AL170="能力持续"),参数!$B$2,1)+V170*参数!$B$8+IF(X170&lt;0,X170*参数!$B$13,X170*参数!$B$39)+IF(AE170&lt;0,AE170*参数!$B$13,AE170*参数!$B$12)*参数!$B$2+AQ170*参数!$B$15+AB170*参数!$B$11+AF170*参数!$B$40*参数!$B$2+AG170*参数!$B$44*参数!$B$2+AH170*参数!$B$6*参数!$B$2+AI170*参数!$B$39*参数!$B$2+AJ170*参数!$B$6*参数!$B$2+Z170*参数!$B$13-T170*参数!$B$14-AD170*参数!$B$13+IF(ISNUMBER(AU170),AU170*参数!$B$38,0)-AV170*参数!$B$41-AW170*参数!$B$14&gt;参数!$B$17,参数!$B$17+SQRT(IF(AND(F170="能力",AL170="能力持续"),(参数!$B$2-1)*参数!$B$3,0)+M170*O170*参数!$B$5*IF(AND(F170="能力",AL170="能力持续"),参数!$B$2,1)+P170*参数!$B$6*IF(AND(F170="能力",AL170="能力持续"),参数!$B$2,1)+R170*参数!$B$7*IF(AND(F170="能力",AL170="能力持续"),参数!$B$2,1)+V170*参数!$B$8+IF(X170&lt;0,X170*参数!$B$13,X170*参数!$B$39)+IF(AE170&lt;0,AE170*参数!$B$13,AE170*参数!$B$12)*参数!$B$2+AQ170*参数!$B$15+AB170*参数!$B$11+AF170*参数!$B$40*参数!$B$2+AG170*参数!$B$44*参数!$B$2+AH170*参数!$B$6*参数!$B$2+AI170*参数!$B$39*参数!$B$2+AJ170*参数!$B$6*参数!$B$2+Z170*参数!$B$13-T170*参数!$B$14-AD170*参数!$B$13+IF(ISNUMBER(AU170),AU170*参数!$B$38,0)-AV170*参数!$B$41-AW170*参数!$B$14-参数!$B$17)*参数!$B$18,IF(AND(F170="能力",AL170="能力持续"),(参数!$B$2-1)*参数!$B$3,0)+M170*O170*参数!$B$5*IF(AND(F170="能力",AL170="能力持续"),参数!$B$2,1)+P170*参数!$B$6*IF(AND(F170="能力",AL170="能力持续"),参数!$B$2,1)+R170*参数!$B$7*IF(AND(F170="能力",AL170="能力持续"),参数!$B$2,1)+V170*参数!$B$8+IF(X170&lt;0,X170*参数!$B$13,X170*参数!$B$39)+IF(AE170&lt;0,AE170*参数!$B$13,AE170*参数!$B$12)*参数!$B$2+AQ170*参数!$B$15+AB170*参数!$B$11+AF170*参数!$B$40*参数!$B$2+AG170*参数!$B$44*参数!$B$2+AH170*参数!$B$6*参数!$B$2+AI170*参数!$B$39*参数!$B$2+AJ170*参数!$B$6*参数!$B$2+Z170*参数!$B$13-T170*参数!$B$14-AD170*参数!$B$13+IF(ISNUMBER(AU170),AU170*参数!$B$38,0)-AV170*参数!$B$41-AW170*参数!$B$14),0),0)</f>
        <v>15.196152422706632</v>
      </c>
      <c r="AZ170">
        <f>AY170-MAX(AP170,0)*参数!$B$10</f>
        <v>9.196152422706632</v>
      </c>
      <c r="BA170">
        <f t="shared" si="5"/>
        <v>7.598076211353316</v>
      </c>
    </row>
    <row r="171" spans="1:53" x14ac:dyDescent="0.3">
      <c r="A171">
        <v>170</v>
      </c>
      <c r="B171" t="s">
        <v>803</v>
      </c>
      <c r="C171" t="s">
        <v>767</v>
      </c>
      <c r="D171" t="s">
        <v>804</v>
      </c>
      <c r="E171" t="s">
        <v>805</v>
      </c>
      <c r="F171" t="s">
        <v>124</v>
      </c>
      <c r="G171" t="s">
        <v>12</v>
      </c>
      <c r="H171">
        <v>2</v>
      </c>
      <c r="I171">
        <v>2</v>
      </c>
      <c r="J171" t="s">
        <v>806</v>
      </c>
      <c r="L171" t="s">
        <v>120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0</v>
      </c>
      <c r="AG171">
        <v>0</v>
      </c>
      <c r="AH171">
        <v>2</v>
      </c>
      <c r="AI171">
        <v>0</v>
      </c>
      <c r="AJ171">
        <v>0</v>
      </c>
      <c r="AK171" t="s">
        <v>112</v>
      </c>
      <c r="AN171" t="s">
        <v>124</v>
      </c>
      <c r="AP171">
        <f t="shared" si="4"/>
        <v>2</v>
      </c>
      <c r="AQ171">
        <v>0</v>
      </c>
      <c r="AR171">
        <v>0</v>
      </c>
      <c r="AT171" t="s">
        <v>113</v>
      </c>
      <c r="AU171">
        <v>0</v>
      </c>
      <c r="AY171">
        <f>IFERROR(MAX(IF(IF(AND(F171="能力",AL171="能力持续"),(参数!$B$2-1)*参数!$B$3,0)+M171*O171*参数!$B$5*IF(AND(F171="能力",AL171="能力持续"),参数!$B$2,1)+P171*参数!$B$6*IF(AND(F171="能力",AL171="能力持续"),参数!$B$2,1)+R171*参数!$B$7*IF(AND(F171="能力",AL171="能力持续"),参数!$B$2,1)+V171*参数!$B$8+IF(X171&lt;0,X171*参数!$B$13,X171*参数!$B$39)+IF(AE171&lt;0,AE171*参数!$B$13,AE171*参数!$B$12)*参数!$B$2+AQ171*参数!$B$15+AB171*参数!$B$11+AF171*参数!$B$40*参数!$B$2+AG171*参数!$B$44*参数!$B$2+AH171*参数!$B$6*参数!$B$2+AI171*参数!$B$39*参数!$B$2+AJ171*参数!$B$6*参数!$B$2+Z171*参数!$B$13-T171*参数!$B$14-AD171*参数!$B$13+IF(ISNUMBER(AU171),AU171*参数!$B$38,0)-AV171*参数!$B$41-AW171*参数!$B$14&gt;参数!$B$17,参数!$B$17+SQRT(IF(AND(F171="能力",AL171="能力持续"),(参数!$B$2-1)*参数!$B$3,0)+M171*O171*参数!$B$5*IF(AND(F171="能力",AL171="能力持续"),参数!$B$2,1)+P171*参数!$B$6*IF(AND(F171="能力",AL171="能力持续"),参数!$B$2,1)+R171*参数!$B$7*IF(AND(F171="能力",AL171="能力持续"),参数!$B$2,1)+V171*参数!$B$8+IF(X171&lt;0,X171*参数!$B$13,X171*参数!$B$39)+IF(AE171&lt;0,AE171*参数!$B$13,AE171*参数!$B$12)*参数!$B$2+AQ171*参数!$B$15+AB171*参数!$B$11+AF171*参数!$B$40*参数!$B$2+AG171*参数!$B$44*参数!$B$2+AH171*参数!$B$6*参数!$B$2+AI171*参数!$B$39*参数!$B$2+AJ171*参数!$B$6*参数!$B$2+Z171*参数!$B$13-T171*参数!$B$14-AD171*参数!$B$13+IF(ISNUMBER(AU171),AU171*参数!$B$38,0)-AV171*参数!$B$41-AW171*参数!$B$14-参数!$B$17)*参数!$B$18,IF(AND(F171="能力",AL171="能力持续"),(参数!$B$2-1)*参数!$B$3,0)+M171*O171*参数!$B$5*IF(AND(F171="能力",AL171="能力持续"),参数!$B$2,1)+P171*参数!$B$6*IF(AND(F171="能力",AL171="能力持续"),参数!$B$2,1)+R171*参数!$B$7*IF(AND(F171="能力",AL171="能力持续"),参数!$B$2,1)+V171*参数!$B$8+IF(X171&lt;0,X171*参数!$B$13,X171*参数!$B$39)+IF(AE171&lt;0,AE171*参数!$B$13,AE171*参数!$B$12)*参数!$B$2+AQ171*参数!$B$15+AB171*参数!$B$11+AF171*参数!$B$40*参数!$B$2+AG171*参数!$B$44*参数!$B$2+AH171*参数!$B$6*参数!$B$2+AI171*参数!$B$39*参数!$B$2+AJ171*参数!$B$6*参数!$B$2+Z171*参数!$B$13-T171*参数!$B$14-AD171*参数!$B$13+IF(ISNUMBER(AU171),AU171*参数!$B$38,0)-AV171*参数!$B$41-AW171*参数!$B$14),0),0)</f>
        <v>14.347413023856831</v>
      </c>
      <c r="AZ171">
        <f>AY171-MAX(AP171,0)*参数!$B$10</f>
        <v>8.3474130238568307</v>
      </c>
      <c r="BA171">
        <f t="shared" si="5"/>
        <v>7.1737065119284154</v>
      </c>
    </row>
    <row r="172" spans="1:53" x14ac:dyDescent="0.3">
      <c r="A172">
        <v>171</v>
      </c>
      <c r="B172" t="s">
        <v>807</v>
      </c>
      <c r="C172" t="s">
        <v>767</v>
      </c>
      <c r="D172" t="s">
        <v>808</v>
      </c>
      <c r="E172" t="s">
        <v>809</v>
      </c>
      <c r="F172" t="s">
        <v>124</v>
      </c>
      <c r="G172" t="s">
        <v>12</v>
      </c>
      <c r="H172">
        <v>1</v>
      </c>
      <c r="I172">
        <v>1</v>
      </c>
      <c r="J172" t="s">
        <v>810</v>
      </c>
      <c r="L172" t="s">
        <v>120</v>
      </c>
      <c r="M172">
        <f>2*参数!$B$45</f>
        <v>16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112</v>
      </c>
      <c r="AN172" t="s">
        <v>124</v>
      </c>
      <c r="AP172">
        <f t="shared" si="4"/>
        <v>1</v>
      </c>
      <c r="AQ172">
        <v>0</v>
      </c>
      <c r="AR172">
        <v>0</v>
      </c>
      <c r="AT172" t="s">
        <v>113</v>
      </c>
      <c r="AU172">
        <v>0</v>
      </c>
      <c r="AY172">
        <f>IFERROR(MAX(IF(IF(AND(F172="能力",AL172="能力持续"),(参数!$B$2-1)*参数!$B$3,0)+M172*O172*参数!$B$5*IF(AND(F172="能力",AL172="能力持续"),参数!$B$2,1)+P172*参数!$B$6*IF(AND(F172="能力",AL172="能力持续"),参数!$B$2,1)+R172*参数!$B$7*IF(AND(F172="能力",AL172="能力持续"),参数!$B$2,1)+V172*参数!$B$8+IF(X172&lt;0,X172*参数!$B$13,X172*参数!$B$39)+IF(AE172&lt;0,AE172*参数!$B$13,AE172*参数!$B$12)*参数!$B$2+AQ172*参数!$B$15+AB172*参数!$B$11+AF172*参数!$B$40*参数!$B$2+AG172*参数!$B$44*参数!$B$2+AH172*参数!$B$6*参数!$B$2+AI172*参数!$B$39*参数!$B$2+AJ172*参数!$B$6*参数!$B$2+Z172*参数!$B$13-T172*参数!$B$14-AD172*参数!$B$13+IF(ISNUMBER(AU172),AU172*参数!$B$38,0)-AV172*参数!$B$41-AW172*参数!$B$14&gt;参数!$B$17,参数!$B$17+SQRT(IF(AND(F172="能力",AL172="能力持续"),(参数!$B$2-1)*参数!$B$3,0)+M172*O172*参数!$B$5*IF(AND(F172="能力",AL172="能力持续"),参数!$B$2,1)+P172*参数!$B$6*IF(AND(F172="能力",AL172="能力持续"),参数!$B$2,1)+R172*参数!$B$7*IF(AND(F172="能力",AL172="能力持续"),参数!$B$2,1)+V172*参数!$B$8+IF(X172&lt;0,X172*参数!$B$13,X172*参数!$B$39)+IF(AE172&lt;0,AE172*参数!$B$13,AE172*参数!$B$12)*参数!$B$2+AQ172*参数!$B$15+AB172*参数!$B$11+AF172*参数!$B$40*参数!$B$2+AG172*参数!$B$44*参数!$B$2+AH172*参数!$B$6*参数!$B$2+AI172*参数!$B$39*参数!$B$2+AJ172*参数!$B$6*参数!$B$2+Z172*参数!$B$13-T172*参数!$B$14-AD172*参数!$B$13+IF(ISNUMBER(AU172),AU172*参数!$B$38,0)-AV172*参数!$B$41-AW172*参数!$B$14-参数!$B$17)*参数!$B$18,IF(AND(F172="能力",AL172="能力持续"),(参数!$B$2-1)*参数!$B$3,0)+M172*O172*参数!$B$5*IF(AND(F172="能力",AL172="能力持续"),参数!$B$2,1)+P172*参数!$B$6*IF(AND(F172="能力",AL172="能力持续"),参数!$B$2,1)+R172*参数!$B$7*IF(AND(F172="能力",AL172="能力持续"),参数!$B$2,1)+V172*参数!$B$8+IF(X172&lt;0,X172*参数!$B$13,X172*参数!$B$39)+IF(AE172&lt;0,AE172*参数!$B$13,AE172*参数!$B$12)*参数!$B$2+AQ172*参数!$B$15+AB172*参数!$B$11+AF172*参数!$B$40*参数!$B$2+AG172*参数!$B$44*参数!$B$2+AH172*参数!$B$6*参数!$B$2+AI172*参数!$B$39*参数!$B$2+AJ172*参数!$B$6*参数!$B$2+Z172*参数!$B$13-T172*参数!$B$14-AD172*参数!$B$13+IF(ISNUMBER(AU172),AU172*参数!$B$38,0)-AV172*参数!$B$41-AW172*参数!$B$14),0),0)</f>
        <v>13.674234614174766</v>
      </c>
      <c r="AZ172">
        <f>AY172-MAX(AP172,0)*参数!$B$10</f>
        <v>10.674234614174766</v>
      </c>
      <c r="BA172">
        <f t="shared" si="5"/>
        <v>13.674234614174766</v>
      </c>
    </row>
    <row r="173" spans="1:53" x14ac:dyDescent="0.3">
      <c r="A173">
        <v>172</v>
      </c>
      <c r="B173" t="s">
        <v>811</v>
      </c>
      <c r="C173" t="s">
        <v>767</v>
      </c>
      <c r="D173" t="s">
        <v>812</v>
      </c>
      <c r="E173" t="s">
        <v>813</v>
      </c>
      <c r="F173" t="s">
        <v>117</v>
      </c>
      <c r="G173" t="s">
        <v>12</v>
      </c>
      <c r="H173">
        <v>1</v>
      </c>
      <c r="I173">
        <v>1</v>
      </c>
      <c r="J173" t="s">
        <v>814</v>
      </c>
      <c r="L173" t="s">
        <v>120</v>
      </c>
      <c r="M173">
        <f>1*参数!$B$45</f>
        <v>8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t="s">
        <v>112</v>
      </c>
      <c r="AP173">
        <f t="shared" si="4"/>
        <v>1</v>
      </c>
      <c r="AQ173">
        <v>0</v>
      </c>
      <c r="AR173">
        <v>0</v>
      </c>
      <c r="AT173" t="s">
        <v>113</v>
      </c>
      <c r="AU173">
        <v>0</v>
      </c>
      <c r="AY173">
        <f>IFERROR(MAX(IF(IF(AND(F173="能力",AL173="能力持续"),(参数!$B$2-1)*参数!$B$3,0)+M173*O173*参数!$B$5*IF(AND(F173="能力",AL173="能力持续"),参数!$B$2,1)+P173*参数!$B$6*IF(AND(F173="能力",AL173="能力持续"),参数!$B$2,1)+R173*参数!$B$7*IF(AND(F173="能力",AL173="能力持续"),参数!$B$2,1)+V173*参数!$B$8+IF(X173&lt;0,X173*参数!$B$13,X173*参数!$B$39)+IF(AE173&lt;0,AE173*参数!$B$13,AE173*参数!$B$12)*参数!$B$2+AQ173*参数!$B$15+AB173*参数!$B$11+AF173*参数!$B$40*参数!$B$2+AG173*参数!$B$44*参数!$B$2+AH173*参数!$B$6*参数!$B$2+AI173*参数!$B$39*参数!$B$2+AJ173*参数!$B$6*参数!$B$2+Z173*参数!$B$13-T173*参数!$B$14-AD173*参数!$B$13+IF(ISNUMBER(AU173),AU173*参数!$B$38,0)-AV173*参数!$B$41-AW173*参数!$B$14&gt;参数!$B$17,参数!$B$17+SQRT(IF(AND(F173="能力",AL173="能力持续"),(参数!$B$2-1)*参数!$B$3,0)+M173*O173*参数!$B$5*IF(AND(F173="能力",AL173="能力持续"),参数!$B$2,1)+P173*参数!$B$6*IF(AND(F173="能力",AL173="能力持续"),参数!$B$2,1)+R173*参数!$B$7*IF(AND(F173="能力",AL173="能力持续"),参数!$B$2,1)+V173*参数!$B$8+IF(X173&lt;0,X173*参数!$B$13,X173*参数!$B$39)+IF(AE173&lt;0,AE173*参数!$B$13,AE173*参数!$B$12)*参数!$B$2+AQ173*参数!$B$15+AB173*参数!$B$11+AF173*参数!$B$40*参数!$B$2+AG173*参数!$B$44*参数!$B$2+AH173*参数!$B$6*参数!$B$2+AI173*参数!$B$39*参数!$B$2+AJ173*参数!$B$6*参数!$B$2+Z173*参数!$B$13-T173*参数!$B$14-AD173*参数!$B$13+IF(ISNUMBER(AU173),AU173*参数!$B$38,0)-AV173*参数!$B$41-AW173*参数!$B$14-参数!$B$17)*参数!$B$18,IF(AND(F173="能力",AL173="能力持续"),(参数!$B$2-1)*参数!$B$3,0)+M173*O173*参数!$B$5*IF(AND(F173="能力",AL173="能力持续"),参数!$B$2,1)+P173*参数!$B$6*IF(AND(F173="能力",AL173="能力持续"),参数!$B$2,1)+R173*参数!$B$7*IF(AND(F173="能力",AL173="能力持续"),参数!$B$2,1)+V173*参数!$B$8+IF(X173&lt;0,X173*参数!$B$13,X173*参数!$B$39)+IF(AE173&lt;0,AE173*参数!$B$13,AE173*参数!$B$12)*参数!$B$2+AQ173*参数!$B$15+AB173*参数!$B$11+AF173*参数!$B$40*参数!$B$2+AG173*参数!$B$44*参数!$B$2+AH173*参数!$B$6*参数!$B$2+AI173*参数!$B$39*参数!$B$2+AJ173*参数!$B$6*参数!$B$2+Z173*参数!$B$13-T173*参数!$B$14-AD173*参数!$B$13+IF(ISNUMBER(AU173),AU173*参数!$B$38,0)-AV173*参数!$B$41-AW173*参数!$B$14),0),0)</f>
        <v>8</v>
      </c>
      <c r="AZ173">
        <f>AY173-MAX(AP173,0)*参数!$B$10</f>
        <v>5</v>
      </c>
      <c r="BA173">
        <f t="shared" si="5"/>
        <v>8</v>
      </c>
    </row>
    <row r="174" spans="1:53" x14ac:dyDescent="0.3">
      <c r="A174">
        <v>173</v>
      </c>
      <c r="B174" t="s">
        <v>815</v>
      </c>
      <c r="C174" t="s">
        <v>767</v>
      </c>
      <c r="D174" t="s">
        <v>816</v>
      </c>
      <c r="E174" t="s">
        <v>817</v>
      </c>
      <c r="F174" t="s">
        <v>117</v>
      </c>
      <c r="G174" t="s">
        <v>10</v>
      </c>
      <c r="H174">
        <v>1</v>
      </c>
      <c r="I174">
        <v>1</v>
      </c>
      <c r="J174" t="s">
        <v>818</v>
      </c>
      <c r="L174" t="s">
        <v>120</v>
      </c>
      <c r="M174">
        <v>0</v>
      </c>
      <c r="N174">
        <v>0</v>
      </c>
      <c r="O174">
        <v>1</v>
      </c>
      <c r="P174">
        <v>7</v>
      </c>
      <c r="Q174">
        <v>10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 t="s">
        <v>112</v>
      </c>
      <c r="AP174">
        <f t="shared" si="4"/>
        <v>0.4</v>
      </c>
      <c r="AQ174">
        <v>0</v>
      </c>
      <c r="AR174">
        <v>0</v>
      </c>
      <c r="AT174" t="s">
        <v>113</v>
      </c>
      <c r="AU174">
        <v>0</v>
      </c>
      <c r="AY174">
        <f>IFERROR(MAX(IF(IF(AND(F174="能力",AL174="能力持续"),(参数!$B$2-1)*参数!$B$3,0)+M174*O174*参数!$B$5*IF(AND(F174="能力",AL174="能力持续"),参数!$B$2,1)+P174*参数!$B$6*IF(AND(F174="能力",AL174="能力持续"),参数!$B$2,1)+R174*参数!$B$7*IF(AND(F174="能力",AL174="能力持续"),参数!$B$2,1)+V174*参数!$B$8+IF(X174&lt;0,X174*参数!$B$13,X174*参数!$B$39)+IF(AE174&lt;0,AE174*参数!$B$13,AE174*参数!$B$12)*参数!$B$2+AQ174*参数!$B$15+AB174*参数!$B$11+AF174*参数!$B$40*参数!$B$2+AG174*参数!$B$44*参数!$B$2+AH174*参数!$B$6*参数!$B$2+AI174*参数!$B$39*参数!$B$2+AJ174*参数!$B$6*参数!$B$2+Z174*参数!$B$13-T174*参数!$B$14-AD174*参数!$B$13+IF(ISNUMBER(AU174),AU174*参数!$B$38,0)-AV174*参数!$B$41-AW174*参数!$B$14&gt;参数!$B$17,参数!$B$17+SQRT(IF(AND(F174="能力",AL174="能力持续"),(参数!$B$2-1)*参数!$B$3,0)+M174*O174*参数!$B$5*IF(AND(F174="能力",AL174="能力持续"),参数!$B$2,1)+P174*参数!$B$6*IF(AND(F174="能力",AL174="能力持续"),参数!$B$2,1)+R174*参数!$B$7*IF(AND(F174="能力",AL174="能力持续"),参数!$B$2,1)+V174*参数!$B$8+IF(X174&lt;0,X174*参数!$B$13,X174*参数!$B$39)+IF(AE174&lt;0,AE174*参数!$B$13,AE174*参数!$B$12)*参数!$B$2+AQ174*参数!$B$15+AB174*参数!$B$11+AF174*参数!$B$40*参数!$B$2+AG174*参数!$B$44*参数!$B$2+AH174*参数!$B$6*参数!$B$2+AI174*参数!$B$39*参数!$B$2+AJ174*参数!$B$6*参数!$B$2+Z174*参数!$B$13-T174*参数!$B$14-AD174*参数!$B$13+IF(ISNUMBER(AU174),AU174*参数!$B$38,0)-AV174*参数!$B$41-AW174*参数!$B$14-参数!$B$17)*参数!$B$18,IF(AND(F174="能力",AL174="能力持续"),(参数!$B$2-1)*参数!$B$3,0)+M174*O174*参数!$B$5*IF(AND(F174="能力",AL174="能力持续"),参数!$B$2,1)+P174*参数!$B$6*IF(AND(F174="能力",AL174="能力持续"),参数!$B$2,1)+R174*参数!$B$7*IF(AND(F174="能力",AL174="能力持续"),参数!$B$2,1)+V174*参数!$B$8+IF(X174&lt;0,X174*参数!$B$13,X174*参数!$B$39)+IF(AE174&lt;0,AE174*参数!$B$13,AE174*参数!$B$12)*参数!$B$2+AQ174*参数!$B$15+AB174*参数!$B$11+AF174*参数!$B$40*参数!$B$2+AG174*参数!$B$44*参数!$B$2+AH174*参数!$B$6*参数!$B$2+AI174*参数!$B$39*参数!$B$2+AJ174*参数!$B$6*参数!$B$2+Z174*参数!$B$13-T174*参数!$B$14-AD174*参数!$B$13+IF(ISNUMBER(AU174),AU174*参数!$B$38,0)-AV174*参数!$B$41-AW174*参数!$B$14),0),0)</f>
        <v>11.254990039801115</v>
      </c>
      <c r="AZ174">
        <f>AY174-MAX(AP174,0)*参数!$B$10</f>
        <v>10.054990039801115</v>
      </c>
      <c r="BA174">
        <f t="shared" si="5"/>
        <v>28.137475099502787</v>
      </c>
    </row>
    <row r="175" spans="1:53" x14ac:dyDescent="0.3">
      <c r="A175">
        <v>174</v>
      </c>
      <c r="B175" t="s">
        <v>819</v>
      </c>
      <c r="C175" t="s">
        <v>767</v>
      </c>
      <c r="D175" t="s">
        <v>820</v>
      </c>
      <c r="E175" t="s">
        <v>821</v>
      </c>
      <c r="F175" t="s">
        <v>117</v>
      </c>
      <c r="G175" t="s">
        <v>12</v>
      </c>
      <c r="H175">
        <v>0</v>
      </c>
      <c r="I175">
        <v>0</v>
      </c>
      <c r="J175" t="s">
        <v>822</v>
      </c>
      <c r="L175" t="s">
        <v>120</v>
      </c>
      <c r="M175">
        <v>0</v>
      </c>
      <c r="N175">
        <v>0</v>
      </c>
      <c r="O175">
        <v>1</v>
      </c>
      <c r="P175">
        <v>4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 t="s">
        <v>112</v>
      </c>
      <c r="AP175">
        <f t="shared" si="4"/>
        <v>0.4</v>
      </c>
      <c r="AQ175">
        <v>0</v>
      </c>
      <c r="AR175">
        <v>0</v>
      </c>
      <c r="AT175" t="s">
        <v>113</v>
      </c>
      <c r="AU175">
        <v>0</v>
      </c>
      <c r="AY175">
        <f>IFERROR(MAX(IF(IF(AND(F175="能力",AL175="能力持续"),(参数!$B$2-1)*参数!$B$3,0)+M175*O175*参数!$B$5*IF(AND(F175="能力",AL175="能力持续"),参数!$B$2,1)+P175*参数!$B$6*IF(AND(F175="能力",AL175="能力持续"),参数!$B$2,1)+R175*参数!$B$7*IF(AND(F175="能力",AL175="能力持续"),参数!$B$2,1)+V175*参数!$B$8+IF(X175&lt;0,X175*参数!$B$13,X175*参数!$B$39)+IF(AE175&lt;0,AE175*参数!$B$13,AE175*参数!$B$12)*参数!$B$2+AQ175*参数!$B$15+AB175*参数!$B$11+AF175*参数!$B$40*参数!$B$2+AG175*参数!$B$44*参数!$B$2+AH175*参数!$B$6*参数!$B$2+AI175*参数!$B$39*参数!$B$2+AJ175*参数!$B$6*参数!$B$2+Z175*参数!$B$13-T175*参数!$B$14-AD175*参数!$B$13+IF(ISNUMBER(AU175),AU175*参数!$B$38,0)-AV175*参数!$B$41-AW175*参数!$B$14&gt;参数!$B$17,参数!$B$17+SQRT(IF(AND(F175="能力",AL175="能力持续"),(参数!$B$2-1)*参数!$B$3,0)+M175*O175*参数!$B$5*IF(AND(F175="能力",AL175="能力持续"),参数!$B$2,1)+P175*参数!$B$6*IF(AND(F175="能力",AL175="能力持续"),参数!$B$2,1)+R175*参数!$B$7*IF(AND(F175="能力",AL175="能力持续"),参数!$B$2,1)+V175*参数!$B$8+IF(X175&lt;0,X175*参数!$B$13,X175*参数!$B$39)+IF(AE175&lt;0,AE175*参数!$B$13,AE175*参数!$B$12)*参数!$B$2+AQ175*参数!$B$15+AB175*参数!$B$11+AF175*参数!$B$40*参数!$B$2+AG175*参数!$B$44*参数!$B$2+AH175*参数!$B$6*参数!$B$2+AI175*参数!$B$39*参数!$B$2+AJ175*参数!$B$6*参数!$B$2+Z175*参数!$B$13-T175*参数!$B$14-AD175*参数!$B$13+IF(ISNUMBER(AU175),AU175*参数!$B$38,0)-AV175*参数!$B$41-AW175*参数!$B$14-参数!$B$17)*参数!$B$18,IF(AND(F175="能力",AL175="能力持续"),(参数!$B$2-1)*参数!$B$3,0)+M175*O175*参数!$B$5*IF(AND(F175="能力",AL175="能力持续"),参数!$B$2,1)+P175*参数!$B$6*IF(AND(F175="能力",AL175="能力持续"),参数!$B$2,1)+R175*参数!$B$7*IF(AND(F175="能力",AL175="能力持续"),参数!$B$2,1)+V175*参数!$B$8+IF(X175&lt;0,X175*参数!$B$13,X175*参数!$B$39)+IF(AE175&lt;0,AE175*参数!$B$13,AE175*参数!$B$12)*参数!$B$2+AQ175*参数!$B$15+AB175*参数!$B$11+AF175*参数!$B$40*参数!$B$2+AG175*参数!$B$44*参数!$B$2+AH175*参数!$B$6*参数!$B$2+AI175*参数!$B$39*参数!$B$2+AJ175*参数!$B$6*参数!$B$2+Z175*参数!$B$13-T175*参数!$B$14-AD175*参数!$B$13+IF(ISNUMBER(AU175),AU175*参数!$B$38,0)-AV175*参数!$B$41-AW175*参数!$B$14),0),0)</f>
        <v>4.4000000000000004</v>
      </c>
      <c r="AZ175">
        <f>AY175-MAX(AP175,0)*参数!$B$10</f>
        <v>3.2</v>
      </c>
      <c r="BA175">
        <f t="shared" si="5"/>
        <v>11</v>
      </c>
    </row>
    <row r="176" spans="1:53" x14ac:dyDescent="0.3">
      <c r="A176">
        <v>175</v>
      </c>
      <c r="B176" t="s">
        <v>823</v>
      </c>
      <c r="C176" t="s">
        <v>767</v>
      </c>
      <c r="D176" t="s">
        <v>824</v>
      </c>
      <c r="E176" t="s">
        <v>825</v>
      </c>
      <c r="F176" t="s">
        <v>108</v>
      </c>
      <c r="G176" t="s">
        <v>10</v>
      </c>
      <c r="H176">
        <v>0</v>
      </c>
      <c r="I176">
        <v>0</v>
      </c>
      <c r="J176" t="s">
        <v>826</v>
      </c>
      <c r="L176" t="s">
        <v>111</v>
      </c>
      <c r="M176">
        <v>3</v>
      </c>
      <c r="N176">
        <v>4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t="s">
        <v>112</v>
      </c>
      <c r="AP176">
        <f t="shared" si="4"/>
        <v>0.4</v>
      </c>
      <c r="AQ176">
        <v>0</v>
      </c>
      <c r="AR176">
        <v>0</v>
      </c>
      <c r="AT176" t="s">
        <v>113</v>
      </c>
      <c r="AU176">
        <v>0</v>
      </c>
      <c r="AY176">
        <f>IFERROR(MAX(IF(IF(AND(F176="能力",AL176="能力持续"),(参数!$B$2-1)*参数!$B$3,0)+M176*O176*参数!$B$5*IF(AND(F176="能力",AL176="能力持续"),参数!$B$2,1)+P176*参数!$B$6*IF(AND(F176="能力",AL176="能力持续"),参数!$B$2,1)+R176*参数!$B$7*IF(AND(F176="能力",AL176="能力持续"),参数!$B$2,1)+V176*参数!$B$8+IF(X176&lt;0,X176*参数!$B$13,X176*参数!$B$39)+IF(AE176&lt;0,AE176*参数!$B$13,AE176*参数!$B$12)*参数!$B$2+AQ176*参数!$B$15+AB176*参数!$B$11+AF176*参数!$B$40*参数!$B$2+AG176*参数!$B$44*参数!$B$2+AH176*参数!$B$6*参数!$B$2+AI176*参数!$B$39*参数!$B$2+AJ176*参数!$B$6*参数!$B$2+Z176*参数!$B$13-T176*参数!$B$14-AD176*参数!$B$13+IF(ISNUMBER(AU176),AU176*参数!$B$38,0)-AV176*参数!$B$41-AW176*参数!$B$14&gt;参数!$B$17,参数!$B$17+SQRT(IF(AND(F176="能力",AL176="能力持续"),(参数!$B$2-1)*参数!$B$3,0)+M176*O176*参数!$B$5*IF(AND(F176="能力",AL176="能力持续"),参数!$B$2,1)+P176*参数!$B$6*IF(AND(F176="能力",AL176="能力持续"),参数!$B$2,1)+R176*参数!$B$7*IF(AND(F176="能力",AL176="能力持续"),参数!$B$2,1)+V176*参数!$B$8+IF(X176&lt;0,X176*参数!$B$13,X176*参数!$B$39)+IF(AE176&lt;0,AE176*参数!$B$13,AE176*参数!$B$12)*参数!$B$2+AQ176*参数!$B$15+AB176*参数!$B$11+AF176*参数!$B$40*参数!$B$2+AG176*参数!$B$44*参数!$B$2+AH176*参数!$B$6*参数!$B$2+AI176*参数!$B$39*参数!$B$2+AJ176*参数!$B$6*参数!$B$2+Z176*参数!$B$13-T176*参数!$B$14-AD176*参数!$B$13+IF(ISNUMBER(AU176),AU176*参数!$B$38,0)-AV176*参数!$B$41-AW176*参数!$B$14-参数!$B$17)*参数!$B$18,IF(AND(F176="能力",AL176="能力持续"),(参数!$B$2-1)*参数!$B$3,0)+M176*O176*参数!$B$5*IF(AND(F176="能力",AL176="能力持续"),参数!$B$2,1)+P176*参数!$B$6*IF(AND(F176="能力",AL176="能力持续"),参数!$B$2,1)+R176*参数!$B$7*IF(AND(F176="能力",AL176="能力持续"),参数!$B$2,1)+V176*参数!$B$8+IF(X176&lt;0,X176*参数!$B$13,X176*参数!$B$39)+IF(AE176&lt;0,AE176*参数!$B$13,AE176*参数!$B$12)*参数!$B$2+AQ176*参数!$B$15+AB176*参数!$B$11+AF176*参数!$B$40*参数!$B$2+AG176*参数!$B$44*参数!$B$2+AH176*参数!$B$6*参数!$B$2+AI176*参数!$B$39*参数!$B$2+AJ176*参数!$B$6*参数!$B$2+Z176*参数!$B$13-T176*参数!$B$14-AD176*参数!$B$13+IF(ISNUMBER(AU176),AU176*参数!$B$38,0)-AV176*参数!$B$41-AW176*参数!$B$14),0),0)</f>
        <v>3</v>
      </c>
      <c r="AZ176">
        <f>AY176-MAX(AP176,0)*参数!$B$10</f>
        <v>1.7999999999999998</v>
      </c>
      <c r="BA176">
        <f t="shared" si="5"/>
        <v>7.5</v>
      </c>
    </row>
    <row r="177" spans="1:53" x14ac:dyDescent="0.3">
      <c r="A177">
        <v>176</v>
      </c>
      <c r="B177" t="s">
        <v>827</v>
      </c>
      <c r="C177" t="s">
        <v>767</v>
      </c>
      <c r="D177" t="s">
        <v>828</v>
      </c>
      <c r="E177" t="s">
        <v>829</v>
      </c>
      <c r="F177" t="s">
        <v>108</v>
      </c>
      <c r="G177" t="s">
        <v>10</v>
      </c>
      <c r="H177">
        <v>1</v>
      </c>
      <c r="I177">
        <v>1</v>
      </c>
      <c r="J177" t="s">
        <v>830</v>
      </c>
      <c r="L177" t="s">
        <v>111</v>
      </c>
      <c r="M177">
        <v>6</v>
      </c>
      <c r="N177">
        <v>9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112</v>
      </c>
      <c r="AP177">
        <f t="shared" si="4"/>
        <v>1</v>
      </c>
      <c r="AQ177">
        <v>0</v>
      </c>
      <c r="AR177">
        <v>0</v>
      </c>
      <c r="AT177" t="s">
        <v>113</v>
      </c>
      <c r="AU177">
        <v>0</v>
      </c>
      <c r="AY177">
        <f>IFERROR(MAX(IF(IF(AND(F177="能力",AL177="能力持续"),(参数!$B$2-1)*参数!$B$3,0)+M177*O177*参数!$B$5*IF(AND(F177="能力",AL177="能力持续"),参数!$B$2,1)+P177*参数!$B$6*IF(AND(F177="能力",AL177="能力持续"),参数!$B$2,1)+R177*参数!$B$7*IF(AND(F177="能力",AL177="能力持续"),参数!$B$2,1)+V177*参数!$B$8+IF(X177&lt;0,X177*参数!$B$13,X177*参数!$B$39)+IF(AE177&lt;0,AE177*参数!$B$13,AE177*参数!$B$12)*参数!$B$2+AQ177*参数!$B$15+AB177*参数!$B$11+AF177*参数!$B$40*参数!$B$2+AG177*参数!$B$44*参数!$B$2+AH177*参数!$B$6*参数!$B$2+AI177*参数!$B$39*参数!$B$2+AJ177*参数!$B$6*参数!$B$2+Z177*参数!$B$13-T177*参数!$B$14-AD177*参数!$B$13+IF(ISNUMBER(AU177),AU177*参数!$B$38,0)-AV177*参数!$B$41-AW177*参数!$B$14&gt;参数!$B$17,参数!$B$17+SQRT(IF(AND(F177="能力",AL177="能力持续"),(参数!$B$2-1)*参数!$B$3,0)+M177*O177*参数!$B$5*IF(AND(F177="能力",AL177="能力持续"),参数!$B$2,1)+P177*参数!$B$6*IF(AND(F177="能力",AL177="能力持续"),参数!$B$2,1)+R177*参数!$B$7*IF(AND(F177="能力",AL177="能力持续"),参数!$B$2,1)+V177*参数!$B$8+IF(X177&lt;0,X177*参数!$B$13,X177*参数!$B$39)+IF(AE177&lt;0,AE177*参数!$B$13,AE177*参数!$B$12)*参数!$B$2+AQ177*参数!$B$15+AB177*参数!$B$11+AF177*参数!$B$40*参数!$B$2+AG177*参数!$B$44*参数!$B$2+AH177*参数!$B$6*参数!$B$2+AI177*参数!$B$39*参数!$B$2+AJ177*参数!$B$6*参数!$B$2+Z177*参数!$B$13-T177*参数!$B$14-AD177*参数!$B$13+IF(ISNUMBER(AU177),AU177*参数!$B$38,0)-AV177*参数!$B$41-AW177*参数!$B$14-参数!$B$17)*参数!$B$18,IF(AND(F177="能力",AL177="能力持续"),(参数!$B$2-1)*参数!$B$3,0)+M177*O177*参数!$B$5*IF(AND(F177="能力",AL177="能力持续"),参数!$B$2,1)+P177*参数!$B$6*IF(AND(F177="能力",AL177="能力持续"),参数!$B$2,1)+R177*参数!$B$7*IF(AND(F177="能力",AL177="能力持续"),参数!$B$2,1)+V177*参数!$B$8+IF(X177&lt;0,X177*参数!$B$13,X177*参数!$B$39)+IF(AE177&lt;0,AE177*参数!$B$13,AE177*参数!$B$12)*参数!$B$2+AQ177*参数!$B$15+AB177*参数!$B$11+AF177*参数!$B$40*参数!$B$2+AG177*参数!$B$44*参数!$B$2+AH177*参数!$B$6*参数!$B$2+AI177*参数!$B$39*参数!$B$2+AJ177*参数!$B$6*参数!$B$2+Z177*参数!$B$13-T177*参数!$B$14-AD177*参数!$B$13+IF(ISNUMBER(AU177),AU177*参数!$B$38,0)-AV177*参数!$B$41-AW177*参数!$B$14),0),0)</f>
        <v>6</v>
      </c>
      <c r="AZ177">
        <f>AY177-MAX(AP177,0)*参数!$B$10</f>
        <v>3</v>
      </c>
      <c r="BA177">
        <f t="shared" si="5"/>
        <v>6</v>
      </c>
    </row>
    <row r="178" spans="1:53" x14ac:dyDescent="0.3">
      <c r="A178">
        <v>177</v>
      </c>
      <c r="B178" t="s">
        <v>831</v>
      </c>
      <c r="C178" t="s">
        <v>767</v>
      </c>
      <c r="D178" t="s">
        <v>832</v>
      </c>
      <c r="E178" t="s">
        <v>833</v>
      </c>
      <c r="F178" t="s">
        <v>117</v>
      </c>
      <c r="G178" t="s">
        <v>12</v>
      </c>
      <c r="H178">
        <v>1</v>
      </c>
      <c r="I178">
        <v>1</v>
      </c>
      <c r="J178" t="s">
        <v>834</v>
      </c>
      <c r="L178" t="s">
        <v>120</v>
      </c>
      <c r="M178">
        <v>0</v>
      </c>
      <c r="N178">
        <v>0</v>
      </c>
      <c r="O178">
        <v>1</v>
      </c>
      <c r="P178">
        <v>6</v>
      </c>
      <c r="Q178">
        <v>7</v>
      </c>
      <c r="R178">
        <v>2</v>
      </c>
      <c r="S178">
        <v>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 t="s">
        <v>112</v>
      </c>
      <c r="AP178">
        <f t="shared" si="4"/>
        <v>1</v>
      </c>
      <c r="AQ178">
        <v>0</v>
      </c>
      <c r="AR178">
        <v>0</v>
      </c>
      <c r="AT178" t="s">
        <v>113</v>
      </c>
      <c r="AU178">
        <v>0</v>
      </c>
      <c r="AY178">
        <f>IFERROR(MAX(IF(IF(AND(F178="能力",AL178="能力持续"),(参数!$B$2-1)*参数!$B$3,0)+M178*O178*参数!$B$5*IF(AND(F178="能力",AL178="能力持续"),参数!$B$2,1)+P178*参数!$B$6*IF(AND(F178="能力",AL178="能力持续"),参数!$B$2,1)+R178*参数!$B$7*IF(AND(F178="能力",AL178="能力持续"),参数!$B$2,1)+V178*参数!$B$8+IF(X178&lt;0,X178*参数!$B$13,X178*参数!$B$39)+IF(AE178&lt;0,AE178*参数!$B$13,AE178*参数!$B$12)*参数!$B$2+AQ178*参数!$B$15+AB178*参数!$B$11+AF178*参数!$B$40*参数!$B$2+AG178*参数!$B$44*参数!$B$2+AH178*参数!$B$6*参数!$B$2+AI178*参数!$B$39*参数!$B$2+AJ178*参数!$B$6*参数!$B$2+Z178*参数!$B$13-T178*参数!$B$14-AD178*参数!$B$13+IF(ISNUMBER(AU178),AU178*参数!$B$38,0)-AV178*参数!$B$41-AW178*参数!$B$14&gt;参数!$B$17,参数!$B$17+SQRT(IF(AND(F178="能力",AL178="能力持续"),(参数!$B$2-1)*参数!$B$3,0)+M178*O178*参数!$B$5*IF(AND(F178="能力",AL178="能力持续"),参数!$B$2,1)+P178*参数!$B$6*IF(AND(F178="能力",AL178="能力持续"),参数!$B$2,1)+R178*参数!$B$7*IF(AND(F178="能力",AL178="能力持续"),参数!$B$2,1)+V178*参数!$B$8+IF(X178&lt;0,X178*参数!$B$13,X178*参数!$B$39)+IF(AE178&lt;0,AE178*参数!$B$13,AE178*参数!$B$12)*参数!$B$2+AQ178*参数!$B$15+AB178*参数!$B$11+AF178*参数!$B$40*参数!$B$2+AG178*参数!$B$44*参数!$B$2+AH178*参数!$B$6*参数!$B$2+AI178*参数!$B$39*参数!$B$2+AJ178*参数!$B$6*参数!$B$2+Z178*参数!$B$13-T178*参数!$B$14-AD178*参数!$B$13+IF(ISNUMBER(AU178),AU178*参数!$B$38,0)-AV178*参数!$B$41-AW178*参数!$B$14-参数!$B$17)*参数!$B$18,IF(AND(F178="能力",AL178="能力持续"),(参数!$B$2-1)*参数!$B$3,0)+M178*O178*参数!$B$5*IF(AND(F178="能力",AL178="能力持续"),参数!$B$2,1)+P178*参数!$B$6*IF(AND(F178="能力",AL178="能力持续"),参数!$B$2,1)+R178*参数!$B$7*IF(AND(F178="能力",AL178="能力持续"),参数!$B$2,1)+V178*参数!$B$8+IF(X178&lt;0,X178*参数!$B$13,X178*参数!$B$39)+IF(AE178&lt;0,AE178*参数!$B$13,AE178*参数!$B$12)*参数!$B$2+AQ178*参数!$B$15+AB178*参数!$B$11+AF178*参数!$B$40*参数!$B$2+AG178*参数!$B$44*参数!$B$2+AH178*参数!$B$6*参数!$B$2+AI178*参数!$B$39*参数!$B$2+AJ178*参数!$B$6*参数!$B$2+Z178*参数!$B$13-T178*参数!$B$14-AD178*参数!$B$13+IF(ISNUMBER(AU178),AU178*参数!$B$38,0)-AV178*参数!$B$41-AW178*参数!$B$14),0),0)</f>
        <v>8</v>
      </c>
      <c r="AZ178">
        <f>AY178-MAX(AP178,0)*参数!$B$10</f>
        <v>5</v>
      </c>
      <c r="BA178">
        <f t="shared" si="5"/>
        <v>8</v>
      </c>
    </row>
    <row r="179" spans="1:53" x14ac:dyDescent="0.3">
      <c r="A179">
        <v>178</v>
      </c>
      <c r="B179" t="s">
        <v>835</v>
      </c>
      <c r="C179" t="s">
        <v>767</v>
      </c>
      <c r="D179" t="s">
        <v>836</v>
      </c>
      <c r="E179" t="s">
        <v>837</v>
      </c>
      <c r="F179" t="s">
        <v>108</v>
      </c>
      <c r="G179" t="s">
        <v>10</v>
      </c>
      <c r="H179">
        <v>1</v>
      </c>
      <c r="I179">
        <v>1</v>
      </c>
      <c r="J179" t="s">
        <v>838</v>
      </c>
      <c r="L179" t="s">
        <v>111</v>
      </c>
      <c r="M179">
        <v>7</v>
      </c>
      <c r="N179">
        <v>10</v>
      </c>
      <c r="O179">
        <v>1</v>
      </c>
      <c r="P179">
        <v>0</v>
      </c>
      <c r="Q179">
        <v>0</v>
      </c>
      <c r="R179">
        <v>2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t="s">
        <v>112</v>
      </c>
      <c r="AP179">
        <f t="shared" si="4"/>
        <v>1</v>
      </c>
      <c r="AQ179">
        <v>0</v>
      </c>
      <c r="AR179">
        <v>0</v>
      </c>
      <c r="AT179" t="s">
        <v>113</v>
      </c>
      <c r="AU179">
        <v>0</v>
      </c>
      <c r="AY179">
        <f>IFERROR(MAX(IF(IF(AND(F179="能力",AL179="能力持续"),(参数!$B$2-1)*参数!$B$3,0)+M179*O179*参数!$B$5*IF(AND(F179="能力",AL179="能力持续"),参数!$B$2,1)+P179*参数!$B$6*IF(AND(F179="能力",AL179="能力持续"),参数!$B$2,1)+R179*参数!$B$7*IF(AND(F179="能力",AL179="能力持续"),参数!$B$2,1)+V179*参数!$B$8+IF(X179&lt;0,X179*参数!$B$13,X179*参数!$B$39)+IF(AE179&lt;0,AE179*参数!$B$13,AE179*参数!$B$12)*参数!$B$2+AQ179*参数!$B$15+AB179*参数!$B$11+AF179*参数!$B$40*参数!$B$2+AG179*参数!$B$44*参数!$B$2+AH179*参数!$B$6*参数!$B$2+AI179*参数!$B$39*参数!$B$2+AJ179*参数!$B$6*参数!$B$2+Z179*参数!$B$13-T179*参数!$B$14-AD179*参数!$B$13+IF(ISNUMBER(AU179),AU179*参数!$B$38,0)-AV179*参数!$B$41-AW179*参数!$B$14&gt;参数!$B$17,参数!$B$17+SQRT(IF(AND(F179="能力",AL179="能力持续"),(参数!$B$2-1)*参数!$B$3,0)+M179*O179*参数!$B$5*IF(AND(F179="能力",AL179="能力持续"),参数!$B$2,1)+P179*参数!$B$6*IF(AND(F179="能力",AL179="能力持续"),参数!$B$2,1)+R179*参数!$B$7*IF(AND(F179="能力",AL179="能力持续"),参数!$B$2,1)+V179*参数!$B$8+IF(X179&lt;0,X179*参数!$B$13,X179*参数!$B$39)+IF(AE179&lt;0,AE179*参数!$B$13,AE179*参数!$B$12)*参数!$B$2+AQ179*参数!$B$15+AB179*参数!$B$11+AF179*参数!$B$40*参数!$B$2+AG179*参数!$B$44*参数!$B$2+AH179*参数!$B$6*参数!$B$2+AI179*参数!$B$39*参数!$B$2+AJ179*参数!$B$6*参数!$B$2+Z179*参数!$B$13-T179*参数!$B$14-AD179*参数!$B$13+IF(ISNUMBER(AU179),AU179*参数!$B$38,0)-AV179*参数!$B$41-AW179*参数!$B$14-参数!$B$17)*参数!$B$18,IF(AND(F179="能力",AL179="能力持续"),(参数!$B$2-1)*参数!$B$3,0)+M179*O179*参数!$B$5*IF(AND(F179="能力",AL179="能力持续"),参数!$B$2,1)+P179*参数!$B$6*IF(AND(F179="能力",AL179="能力持续"),参数!$B$2,1)+R179*参数!$B$7*IF(AND(F179="能力",AL179="能力持续"),参数!$B$2,1)+V179*参数!$B$8+IF(X179&lt;0,X179*参数!$B$13,X179*参数!$B$39)+IF(AE179&lt;0,AE179*参数!$B$13,AE179*参数!$B$12)*参数!$B$2+AQ179*参数!$B$15+AB179*参数!$B$11+AF179*参数!$B$40*参数!$B$2+AG179*参数!$B$44*参数!$B$2+AH179*参数!$B$6*参数!$B$2+AI179*参数!$B$39*参数!$B$2+AJ179*参数!$B$6*参数!$B$2+Z179*参数!$B$13-T179*参数!$B$14-AD179*参数!$B$13+IF(ISNUMBER(AU179),AU179*参数!$B$38,0)-AV179*参数!$B$41-AW179*参数!$B$14),0),0)</f>
        <v>8.4</v>
      </c>
      <c r="AZ179">
        <f>AY179-MAX(AP179,0)*参数!$B$10</f>
        <v>5.4</v>
      </c>
      <c r="BA179">
        <f t="shared" si="5"/>
        <v>8.4</v>
      </c>
    </row>
    <row r="180" spans="1:53" x14ac:dyDescent="0.3">
      <c r="A180">
        <v>179</v>
      </c>
      <c r="B180" t="s">
        <v>839</v>
      </c>
      <c r="C180" t="s">
        <v>767</v>
      </c>
      <c r="D180" t="s">
        <v>840</v>
      </c>
      <c r="E180" t="s">
        <v>841</v>
      </c>
      <c r="F180" t="s">
        <v>124</v>
      </c>
      <c r="G180" t="s">
        <v>14</v>
      </c>
      <c r="H180">
        <v>2</v>
      </c>
      <c r="I180">
        <v>2</v>
      </c>
      <c r="J180" t="s">
        <v>842</v>
      </c>
      <c r="L180" t="s">
        <v>120</v>
      </c>
      <c r="M180">
        <f>2*参数!$B$45</f>
        <v>16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112</v>
      </c>
      <c r="AN180" t="s">
        <v>124</v>
      </c>
      <c r="AP180">
        <f t="shared" si="4"/>
        <v>2</v>
      </c>
      <c r="AQ180">
        <v>0</v>
      </c>
      <c r="AR180">
        <v>0</v>
      </c>
      <c r="AT180" t="s">
        <v>113</v>
      </c>
      <c r="AU180">
        <v>0</v>
      </c>
      <c r="AY180">
        <f>IFERROR(MAX(IF(IF(AND(F180="能力",AL180="能力持续"),(参数!$B$2-1)*参数!$B$3,0)+M180*O180*参数!$B$5*IF(AND(F180="能力",AL180="能力持续"),参数!$B$2,1)+P180*参数!$B$6*IF(AND(F180="能力",AL180="能力持续"),参数!$B$2,1)+R180*参数!$B$7*IF(AND(F180="能力",AL180="能力持续"),参数!$B$2,1)+V180*参数!$B$8+IF(X180&lt;0,X180*参数!$B$13,X180*参数!$B$39)+IF(AE180&lt;0,AE180*参数!$B$13,AE180*参数!$B$12)*参数!$B$2+AQ180*参数!$B$15+AB180*参数!$B$11+AF180*参数!$B$40*参数!$B$2+AG180*参数!$B$44*参数!$B$2+AH180*参数!$B$6*参数!$B$2+AI180*参数!$B$39*参数!$B$2+AJ180*参数!$B$6*参数!$B$2+Z180*参数!$B$13-T180*参数!$B$14-AD180*参数!$B$13+IF(ISNUMBER(AU180),AU180*参数!$B$38,0)-AV180*参数!$B$41-AW180*参数!$B$14&gt;参数!$B$17,参数!$B$17+SQRT(IF(AND(F180="能力",AL180="能力持续"),(参数!$B$2-1)*参数!$B$3,0)+M180*O180*参数!$B$5*IF(AND(F180="能力",AL180="能力持续"),参数!$B$2,1)+P180*参数!$B$6*IF(AND(F180="能力",AL180="能力持续"),参数!$B$2,1)+R180*参数!$B$7*IF(AND(F180="能力",AL180="能力持续"),参数!$B$2,1)+V180*参数!$B$8+IF(X180&lt;0,X180*参数!$B$13,X180*参数!$B$39)+IF(AE180&lt;0,AE180*参数!$B$13,AE180*参数!$B$12)*参数!$B$2+AQ180*参数!$B$15+AB180*参数!$B$11+AF180*参数!$B$40*参数!$B$2+AG180*参数!$B$44*参数!$B$2+AH180*参数!$B$6*参数!$B$2+AI180*参数!$B$39*参数!$B$2+AJ180*参数!$B$6*参数!$B$2+Z180*参数!$B$13-T180*参数!$B$14-AD180*参数!$B$13+IF(ISNUMBER(AU180),AU180*参数!$B$38,0)-AV180*参数!$B$41-AW180*参数!$B$14-参数!$B$17)*参数!$B$18,IF(AND(F180="能力",AL180="能力持续"),(参数!$B$2-1)*参数!$B$3,0)+M180*O180*参数!$B$5*IF(AND(F180="能力",AL180="能力持续"),参数!$B$2,1)+P180*参数!$B$6*IF(AND(F180="能力",AL180="能力持续"),参数!$B$2,1)+R180*参数!$B$7*IF(AND(F180="能力",AL180="能力持续"),参数!$B$2,1)+V180*参数!$B$8+IF(X180&lt;0,X180*参数!$B$13,X180*参数!$B$39)+IF(AE180&lt;0,AE180*参数!$B$13,AE180*参数!$B$12)*参数!$B$2+AQ180*参数!$B$15+AB180*参数!$B$11+AF180*参数!$B$40*参数!$B$2+AG180*参数!$B$44*参数!$B$2+AH180*参数!$B$6*参数!$B$2+AI180*参数!$B$39*参数!$B$2+AJ180*参数!$B$6*参数!$B$2+Z180*参数!$B$13-T180*参数!$B$14-AD180*参数!$B$13+IF(ISNUMBER(AU180),AU180*参数!$B$38,0)-AV180*参数!$B$41-AW180*参数!$B$14),0),0)</f>
        <v>13.674234614174766</v>
      </c>
      <c r="AZ180">
        <f>AY180-MAX(AP180,0)*参数!$B$10</f>
        <v>7.6742346141747664</v>
      </c>
      <c r="BA180">
        <f t="shared" si="5"/>
        <v>6.8371173070873832</v>
      </c>
    </row>
    <row r="181" spans="1:53" x14ac:dyDescent="0.3">
      <c r="A181">
        <v>180</v>
      </c>
      <c r="B181" t="s">
        <v>843</v>
      </c>
      <c r="C181" t="s">
        <v>767</v>
      </c>
      <c r="D181" t="s">
        <v>844</v>
      </c>
      <c r="E181" t="s">
        <v>845</v>
      </c>
      <c r="F181" t="s">
        <v>124</v>
      </c>
      <c r="G181" t="s">
        <v>14</v>
      </c>
      <c r="H181">
        <v>1</v>
      </c>
      <c r="I181">
        <v>1</v>
      </c>
      <c r="J181" t="s">
        <v>846</v>
      </c>
      <c r="L181" t="s">
        <v>120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t="s">
        <v>112</v>
      </c>
      <c r="AL181" t="s">
        <v>127</v>
      </c>
      <c r="AN181" t="s">
        <v>124</v>
      </c>
      <c r="AP181">
        <f t="shared" si="4"/>
        <v>1</v>
      </c>
      <c r="AQ181">
        <v>0</v>
      </c>
      <c r="AR181">
        <v>0</v>
      </c>
      <c r="AT181" t="s">
        <v>113</v>
      </c>
      <c r="AU181">
        <v>0</v>
      </c>
      <c r="AY181">
        <f>IFERROR(MAX(IF(IF(AND(F181="能力",AL181="能力持续"),(参数!$B$2-1)*参数!$B$3,0)+M181*O181*参数!$B$5*IF(AND(F181="能力",AL181="能力持续"),参数!$B$2,1)+P181*参数!$B$6*IF(AND(F181="能力",AL181="能力持续"),参数!$B$2,1)+R181*参数!$B$7*IF(AND(F181="能力",AL181="能力持续"),参数!$B$2,1)+V181*参数!$B$8+IF(X181&lt;0,X181*参数!$B$13,X181*参数!$B$39)+IF(AE181&lt;0,AE181*参数!$B$13,AE181*参数!$B$12)*参数!$B$2+AQ181*参数!$B$15+AB181*参数!$B$11+AF181*参数!$B$40*参数!$B$2+AG181*参数!$B$44*参数!$B$2+AH181*参数!$B$6*参数!$B$2+AI181*参数!$B$39*参数!$B$2+AJ181*参数!$B$6*参数!$B$2+Z181*参数!$B$13-T181*参数!$B$14-AD181*参数!$B$13+IF(ISNUMBER(AU181),AU181*参数!$B$38,0)-AV181*参数!$B$41-AW181*参数!$B$14&gt;参数!$B$17,参数!$B$17+SQRT(IF(AND(F181="能力",AL181="能力持续"),(参数!$B$2-1)*参数!$B$3,0)+M181*O181*参数!$B$5*IF(AND(F181="能力",AL181="能力持续"),参数!$B$2,1)+P181*参数!$B$6*IF(AND(F181="能力",AL181="能力持续"),参数!$B$2,1)+R181*参数!$B$7*IF(AND(F181="能力",AL181="能力持续"),参数!$B$2,1)+V181*参数!$B$8+IF(X181&lt;0,X181*参数!$B$13,X181*参数!$B$39)+IF(AE181&lt;0,AE181*参数!$B$13,AE181*参数!$B$12)*参数!$B$2+AQ181*参数!$B$15+AB181*参数!$B$11+AF181*参数!$B$40*参数!$B$2+AG181*参数!$B$44*参数!$B$2+AH181*参数!$B$6*参数!$B$2+AI181*参数!$B$39*参数!$B$2+AJ181*参数!$B$6*参数!$B$2+Z181*参数!$B$13-T181*参数!$B$14-AD181*参数!$B$13+IF(ISNUMBER(AU181),AU181*参数!$B$38,0)-AV181*参数!$B$41-AW181*参数!$B$14-参数!$B$17)*参数!$B$18,IF(AND(F181="能力",AL181="能力持续"),(参数!$B$2-1)*参数!$B$3,0)+M181*O181*参数!$B$5*IF(AND(F181="能力",AL181="能力持续"),参数!$B$2,1)+P181*参数!$B$6*IF(AND(F181="能力",AL181="能力持续"),参数!$B$2,1)+R181*参数!$B$7*IF(AND(F181="能力",AL181="能力持续"),参数!$B$2,1)+V181*参数!$B$8+IF(X181&lt;0,X181*参数!$B$13,X181*参数!$B$39)+IF(AE181&lt;0,AE181*参数!$B$13,AE181*参数!$B$12)*参数!$B$2+AQ181*参数!$B$15+AB181*参数!$B$11+AF181*参数!$B$40*参数!$B$2+AG181*参数!$B$44*参数!$B$2+AH181*参数!$B$6*参数!$B$2+AI181*参数!$B$39*参数!$B$2+AJ181*参数!$B$6*参数!$B$2+Z181*参数!$B$13-T181*参数!$B$14-AD181*参数!$B$13+IF(ISNUMBER(AU181),AU181*参数!$B$38,0)-AV181*参数!$B$41-AW181*参数!$B$14),0),0)</f>
        <v>3.5999999999999996</v>
      </c>
      <c r="AZ181">
        <f>AY181-MAX(AP181,0)*参数!$B$10</f>
        <v>0.59999999999999964</v>
      </c>
      <c r="BA181">
        <f t="shared" si="5"/>
        <v>3.5999999999999996</v>
      </c>
    </row>
    <row r="182" spans="1:53" x14ac:dyDescent="0.3">
      <c r="A182">
        <v>181</v>
      </c>
      <c r="B182" t="s">
        <v>847</v>
      </c>
      <c r="C182" t="s">
        <v>767</v>
      </c>
      <c r="D182" t="s">
        <v>848</v>
      </c>
      <c r="E182" t="s">
        <v>849</v>
      </c>
      <c r="F182" t="s">
        <v>117</v>
      </c>
      <c r="G182" t="s">
        <v>10</v>
      </c>
      <c r="H182">
        <v>1</v>
      </c>
      <c r="I182">
        <v>1</v>
      </c>
      <c r="J182" t="s">
        <v>850</v>
      </c>
      <c r="L182" t="s">
        <v>111</v>
      </c>
      <c r="M182">
        <v>0</v>
      </c>
      <c r="N182">
        <v>0</v>
      </c>
      <c r="O182">
        <v>1</v>
      </c>
      <c r="P182">
        <v>2</v>
      </c>
      <c r="Q182">
        <v>2</v>
      </c>
      <c r="R182">
        <v>1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t="s">
        <v>112</v>
      </c>
      <c r="AP182">
        <f t="shared" si="4"/>
        <v>1</v>
      </c>
      <c r="AQ182">
        <v>0</v>
      </c>
      <c r="AR182">
        <v>0</v>
      </c>
      <c r="AT182" t="s">
        <v>113</v>
      </c>
      <c r="AU182">
        <v>0</v>
      </c>
      <c r="AY182">
        <f>IFERROR(MAX(IF(IF(AND(F182="能力",AL182="能力持续"),(参数!$B$2-1)*参数!$B$3,0)+M182*O182*参数!$B$5*IF(AND(F182="能力",AL182="能力持续"),参数!$B$2,1)+P182*参数!$B$6*IF(AND(F182="能力",AL182="能力持续"),参数!$B$2,1)+R182*参数!$B$7*IF(AND(F182="能力",AL182="能力持续"),参数!$B$2,1)+V182*参数!$B$8+IF(X182&lt;0,X182*参数!$B$13,X182*参数!$B$39)+IF(AE182&lt;0,AE182*参数!$B$13,AE182*参数!$B$12)*参数!$B$2+AQ182*参数!$B$15+AB182*参数!$B$11+AF182*参数!$B$40*参数!$B$2+AG182*参数!$B$44*参数!$B$2+AH182*参数!$B$6*参数!$B$2+AI182*参数!$B$39*参数!$B$2+AJ182*参数!$B$6*参数!$B$2+Z182*参数!$B$13-T182*参数!$B$14-AD182*参数!$B$13+IF(ISNUMBER(AU182),AU182*参数!$B$38,0)-AV182*参数!$B$41-AW182*参数!$B$14&gt;参数!$B$17,参数!$B$17+SQRT(IF(AND(F182="能力",AL182="能力持续"),(参数!$B$2-1)*参数!$B$3,0)+M182*O182*参数!$B$5*IF(AND(F182="能力",AL182="能力持续"),参数!$B$2,1)+P182*参数!$B$6*IF(AND(F182="能力",AL182="能力持续"),参数!$B$2,1)+R182*参数!$B$7*IF(AND(F182="能力",AL182="能力持续"),参数!$B$2,1)+V182*参数!$B$8+IF(X182&lt;0,X182*参数!$B$13,X182*参数!$B$39)+IF(AE182&lt;0,AE182*参数!$B$13,AE182*参数!$B$12)*参数!$B$2+AQ182*参数!$B$15+AB182*参数!$B$11+AF182*参数!$B$40*参数!$B$2+AG182*参数!$B$44*参数!$B$2+AH182*参数!$B$6*参数!$B$2+AI182*参数!$B$39*参数!$B$2+AJ182*参数!$B$6*参数!$B$2+Z182*参数!$B$13-T182*参数!$B$14-AD182*参数!$B$13+IF(ISNUMBER(AU182),AU182*参数!$B$38,0)-AV182*参数!$B$41-AW182*参数!$B$14-参数!$B$17)*参数!$B$18,IF(AND(F182="能力",AL182="能力持续"),(参数!$B$2-1)*参数!$B$3,0)+M182*O182*参数!$B$5*IF(AND(F182="能力",AL182="能力持续"),参数!$B$2,1)+P182*参数!$B$6*IF(AND(F182="能力",AL182="能力持续"),参数!$B$2,1)+R182*参数!$B$7*IF(AND(F182="能力",AL182="能力持续"),参数!$B$2,1)+V182*参数!$B$8+IF(X182&lt;0,X182*参数!$B$13,X182*参数!$B$39)+IF(AE182&lt;0,AE182*参数!$B$13,AE182*参数!$B$12)*参数!$B$2+AQ182*参数!$B$15+AB182*参数!$B$11+AF182*参数!$B$40*参数!$B$2+AG182*参数!$B$44*参数!$B$2+AH182*参数!$B$6*参数!$B$2+AI182*参数!$B$39*参数!$B$2+AJ182*参数!$B$6*参数!$B$2+Z182*参数!$B$13-T182*参数!$B$14-AD182*参数!$B$13+IF(ISNUMBER(AU182),AU182*参数!$B$38,0)-AV182*参数!$B$41-AW182*参数!$B$14),0),0)</f>
        <v>2.9000000000000004</v>
      </c>
      <c r="AZ182">
        <f>AY182-MAX(AP182,0)*参数!$B$10</f>
        <v>-9.9999999999999645E-2</v>
      </c>
      <c r="BA182">
        <f t="shared" si="5"/>
        <v>2.9000000000000004</v>
      </c>
    </row>
    <row r="183" spans="1:53" x14ac:dyDescent="0.3">
      <c r="A183">
        <v>182</v>
      </c>
      <c r="B183" t="s">
        <v>851</v>
      </c>
      <c r="C183" t="s">
        <v>767</v>
      </c>
      <c r="D183" t="s">
        <v>852</v>
      </c>
      <c r="E183" t="s">
        <v>853</v>
      </c>
      <c r="F183" t="s">
        <v>124</v>
      </c>
      <c r="G183" t="s">
        <v>14</v>
      </c>
      <c r="H183">
        <v>3</v>
      </c>
      <c r="I183">
        <v>2</v>
      </c>
      <c r="J183" t="s">
        <v>854</v>
      </c>
      <c r="L183" t="s">
        <v>120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112</v>
      </c>
      <c r="AL183" t="s">
        <v>127</v>
      </c>
      <c r="AN183" t="s">
        <v>124</v>
      </c>
      <c r="AP183">
        <f t="shared" si="4"/>
        <v>3</v>
      </c>
      <c r="AQ183">
        <v>0</v>
      </c>
      <c r="AR183">
        <v>0</v>
      </c>
      <c r="AT183" t="s">
        <v>113</v>
      </c>
      <c r="AU183">
        <v>0</v>
      </c>
      <c r="AY183">
        <f>IFERROR(MAX(IF(IF(AND(F183="能力",AL183="能力持续"),(参数!$B$2-1)*参数!$B$3,0)+M183*O183*参数!$B$5*IF(AND(F183="能力",AL183="能力持续"),参数!$B$2,1)+P183*参数!$B$6*IF(AND(F183="能力",AL183="能力持续"),参数!$B$2,1)+R183*参数!$B$7*IF(AND(F183="能力",AL183="能力持续"),参数!$B$2,1)+V183*参数!$B$8+IF(X183&lt;0,X183*参数!$B$13,X183*参数!$B$39)+IF(AE183&lt;0,AE183*参数!$B$13,AE183*参数!$B$12)*参数!$B$2+AQ183*参数!$B$15+AB183*参数!$B$11+AF183*参数!$B$40*参数!$B$2+AG183*参数!$B$44*参数!$B$2+AH183*参数!$B$6*参数!$B$2+AI183*参数!$B$39*参数!$B$2+AJ183*参数!$B$6*参数!$B$2+Z183*参数!$B$13-T183*参数!$B$14-AD183*参数!$B$13+IF(ISNUMBER(AU183),AU183*参数!$B$38,0)-AV183*参数!$B$41-AW183*参数!$B$14&gt;参数!$B$17,参数!$B$17+SQRT(IF(AND(F183="能力",AL183="能力持续"),(参数!$B$2-1)*参数!$B$3,0)+M183*O183*参数!$B$5*IF(AND(F183="能力",AL183="能力持续"),参数!$B$2,1)+P183*参数!$B$6*IF(AND(F183="能力",AL183="能力持续"),参数!$B$2,1)+R183*参数!$B$7*IF(AND(F183="能力",AL183="能力持续"),参数!$B$2,1)+V183*参数!$B$8+IF(X183&lt;0,X183*参数!$B$13,X183*参数!$B$39)+IF(AE183&lt;0,AE183*参数!$B$13,AE183*参数!$B$12)*参数!$B$2+AQ183*参数!$B$15+AB183*参数!$B$11+AF183*参数!$B$40*参数!$B$2+AG183*参数!$B$44*参数!$B$2+AH183*参数!$B$6*参数!$B$2+AI183*参数!$B$39*参数!$B$2+AJ183*参数!$B$6*参数!$B$2+Z183*参数!$B$13-T183*参数!$B$14-AD183*参数!$B$13+IF(ISNUMBER(AU183),AU183*参数!$B$38,0)-AV183*参数!$B$41-AW183*参数!$B$14-参数!$B$17)*参数!$B$18,IF(AND(F183="能力",AL183="能力持续"),(参数!$B$2-1)*参数!$B$3,0)+M183*O183*参数!$B$5*IF(AND(F183="能力",AL183="能力持续"),参数!$B$2,1)+P183*参数!$B$6*IF(AND(F183="能力",AL183="能力持续"),参数!$B$2,1)+R183*参数!$B$7*IF(AND(F183="能力",AL183="能力持续"),参数!$B$2,1)+V183*参数!$B$8+IF(X183&lt;0,X183*参数!$B$13,X183*参数!$B$39)+IF(AE183&lt;0,AE183*参数!$B$13,AE183*参数!$B$12)*参数!$B$2+AQ183*参数!$B$15+AB183*参数!$B$11+AF183*参数!$B$40*参数!$B$2+AG183*参数!$B$44*参数!$B$2+AH183*参数!$B$6*参数!$B$2+AI183*参数!$B$39*参数!$B$2+AJ183*参数!$B$6*参数!$B$2+Z183*参数!$B$13-T183*参数!$B$14-AD183*参数!$B$13+IF(ISNUMBER(AU183),AU183*参数!$B$38,0)-AV183*参数!$B$41-AW183*参数!$B$14),0),0)</f>
        <v>3.5999999999999996</v>
      </c>
      <c r="AZ183">
        <f>AY183-MAX(AP183,0)*参数!$B$10</f>
        <v>-5.4</v>
      </c>
      <c r="BA183">
        <f t="shared" si="5"/>
        <v>1.2</v>
      </c>
    </row>
    <row r="184" spans="1:53" x14ac:dyDescent="0.3">
      <c r="A184">
        <v>183</v>
      </c>
      <c r="B184" t="s">
        <v>855</v>
      </c>
      <c r="C184" t="s">
        <v>767</v>
      </c>
      <c r="D184" t="s">
        <v>856</v>
      </c>
      <c r="E184" t="s">
        <v>857</v>
      </c>
      <c r="F184" t="s">
        <v>117</v>
      </c>
      <c r="G184" t="s">
        <v>12</v>
      </c>
      <c r="H184">
        <v>1</v>
      </c>
      <c r="I184">
        <v>1</v>
      </c>
      <c r="J184" t="s">
        <v>858</v>
      </c>
      <c r="L184" t="s">
        <v>120</v>
      </c>
      <c r="M184">
        <f>1.5*参数!$B$45</f>
        <v>12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s">
        <v>112</v>
      </c>
      <c r="AP184">
        <f t="shared" si="4"/>
        <v>1</v>
      </c>
      <c r="AQ184">
        <v>0</v>
      </c>
      <c r="AR184">
        <v>0</v>
      </c>
      <c r="AT184" t="s">
        <v>113</v>
      </c>
      <c r="AU184">
        <v>0</v>
      </c>
      <c r="AY184">
        <f>IFERROR(MAX(IF(IF(AND(F184="能力",AL184="能力持续"),(参数!$B$2-1)*参数!$B$3,0)+M184*O184*参数!$B$5*IF(AND(F184="能力",AL184="能力持续"),参数!$B$2,1)+P184*参数!$B$6*IF(AND(F184="能力",AL184="能力持续"),参数!$B$2,1)+R184*参数!$B$7*IF(AND(F184="能力",AL184="能力持续"),参数!$B$2,1)+V184*参数!$B$8+IF(X184&lt;0,X184*参数!$B$13,X184*参数!$B$39)+IF(AE184&lt;0,AE184*参数!$B$13,AE184*参数!$B$12)*参数!$B$2+AQ184*参数!$B$15+AB184*参数!$B$11+AF184*参数!$B$40*参数!$B$2+AG184*参数!$B$44*参数!$B$2+AH184*参数!$B$6*参数!$B$2+AI184*参数!$B$39*参数!$B$2+AJ184*参数!$B$6*参数!$B$2+Z184*参数!$B$13-T184*参数!$B$14-AD184*参数!$B$13+IF(ISNUMBER(AU184),AU184*参数!$B$38,0)-AV184*参数!$B$41-AW184*参数!$B$14&gt;参数!$B$17,参数!$B$17+SQRT(IF(AND(F184="能力",AL184="能力持续"),(参数!$B$2-1)*参数!$B$3,0)+M184*O184*参数!$B$5*IF(AND(F184="能力",AL184="能力持续"),参数!$B$2,1)+P184*参数!$B$6*IF(AND(F184="能力",AL184="能力持续"),参数!$B$2,1)+R184*参数!$B$7*IF(AND(F184="能力",AL184="能力持续"),参数!$B$2,1)+V184*参数!$B$8+IF(X184&lt;0,X184*参数!$B$13,X184*参数!$B$39)+IF(AE184&lt;0,AE184*参数!$B$13,AE184*参数!$B$12)*参数!$B$2+AQ184*参数!$B$15+AB184*参数!$B$11+AF184*参数!$B$40*参数!$B$2+AG184*参数!$B$44*参数!$B$2+AH184*参数!$B$6*参数!$B$2+AI184*参数!$B$39*参数!$B$2+AJ184*参数!$B$6*参数!$B$2+Z184*参数!$B$13-T184*参数!$B$14-AD184*参数!$B$13+IF(ISNUMBER(AU184),AU184*参数!$B$38,0)-AV184*参数!$B$41-AW184*参数!$B$14-参数!$B$17)*参数!$B$18,IF(AND(F184="能力",AL184="能力持续"),(参数!$B$2-1)*参数!$B$3,0)+M184*O184*参数!$B$5*IF(AND(F184="能力",AL184="能力持续"),参数!$B$2,1)+P184*参数!$B$6*IF(AND(F184="能力",AL184="能力持续"),参数!$B$2,1)+R184*参数!$B$7*IF(AND(F184="能力",AL184="能力持续"),参数!$B$2,1)+V184*参数!$B$8+IF(X184&lt;0,X184*参数!$B$13,X184*参数!$B$39)+IF(AE184&lt;0,AE184*参数!$B$13,AE184*参数!$B$12)*参数!$B$2+AQ184*参数!$B$15+AB184*参数!$B$11+AF184*参数!$B$40*参数!$B$2+AG184*参数!$B$44*参数!$B$2+AH184*参数!$B$6*参数!$B$2+AI184*参数!$B$39*参数!$B$2+AJ184*参数!$B$6*参数!$B$2+Z184*参数!$B$13-T184*参数!$B$14-AD184*参数!$B$13+IF(ISNUMBER(AU184),AU184*参数!$B$38,0)-AV184*参数!$B$41-AW184*参数!$B$14),0),0)</f>
        <v>12.121320343559642</v>
      </c>
      <c r="AZ184">
        <f>AY184-MAX(AP184,0)*参数!$B$10</f>
        <v>9.1213203435596419</v>
      </c>
      <c r="BA184">
        <f t="shared" si="5"/>
        <v>12.121320343559642</v>
      </c>
    </row>
    <row r="185" spans="1:53" x14ac:dyDescent="0.3">
      <c r="A185">
        <v>184</v>
      </c>
      <c r="B185" t="s">
        <v>859</v>
      </c>
      <c r="C185" t="s">
        <v>767</v>
      </c>
      <c r="D185" t="s">
        <v>115</v>
      </c>
      <c r="E185" t="s">
        <v>116</v>
      </c>
      <c r="F185" t="s">
        <v>117</v>
      </c>
      <c r="G185" t="s">
        <v>8</v>
      </c>
      <c r="H185">
        <v>1</v>
      </c>
      <c r="I185">
        <v>1</v>
      </c>
      <c r="J185" t="s">
        <v>118</v>
      </c>
      <c r="L185" t="s">
        <v>120</v>
      </c>
      <c r="M185">
        <v>0</v>
      </c>
      <c r="N185">
        <v>0</v>
      </c>
      <c r="O185">
        <v>1</v>
      </c>
      <c r="P185">
        <v>5</v>
      </c>
      <c r="Q185">
        <v>8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112</v>
      </c>
      <c r="AP185">
        <f t="shared" si="4"/>
        <v>1</v>
      </c>
      <c r="AQ185">
        <v>0</v>
      </c>
      <c r="AR185">
        <v>0</v>
      </c>
      <c r="AT185" t="s">
        <v>113</v>
      </c>
      <c r="AU185">
        <v>0</v>
      </c>
      <c r="AY185">
        <f>IFERROR(MAX(IF(IF(AND(F185="能力",AL185="能力持续"),(参数!$B$2-1)*参数!$B$3,0)+M185*O185*参数!$B$5*IF(AND(F185="能力",AL185="能力持续"),参数!$B$2,1)+P185*参数!$B$6*IF(AND(F185="能力",AL185="能力持续"),参数!$B$2,1)+R185*参数!$B$7*IF(AND(F185="能力",AL185="能力持续"),参数!$B$2,1)+V185*参数!$B$8+IF(X185&lt;0,X185*参数!$B$13,X185*参数!$B$39)+IF(AE185&lt;0,AE185*参数!$B$13,AE185*参数!$B$12)*参数!$B$2+AQ185*参数!$B$15+AB185*参数!$B$11+AF185*参数!$B$40*参数!$B$2+AG185*参数!$B$44*参数!$B$2+AH185*参数!$B$6*参数!$B$2+AI185*参数!$B$39*参数!$B$2+AJ185*参数!$B$6*参数!$B$2+Z185*参数!$B$13-T185*参数!$B$14-AD185*参数!$B$13+IF(ISNUMBER(AU185),AU185*参数!$B$38,0)-AV185*参数!$B$41-AW185*参数!$B$14&gt;参数!$B$17,参数!$B$17+SQRT(IF(AND(F185="能力",AL185="能力持续"),(参数!$B$2-1)*参数!$B$3,0)+M185*O185*参数!$B$5*IF(AND(F185="能力",AL185="能力持续"),参数!$B$2,1)+P185*参数!$B$6*IF(AND(F185="能力",AL185="能力持续"),参数!$B$2,1)+R185*参数!$B$7*IF(AND(F185="能力",AL185="能力持续"),参数!$B$2,1)+V185*参数!$B$8+IF(X185&lt;0,X185*参数!$B$13,X185*参数!$B$39)+IF(AE185&lt;0,AE185*参数!$B$13,AE185*参数!$B$12)*参数!$B$2+AQ185*参数!$B$15+AB185*参数!$B$11+AF185*参数!$B$40*参数!$B$2+AG185*参数!$B$44*参数!$B$2+AH185*参数!$B$6*参数!$B$2+AI185*参数!$B$39*参数!$B$2+AJ185*参数!$B$6*参数!$B$2+Z185*参数!$B$13-T185*参数!$B$14-AD185*参数!$B$13+IF(ISNUMBER(AU185),AU185*参数!$B$38,0)-AV185*参数!$B$41-AW185*参数!$B$14-参数!$B$17)*参数!$B$18,IF(AND(F185="能力",AL185="能力持续"),(参数!$B$2-1)*参数!$B$3,0)+M185*O185*参数!$B$5*IF(AND(F185="能力",AL185="能力持续"),参数!$B$2,1)+P185*参数!$B$6*IF(AND(F185="能力",AL185="能力持续"),参数!$B$2,1)+R185*参数!$B$7*IF(AND(F185="能力",AL185="能力持续"),参数!$B$2,1)+V185*参数!$B$8+IF(X185&lt;0,X185*参数!$B$13,X185*参数!$B$39)+IF(AE185&lt;0,AE185*参数!$B$13,AE185*参数!$B$12)*参数!$B$2+AQ185*参数!$B$15+AB185*参数!$B$11+AF185*参数!$B$40*参数!$B$2+AG185*参数!$B$44*参数!$B$2+AH185*参数!$B$6*参数!$B$2+AI185*参数!$B$39*参数!$B$2+AJ185*参数!$B$6*参数!$B$2+Z185*参数!$B$13-T185*参数!$B$14-AD185*参数!$B$13+IF(ISNUMBER(AU185),AU185*参数!$B$38,0)-AV185*参数!$B$41-AW185*参数!$B$14),0),0)</f>
        <v>5.5</v>
      </c>
      <c r="AZ185">
        <f>AY185-MAX(AP185,0)*参数!$B$10</f>
        <v>2.5</v>
      </c>
      <c r="BA185">
        <f t="shared" si="5"/>
        <v>5.5</v>
      </c>
    </row>
    <row r="186" spans="1:53" x14ac:dyDescent="0.3">
      <c r="A186">
        <v>185</v>
      </c>
      <c r="B186" t="s">
        <v>860</v>
      </c>
      <c r="C186" t="s">
        <v>767</v>
      </c>
      <c r="D186" t="s">
        <v>861</v>
      </c>
      <c r="E186" t="s">
        <v>862</v>
      </c>
      <c r="F186" t="s">
        <v>124</v>
      </c>
      <c r="G186" t="s">
        <v>14</v>
      </c>
      <c r="H186">
        <v>1</v>
      </c>
      <c r="I186">
        <v>1</v>
      </c>
      <c r="J186" t="s">
        <v>863</v>
      </c>
      <c r="L186" t="s">
        <v>120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 t="s">
        <v>112</v>
      </c>
      <c r="AN186" t="s">
        <v>124</v>
      </c>
      <c r="AP186">
        <f t="shared" si="4"/>
        <v>1</v>
      </c>
      <c r="AQ186">
        <v>0</v>
      </c>
      <c r="AR186">
        <v>0</v>
      </c>
      <c r="AT186" t="s">
        <v>113</v>
      </c>
      <c r="AU186">
        <v>0</v>
      </c>
      <c r="AY186">
        <f>IFERROR(MAX(IF(IF(AND(F186="能力",AL186="能力持续"),(参数!$B$2-1)*参数!$B$3,0)+M186*O186*参数!$B$5*IF(AND(F186="能力",AL186="能力持续"),参数!$B$2,1)+P186*参数!$B$6*IF(AND(F186="能力",AL186="能力持续"),参数!$B$2,1)+R186*参数!$B$7*IF(AND(F186="能力",AL186="能力持续"),参数!$B$2,1)+V186*参数!$B$8+IF(X186&lt;0,X186*参数!$B$13,X186*参数!$B$39)+IF(AE186&lt;0,AE186*参数!$B$13,AE186*参数!$B$12)*参数!$B$2+AQ186*参数!$B$15+AB186*参数!$B$11+AF186*参数!$B$40*参数!$B$2+AG186*参数!$B$44*参数!$B$2+AH186*参数!$B$6*参数!$B$2+AI186*参数!$B$39*参数!$B$2+AJ186*参数!$B$6*参数!$B$2+Z186*参数!$B$13-T186*参数!$B$14-AD186*参数!$B$13+IF(ISNUMBER(AU186),AU186*参数!$B$38,0)-AV186*参数!$B$41-AW186*参数!$B$14&gt;参数!$B$17,参数!$B$17+SQRT(IF(AND(F186="能力",AL186="能力持续"),(参数!$B$2-1)*参数!$B$3,0)+M186*O186*参数!$B$5*IF(AND(F186="能力",AL186="能力持续"),参数!$B$2,1)+P186*参数!$B$6*IF(AND(F186="能力",AL186="能力持续"),参数!$B$2,1)+R186*参数!$B$7*IF(AND(F186="能力",AL186="能力持续"),参数!$B$2,1)+V186*参数!$B$8+IF(X186&lt;0,X186*参数!$B$13,X186*参数!$B$39)+IF(AE186&lt;0,AE186*参数!$B$13,AE186*参数!$B$12)*参数!$B$2+AQ186*参数!$B$15+AB186*参数!$B$11+AF186*参数!$B$40*参数!$B$2+AG186*参数!$B$44*参数!$B$2+AH186*参数!$B$6*参数!$B$2+AI186*参数!$B$39*参数!$B$2+AJ186*参数!$B$6*参数!$B$2+Z186*参数!$B$13-T186*参数!$B$14-AD186*参数!$B$13+IF(ISNUMBER(AU186),AU186*参数!$B$38,0)-AV186*参数!$B$41-AW186*参数!$B$14-参数!$B$17)*参数!$B$18,IF(AND(F186="能力",AL186="能力持续"),(参数!$B$2-1)*参数!$B$3,0)+M186*O186*参数!$B$5*IF(AND(F186="能力",AL186="能力持续"),参数!$B$2,1)+P186*参数!$B$6*IF(AND(F186="能力",AL186="能力持续"),参数!$B$2,1)+R186*参数!$B$7*IF(AND(F186="能力",AL186="能力持续"),参数!$B$2,1)+V186*参数!$B$8+IF(X186&lt;0,X186*参数!$B$13,X186*参数!$B$39)+IF(AE186&lt;0,AE186*参数!$B$13,AE186*参数!$B$12)*参数!$B$2+AQ186*参数!$B$15+AB186*参数!$B$11+AF186*参数!$B$40*参数!$B$2+AG186*参数!$B$44*参数!$B$2+AH186*参数!$B$6*参数!$B$2+AI186*参数!$B$39*参数!$B$2+AJ186*参数!$B$6*参数!$B$2+Z186*参数!$B$13-T186*参数!$B$14-AD186*参数!$B$13+IF(ISNUMBER(AU186),AU186*参数!$B$38,0)-AV186*参数!$B$41-AW186*参数!$B$14),0),0)</f>
        <v>5.2</v>
      </c>
      <c r="AZ186">
        <f>AY186-MAX(AP186,0)*参数!$B$10</f>
        <v>2.2000000000000002</v>
      </c>
      <c r="BA186">
        <f t="shared" si="5"/>
        <v>5.2</v>
      </c>
    </row>
    <row r="187" spans="1:53" x14ac:dyDescent="0.3">
      <c r="A187">
        <v>186</v>
      </c>
      <c r="B187" t="s">
        <v>864</v>
      </c>
      <c r="C187" t="s">
        <v>767</v>
      </c>
      <c r="D187" t="s">
        <v>865</v>
      </c>
      <c r="E187" t="s">
        <v>866</v>
      </c>
      <c r="F187" t="s">
        <v>117</v>
      </c>
      <c r="G187" t="s">
        <v>12</v>
      </c>
      <c r="H187">
        <v>1</v>
      </c>
      <c r="I187">
        <v>0</v>
      </c>
      <c r="J187" t="s">
        <v>867</v>
      </c>
      <c r="L187" t="s">
        <v>120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112</v>
      </c>
      <c r="AP187">
        <f t="shared" si="4"/>
        <v>0.4</v>
      </c>
      <c r="AQ187">
        <v>0</v>
      </c>
      <c r="AR187">
        <v>0</v>
      </c>
      <c r="AT187" t="s">
        <v>113</v>
      </c>
      <c r="AU187">
        <v>0</v>
      </c>
      <c r="AY187">
        <f>IFERROR(MAX(IF(IF(AND(F187="能力",AL187="能力持续"),(参数!$B$2-1)*参数!$B$3,0)+M187*O187*参数!$B$5*IF(AND(F187="能力",AL187="能力持续"),参数!$B$2,1)+P187*参数!$B$6*IF(AND(F187="能力",AL187="能力持续"),参数!$B$2,1)+R187*参数!$B$7*IF(AND(F187="能力",AL187="能力持续"),参数!$B$2,1)+V187*参数!$B$8+IF(X187&lt;0,X187*参数!$B$13,X187*参数!$B$39)+IF(AE187&lt;0,AE187*参数!$B$13,AE187*参数!$B$12)*参数!$B$2+AQ187*参数!$B$15+AB187*参数!$B$11+AF187*参数!$B$40*参数!$B$2+AG187*参数!$B$44*参数!$B$2+AH187*参数!$B$6*参数!$B$2+AI187*参数!$B$39*参数!$B$2+AJ187*参数!$B$6*参数!$B$2+Z187*参数!$B$13-T187*参数!$B$14-AD187*参数!$B$13+IF(ISNUMBER(AU187),AU187*参数!$B$38,0)-AV187*参数!$B$41-AW187*参数!$B$14&gt;参数!$B$17,参数!$B$17+SQRT(IF(AND(F187="能力",AL187="能力持续"),(参数!$B$2-1)*参数!$B$3,0)+M187*O187*参数!$B$5*IF(AND(F187="能力",AL187="能力持续"),参数!$B$2,1)+P187*参数!$B$6*IF(AND(F187="能力",AL187="能力持续"),参数!$B$2,1)+R187*参数!$B$7*IF(AND(F187="能力",AL187="能力持续"),参数!$B$2,1)+V187*参数!$B$8+IF(X187&lt;0,X187*参数!$B$13,X187*参数!$B$39)+IF(AE187&lt;0,AE187*参数!$B$13,AE187*参数!$B$12)*参数!$B$2+AQ187*参数!$B$15+AB187*参数!$B$11+AF187*参数!$B$40*参数!$B$2+AG187*参数!$B$44*参数!$B$2+AH187*参数!$B$6*参数!$B$2+AI187*参数!$B$39*参数!$B$2+AJ187*参数!$B$6*参数!$B$2+Z187*参数!$B$13-T187*参数!$B$14-AD187*参数!$B$13+IF(ISNUMBER(AU187),AU187*参数!$B$38,0)-AV187*参数!$B$41-AW187*参数!$B$14-参数!$B$17)*参数!$B$18,IF(AND(F187="能力",AL187="能力持续"),(参数!$B$2-1)*参数!$B$3,0)+M187*O187*参数!$B$5*IF(AND(F187="能力",AL187="能力持续"),参数!$B$2,1)+P187*参数!$B$6*IF(AND(F187="能力",AL187="能力持续"),参数!$B$2,1)+R187*参数!$B$7*IF(AND(F187="能力",AL187="能力持续"),参数!$B$2,1)+V187*参数!$B$8+IF(X187&lt;0,X187*参数!$B$13,X187*参数!$B$39)+IF(AE187&lt;0,AE187*参数!$B$13,AE187*参数!$B$12)*参数!$B$2+AQ187*参数!$B$15+AB187*参数!$B$11+AF187*参数!$B$40*参数!$B$2+AG187*参数!$B$44*参数!$B$2+AH187*参数!$B$6*参数!$B$2+AI187*参数!$B$39*参数!$B$2+AJ187*参数!$B$6*参数!$B$2+Z187*参数!$B$13-T187*参数!$B$14-AD187*参数!$B$13+IF(ISNUMBER(AU187),AU187*参数!$B$38,0)-AV187*参数!$B$41-AW187*参数!$B$14),0),0)</f>
        <v>13.354101966249685</v>
      </c>
      <c r="AZ187">
        <f>AY187-MAX(AP187,0)*参数!$B$10</f>
        <v>12.154101966249684</v>
      </c>
      <c r="BA187">
        <f t="shared" si="5"/>
        <v>33.385254915624209</v>
      </c>
    </row>
    <row r="188" spans="1:53" x14ac:dyDescent="0.3">
      <c r="A188">
        <v>187</v>
      </c>
      <c r="B188" t="s">
        <v>868</v>
      </c>
      <c r="C188" t="s">
        <v>767</v>
      </c>
      <c r="D188" t="s">
        <v>869</v>
      </c>
      <c r="E188" t="s">
        <v>870</v>
      </c>
      <c r="F188" t="s">
        <v>117</v>
      </c>
      <c r="G188" t="s">
        <v>8</v>
      </c>
      <c r="H188">
        <v>1</v>
      </c>
      <c r="I188">
        <v>0</v>
      </c>
      <c r="J188" t="s">
        <v>871</v>
      </c>
      <c r="L188" t="s">
        <v>120</v>
      </c>
      <c r="M188">
        <f>2*参数!$B$45</f>
        <v>16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 t="s">
        <v>112</v>
      </c>
      <c r="AP188">
        <f t="shared" si="4"/>
        <v>1</v>
      </c>
      <c r="AQ188">
        <v>0</v>
      </c>
      <c r="AR188">
        <v>0</v>
      </c>
      <c r="AT188" t="s">
        <v>113</v>
      </c>
      <c r="AU188">
        <v>0</v>
      </c>
      <c r="AY188">
        <f>IFERROR(MAX(IF(IF(AND(F188="能力",AL188="能力持续"),(参数!$B$2-1)*参数!$B$3,0)+M188*O188*参数!$B$5*IF(AND(F188="能力",AL188="能力持续"),参数!$B$2,1)+P188*参数!$B$6*IF(AND(F188="能力",AL188="能力持续"),参数!$B$2,1)+R188*参数!$B$7*IF(AND(F188="能力",AL188="能力持续"),参数!$B$2,1)+V188*参数!$B$8+IF(X188&lt;0,X188*参数!$B$13,X188*参数!$B$39)+IF(AE188&lt;0,AE188*参数!$B$13,AE188*参数!$B$12)*参数!$B$2+AQ188*参数!$B$15+AB188*参数!$B$11+AF188*参数!$B$40*参数!$B$2+AG188*参数!$B$44*参数!$B$2+AH188*参数!$B$6*参数!$B$2+AI188*参数!$B$39*参数!$B$2+AJ188*参数!$B$6*参数!$B$2+Z188*参数!$B$13-T188*参数!$B$14-AD188*参数!$B$13+IF(ISNUMBER(AU188),AU188*参数!$B$38,0)-AV188*参数!$B$41-AW188*参数!$B$14&gt;参数!$B$17,参数!$B$17+SQRT(IF(AND(F188="能力",AL188="能力持续"),(参数!$B$2-1)*参数!$B$3,0)+M188*O188*参数!$B$5*IF(AND(F188="能力",AL188="能力持续"),参数!$B$2,1)+P188*参数!$B$6*IF(AND(F188="能力",AL188="能力持续"),参数!$B$2,1)+R188*参数!$B$7*IF(AND(F188="能力",AL188="能力持续"),参数!$B$2,1)+V188*参数!$B$8+IF(X188&lt;0,X188*参数!$B$13,X188*参数!$B$39)+IF(AE188&lt;0,AE188*参数!$B$13,AE188*参数!$B$12)*参数!$B$2+AQ188*参数!$B$15+AB188*参数!$B$11+AF188*参数!$B$40*参数!$B$2+AG188*参数!$B$44*参数!$B$2+AH188*参数!$B$6*参数!$B$2+AI188*参数!$B$39*参数!$B$2+AJ188*参数!$B$6*参数!$B$2+Z188*参数!$B$13-T188*参数!$B$14-AD188*参数!$B$13+IF(ISNUMBER(AU188),AU188*参数!$B$38,0)-AV188*参数!$B$41-AW188*参数!$B$14-参数!$B$17)*参数!$B$18,IF(AND(F188="能力",AL188="能力持续"),(参数!$B$2-1)*参数!$B$3,0)+M188*O188*参数!$B$5*IF(AND(F188="能力",AL188="能力持续"),参数!$B$2,1)+P188*参数!$B$6*IF(AND(F188="能力",AL188="能力持续"),参数!$B$2,1)+R188*参数!$B$7*IF(AND(F188="能力",AL188="能力持续"),参数!$B$2,1)+V188*参数!$B$8+IF(X188&lt;0,X188*参数!$B$13,X188*参数!$B$39)+IF(AE188&lt;0,AE188*参数!$B$13,AE188*参数!$B$12)*参数!$B$2+AQ188*参数!$B$15+AB188*参数!$B$11+AF188*参数!$B$40*参数!$B$2+AG188*参数!$B$44*参数!$B$2+AH188*参数!$B$6*参数!$B$2+AI188*参数!$B$39*参数!$B$2+AJ188*参数!$B$6*参数!$B$2+Z188*参数!$B$13-T188*参数!$B$14-AD188*参数!$B$13+IF(ISNUMBER(AU188),AU188*参数!$B$38,0)-AV188*参数!$B$41-AW188*参数!$B$14),0),0)</f>
        <v>17.035623639735142</v>
      </c>
      <c r="AZ188">
        <f>AY188-MAX(AP188,0)*参数!$B$10</f>
        <v>14.035623639735142</v>
      </c>
      <c r="BA188">
        <f t="shared" si="5"/>
        <v>17.035623639735142</v>
      </c>
    </row>
    <row r="189" spans="1:53" x14ac:dyDescent="0.3">
      <c r="A189">
        <v>188</v>
      </c>
      <c r="B189" t="s">
        <v>872</v>
      </c>
      <c r="C189" t="s">
        <v>767</v>
      </c>
      <c r="D189" t="s">
        <v>873</v>
      </c>
      <c r="E189" t="s">
        <v>874</v>
      </c>
      <c r="F189" t="s">
        <v>124</v>
      </c>
      <c r="G189" t="s">
        <v>14</v>
      </c>
      <c r="H189">
        <v>3</v>
      </c>
      <c r="I189">
        <v>3</v>
      </c>
      <c r="J189" t="s">
        <v>875</v>
      </c>
      <c r="L189" t="s">
        <v>120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 t="s">
        <v>112</v>
      </c>
      <c r="AL189" t="s">
        <v>127</v>
      </c>
      <c r="AN189" t="s">
        <v>124</v>
      </c>
      <c r="AP189">
        <f t="shared" si="4"/>
        <v>3</v>
      </c>
      <c r="AQ189">
        <f>2*参数!$B$48</f>
        <v>16</v>
      </c>
      <c r="AR189">
        <v>0</v>
      </c>
      <c r="AT189" t="s">
        <v>113</v>
      </c>
      <c r="AU189">
        <v>0</v>
      </c>
      <c r="AY189">
        <f>IFERROR(MAX(IF(IF(AND(F189="能力",AL189="能力持续"),(参数!$B$2-1)*参数!$B$3,0)+M189*O189*参数!$B$5*IF(AND(F189="能力",AL189="能力持续"),参数!$B$2,1)+P189*参数!$B$6*IF(AND(F189="能力",AL189="能力持续"),参数!$B$2,1)+R189*参数!$B$7*IF(AND(F189="能力",AL189="能力持续"),参数!$B$2,1)+V189*参数!$B$8+IF(X189&lt;0,X189*参数!$B$13,X189*参数!$B$39)+IF(AE189&lt;0,AE189*参数!$B$13,AE189*参数!$B$12)*参数!$B$2+AQ189*参数!$B$15+AB189*参数!$B$11+AF189*参数!$B$40*参数!$B$2+AG189*参数!$B$44*参数!$B$2+AH189*参数!$B$6*参数!$B$2+AI189*参数!$B$39*参数!$B$2+AJ189*参数!$B$6*参数!$B$2+Z189*参数!$B$13-T189*参数!$B$14-AD189*参数!$B$13+IF(ISNUMBER(AU189),AU189*参数!$B$38,0)-AV189*参数!$B$41-AW189*参数!$B$14&gt;参数!$B$17,参数!$B$17+SQRT(IF(AND(F189="能力",AL189="能力持续"),(参数!$B$2-1)*参数!$B$3,0)+M189*O189*参数!$B$5*IF(AND(F189="能力",AL189="能力持续"),参数!$B$2,1)+P189*参数!$B$6*IF(AND(F189="能力",AL189="能力持续"),参数!$B$2,1)+R189*参数!$B$7*IF(AND(F189="能力",AL189="能力持续"),参数!$B$2,1)+V189*参数!$B$8+IF(X189&lt;0,X189*参数!$B$13,X189*参数!$B$39)+IF(AE189&lt;0,AE189*参数!$B$13,AE189*参数!$B$12)*参数!$B$2+AQ189*参数!$B$15+AB189*参数!$B$11+AF189*参数!$B$40*参数!$B$2+AG189*参数!$B$44*参数!$B$2+AH189*参数!$B$6*参数!$B$2+AI189*参数!$B$39*参数!$B$2+AJ189*参数!$B$6*参数!$B$2+Z189*参数!$B$13-T189*参数!$B$14-AD189*参数!$B$13+IF(ISNUMBER(AU189),AU189*参数!$B$38,0)-AV189*参数!$B$41-AW189*参数!$B$14-参数!$B$17)*参数!$B$18,IF(AND(F189="能力",AL189="能力持续"),(参数!$B$2-1)*参数!$B$3,0)+M189*O189*参数!$B$5*IF(AND(F189="能力",AL189="能力持续"),参数!$B$2,1)+P189*参数!$B$6*IF(AND(F189="能力",AL189="能力持续"),参数!$B$2,1)+R189*参数!$B$7*IF(AND(F189="能力",AL189="能力持续"),参数!$B$2,1)+V189*参数!$B$8+IF(X189&lt;0,X189*参数!$B$13,X189*参数!$B$39)+IF(AE189&lt;0,AE189*参数!$B$13,AE189*参数!$B$12)*参数!$B$2+AQ189*参数!$B$15+AB189*参数!$B$11+AF189*参数!$B$40*参数!$B$2+AG189*参数!$B$44*参数!$B$2+AH189*参数!$B$6*参数!$B$2+AI189*参数!$B$39*参数!$B$2+AJ189*参数!$B$6*参数!$B$2+Z189*参数!$B$13-T189*参数!$B$14-AD189*参数!$B$13+IF(ISNUMBER(AU189),AU189*参数!$B$38,0)-AV189*参数!$B$41-AW189*参数!$B$14),0),0)</f>
        <v>19.674709297958259</v>
      </c>
      <c r="AZ189">
        <f>AY189-MAX(AP189,0)*参数!$B$10</f>
        <v>10.674709297958259</v>
      </c>
      <c r="BA189">
        <f t="shared" si="5"/>
        <v>6.5582364326527527</v>
      </c>
    </row>
    <row r="190" spans="1:53" x14ac:dyDescent="0.3">
      <c r="A190">
        <v>189</v>
      </c>
      <c r="B190" t="s">
        <v>876</v>
      </c>
      <c r="C190" t="s">
        <v>767</v>
      </c>
      <c r="D190" t="s">
        <v>877</v>
      </c>
      <c r="E190" t="s">
        <v>878</v>
      </c>
      <c r="F190" t="s">
        <v>117</v>
      </c>
      <c r="G190" t="s">
        <v>12</v>
      </c>
      <c r="H190">
        <v>1</v>
      </c>
      <c r="I190">
        <v>1</v>
      </c>
      <c r="J190" t="s">
        <v>879</v>
      </c>
      <c r="L190" t="s">
        <v>120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</v>
      </c>
      <c r="W190">
        <v>3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 t="s">
        <v>112</v>
      </c>
      <c r="AP190">
        <f t="shared" si="4"/>
        <v>0.4</v>
      </c>
      <c r="AQ190">
        <v>0</v>
      </c>
      <c r="AR190">
        <v>0</v>
      </c>
      <c r="AT190" t="s">
        <v>113</v>
      </c>
      <c r="AU190">
        <v>0</v>
      </c>
      <c r="AY190">
        <f>IFERROR(MAX(IF(IF(AND(F190="能力",AL190="能力持续"),(参数!$B$2-1)*参数!$B$3,0)+M190*O190*参数!$B$5*IF(AND(F190="能力",AL190="能力持续"),参数!$B$2,1)+P190*参数!$B$6*IF(AND(F190="能力",AL190="能力持续"),参数!$B$2,1)+R190*参数!$B$7*IF(AND(F190="能力",AL190="能力持续"),参数!$B$2,1)+V190*参数!$B$8+IF(X190&lt;0,X190*参数!$B$13,X190*参数!$B$39)+IF(AE190&lt;0,AE190*参数!$B$13,AE190*参数!$B$12)*参数!$B$2+AQ190*参数!$B$15+AB190*参数!$B$11+AF190*参数!$B$40*参数!$B$2+AG190*参数!$B$44*参数!$B$2+AH190*参数!$B$6*参数!$B$2+AI190*参数!$B$39*参数!$B$2+AJ190*参数!$B$6*参数!$B$2+Z190*参数!$B$13-T190*参数!$B$14-AD190*参数!$B$13+IF(ISNUMBER(AU190),AU190*参数!$B$38,0)-AV190*参数!$B$41-AW190*参数!$B$14&gt;参数!$B$17,参数!$B$17+SQRT(IF(AND(F190="能力",AL190="能力持续"),(参数!$B$2-1)*参数!$B$3,0)+M190*O190*参数!$B$5*IF(AND(F190="能力",AL190="能力持续"),参数!$B$2,1)+P190*参数!$B$6*IF(AND(F190="能力",AL190="能力持续"),参数!$B$2,1)+R190*参数!$B$7*IF(AND(F190="能力",AL190="能力持续"),参数!$B$2,1)+V190*参数!$B$8+IF(X190&lt;0,X190*参数!$B$13,X190*参数!$B$39)+IF(AE190&lt;0,AE190*参数!$B$13,AE190*参数!$B$12)*参数!$B$2+AQ190*参数!$B$15+AB190*参数!$B$11+AF190*参数!$B$40*参数!$B$2+AG190*参数!$B$44*参数!$B$2+AH190*参数!$B$6*参数!$B$2+AI190*参数!$B$39*参数!$B$2+AJ190*参数!$B$6*参数!$B$2+Z190*参数!$B$13-T190*参数!$B$14-AD190*参数!$B$13+IF(ISNUMBER(AU190),AU190*参数!$B$38,0)-AV190*参数!$B$41-AW190*参数!$B$14-参数!$B$17)*参数!$B$18,IF(AND(F190="能力",AL190="能力持续"),(参数!$B$2-1)*参数!$B$3,0)+M190*O190*参数!$B$5*IF(AND(F190="能力",AL190="能力持续"),参数!$B$2,1)+P190*参数!$B$6*IF(AND(F190="能力",AL190="能力持续"),参数!$B$2,1)+R190*参数!$B$7*IF(AND(F190="能力",AL190="能力持续"),参数!$B$2,1)+V190*参数!$B$8+IF(X190&lt;0,X190*参数!$B$13,X190*参数!$B$39)+IF(AE190&lt;0,AE190*参数!$B$13,AE190*参数!$B$12)*参数!$B$2+AQ190*参数!$B$15+AB190*参数!$B$11+AF190*参数!$B$40*参数!$B$2+AG190*参数!$B$44*参数!$B$2+AH190*参数!$B$6*参数!$B$2+AI190*参数!$B$39*参数!$B$2+AJ190*参数!$B$6*参数!$B$2+Z190*参数!$B$13-T190*参数!$B$14-AD190*参数!$B$13+IF(ISNUMBER(AU190),AU190*参数!$B$38,0)-AV190*参数!$B$41-AW190*参数!$B$14),0),0)</f>
        <v>6</v>
      </c>
      <c r="AZ190">
        <f>AY190-MAX(AP190,0)*参数!$B$10</f>
        <v>4.8</v>
      </c>
      <c r="BA190">
        <f t="shared" si="5"/>
        <v>15</v>
      </c>
    </row>
    <row r="191" spans="1:53" x14ac:dyDescent="0.3">
      <c r="A191">
        <v>190</v>
      </c>
      <c r="B191" t="s">
        <v>880</v>
      </c>
      <c r="C191" t="s">
        <v>767</v>
      </c>
      <c r="D191" t="s">
        <v>881</v>
      </c>
      <c r="E191" t="s">
        <v>882</v>
      </c>
      <c r="F191" t="s">
        <v>124</v>
      </c>
      <c r="G191" t="s">
        <v>12</v>
      </c>
      <c r="H191">
        <v>2</v>
      </c>
      <c r="I191">
        <v>1</v>
      </c>
      <c r="J191" t="s">
        <v>883</v>
      </c>
      <c r="L191" t="s">
        <v>120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s">
        <v>112</v>
      </c>
      <c r="AL191" t="s">
        <v>127</v>
      </c>
      <c r="AN191" t="s">
        <v>124</v>
      </c>
      <c r="AP191">
        <f t="shared" si="4"/>
        <v>2</v>
      </c>
      <c r="AQ191">
        <f>1*参数!$B$48</f>
        <v>8</v>
      </c>
      <c r="AR191">
        <v>0</v>
      </c>
      <c r="AT191" t="s">
        <v>113</v>
      </c>
      <c r="AU191">
        <v>0</v>
      </c>
      <c r="AY191">
        <f>IFERROR(MAX(IF(IF(AND(F191="能力",AL191="能力持续"),(参数!$B$2-1)*参数!$B$3,0)+M191*O191*参数!$B$5*IF(AND(F191="能力",AL191="能力持续"),参数!$B$2,1)+P191*参数!$B$6*IF(AND(F191="能力",AL191="能力持续"),参数!$B$2,1)+R191*参数!$B$7*IF(AND(F191="能力",AL191="能力持续"),参数!$B$2,1)+V191*参数!$B$8+IF(X191&lt;0,X191*参数!$B$13,X191*参数!$B$39)+IF(AE191&lt;0,AE191*参数!$B$13,AE191*参数!$B$12)*参数!$B$2+AQ191*参数!$B$15+AB191*参数!$B$11+AF191*参数!$B$40*参数!$B$2+AG191*参数!$B$44*参数!$B$2+AH191*参数!$B$6*参数!$B$2+AI191*参数!$B$39*参数!$B$2+AJ191*参数!$B$6*参数!$B$2+Z191*参数!$B$13-T191*参数!$B$14-AD191*参数!$B$13+IF(ISNUMBER(AU191),AU191*参数!$B$38,0)-AV191*参数!$B$41-AW191*参数!$B$14&gt;参数!$B$17,参数!$B$17+SQRT(IF(AND(F191="能力",AL191="能力持续"),(参数!$B$2-1)*参数!$B$3,0)+M191*O191*参数!$B$5*IF(AND(F191="能力",AL191="能力持续"),参数!$B$2,1)+P191*参数!$B$6*IF(AND(F191="能力",AL191="能力持续"),参数!$B$2,1)+R191*参数!$B$7*IF(AND(F191="能力",AL191="能力持续"),参数!$B$2,1)+V191*参数!$B$8+IF(X191&lt;0,X191*参数!$B$13,X191*参数!$B$39)+IF(AE191&lt;0,AE191*参数!$B$13,AE191*参数!$B$12)*参数!$B$2+AQ191*参数!$B$15+AB191*参数!$B$11+AF191*参数!$B$40*参数!$B$2+AG191*参数!$B$44*参数!$B$2+AH191*参数!$B$6*参数!$B$2+AI191*参数!$B$39*参数!$B$2+AJ191*参数!$B$6*参数!$B$2+Z191*参数!$B$13-T191*参数!$B$14-AD191*参数!$B$13+IF(ISNUMBER(AU191),AU191*参数!$B$38,0)-AV191*参数!$B$41-AW191*参数!$B$14-参数!$B$17)*参数!$B$18,IF(AND(F191="能力",AL191="能力持续"),(参数!$B$2-1)*参数!$B$3,0)+M191*O191*参数!$B$5*IF(AND(F191="能力",AL191="能力持续"),参数!$B$2,1)+P191*参数!$B$6*IF(AND(F191="能力",AL191="能力持续"),参数!$B$2,1)+R191*参数!$B$7*IF(AND(F191="能力",AL191="能力持续"),参数!$B$2,1)+V191*参数!$B$8+IF(X191&lt;0,X191*参数!$B$13,X191*参数!$B$39)+IF(AE191&lt;0,AE191*参数!$B$13,AE191*参数!$B$12)*参数!$B$2+AQ191*参数!$B$15+AB191*参数!$B$11+AF191*参数!$B$40*参数!$B$2+AG191*参数!$B$44*参数!$B$2+AH191*参数!$B$6*参数!$B$2+AI191*参数!$B$39*参数!$B$2+AJ191*参数!$B$6*参数!$B$2+Z191*参数!$B$13-T191*参数!$B$14-AD191*参数!$B$13+IF(ISNUMBER(AU191),AU191*参数!$B$38,0)-AV191*参数!$B$41-AW191*参数!$B$14),0),0)</f>
        <v>16.292853089020909</v>
      </c>
      <c r="AZ191">
        <f>AY191-MAX(AP191,0)*参数!$B$10</f>
        <v>10.292853089020909</v>
      </c>
      <c r="BA191">
        <f t="shared" si="5"/>
        <v>8.1464265445104544</v>
      </c>
    </row>
    <row r="192" spans="1:53" x14ac:dyDescent="0.3">
      <c r="A192">
        <v>191</v>
      </c>
      <c r="B192" t="s">
        <v>884</v>
      </c>
      <c r="C192" t="s">
        <v>767</v>
      </c>
      <c r="D192" t="s">
        <v>885</v>
      </c>
      <c r="E192" t="s">
        <v>886</v>
      </c>
      <c r="F192" t="s">
        <v>117</v>
      </c>
      <c r="G192" t="s">
        <v>12</v>
      </c>
      <c r="H192">
        <v>1</v>
      </c>
      <c r="I192">
        <v>1</v>
      </c>
      <c r="J192" t="s">
        <v>887</v>
      </c>
      <c r="L192" t="s">
        <v>120</v>
      </c>
      <c r="M192">
        <v>0</v>
      </c>
      <c r="N192">
        <v>0</v>
      </c>
      <c r="O192">
        <v>1</v>
      </c>
      <c r="P192">
        <v>13</v>
      </c>
      <c r="Q192">
        <v>17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112</v>
      </c>
      <c r="AP192">
        <f t="shared" si="4"/>
        <v>1</v>
      </c>
      <c r="AQ192">
        <v>0</v>
      </c>
      <c r="AR192">
        <v>0</v>
      </c>
      <c r="AT192" t="s">
        <v>113</v>
      </c>
      <c r="AU192">
        <v>0</v>
      </c>
      <c r="AY192">
        <f>IFERROR(MAX(IF(IF(AND(F192="能力",AL192="能力持续"),(参数!$B$2-1)*参数!$B$3,0)+M192*O192*参数!$B$5*IF(AND(F192="能力",AL192="能力持续"),参数!$B$2,1)+P192*参数!$B$6*IF(AND(F192="能力",AL192="能力持续"),参数!$B$2,1)+R192*参数!$B$7*IF(AND(F192="能力",AL192="能力持续"),参数!$B$2,1)+V192*参数!$B$8+IF(X192&lt;0,X192*参数!$B$13,X192*参数!$B$39)+IF(AE192&lt;0,AE192*参数!$B$13,AE192*参数!$B$12)*参数!$B$2+AQ192*参数!$B$15+AB192*参数!$B$11+AF192*参数!$B$40*参数!$B$2+AG192*参数!$B$44*参数!$B$2+AH192*参数!$B$6*参数!$B$2+AI192*参数!$B$39*参数!$B$2+AJ192*参数!$B$6*参数!$B$2+Z192*参数!$B$13-T192*参数!$B$14-AD192*参数!$B$13+IF(ISNUMBER(AU192),AU192*参数!$B$38,0)-AV192*参数!$B$41-AW192*参数!$B$14&gt;参数!$B$17,参数!$B$17+SQRT(IF(AND(F192="能力",AL192="能力持续"),(参数!$B$2-1)*参数!$B$3,0)+M192*O192*参数!$B$5*IF(AND(F192="能力",AL192="能力持续"),参数!$B$2,1)+P192*参数!$B$6*IF(AND(F192="能力",AL192="能力持续"),参数!$B$2,1)+R192*参数!$B$7*IF(AND(F192="能力",AL192="能力持续"),参数!$B$2,1)+V192*参数!$B$8+IF(X192&lt;0,X192*参数!$B$13,X192*参数!$B$39)+IF(AE192&lt;0,AE192*参数!$B$13,AE192*参数!$B$12)*参数!$B$2+AQ192*参数!$B$15+AB192*参数!$B$11+AF192*参数!$B$40*参数!$B$2+AG192*参数!$B$44*参数!$B$2+AH192*参数!$B$6*参数!$B$2+AI192*参数!$B$39*参数!$B$2+AJ192*参数!$B$6*参数!$B$2+Z192*参数!$B$13-T192*参数!$B$14-AD192*参数!$B$13+IF(ISNUMBER(AU192),AU192*参数!$B$38,0)-AV192*参数!$B$41-AW192*参数!$B$14-参数!$B$17)*参数!$B$18,IF(AND(F192="能力",AL192="能力持续"),(参数!$B$2-1)*参数!$B$3,0)+M192*O192*参数!$B$5*IF(AND(F192="能力",AL192="能力持续"),参数!$B$2,1)+P192*参数!$B$6*IF(AND(F192="能力",AL192="能力持续"),参数!$B$2,1)+R192*参数!$B$7*IF(AND(F192="能力",AL192="能力持续"),参数!$B$2,1)+V192*参数!$B$8+IF(X192&lt;0,X192*参数!$B$13,X192*参数!$B$39)+IF(AE192&lt;0,AE192*参数!$B$13,AE192*参数!$B$12)*参数!$B$2+AQ192*参数!$B$15+AB192*参数!$B$11+AF192*参数!$B$40*参数!$B$2+AG192*参数!$B$44*参数!$B$2+AH192*参数!$B$6*参数!$B$2+AI192*参数!$B$39*参数!$B$2+AJ192*参数!$B$6*参数!$B$2+Z192*参数!$B$13-T192*参数!$B$14-AD192*参数!$B$13+IF(ISNUMBER(AU192),AU192*参数!$B$38,0)-AV192*参数!$B$41-AW192*参数!$B$14),0),0)</f>
        <v>11.710263137648708</v>
      </c>
      <c r="AZ192">
        <f>AY192-MAX(AP192,0)*参数!$B$10</f>
        <v>8.7102631376487079</v>
      </c>
      <c r="BA192">
        <f t="shared" si="5"/>
        <v>11.710263137648708</v>
      </c>
    </row>
    <row r="193" spans="1:53" x14ac:dyDescent="0.3">
      <c r="A193">
        <v>192</v>
      </c>
      <c r="B193" t="s">
        <v>888</v>
      </c>
      <c r="C193" t="s">
        <v>767</v>
      </c>
      <c r="D193" t="s">
        <v>889</v>
      </c>
      <c r="E193" t="s">
        <v>890</v>
      </c>
      <c r="F193" t="s">
        <v>108</v>
      </c>
      <c r="G193" t="s">
        <v>14</v>
      </c>
      <c r="H193">
        <v>2</v>
      </c>
      <c r="I193">
        <v>2</v>
      </c>
      <c r="J193" t="s">
        <v>891</v>
      </c>
      <c r="K193" t="s">
        <v>182</v>
      </c>
      <c r="L193" t="s">
        <v>301</v>
      </c>
      <c r="M193">
        <v>8</v>
      </c>
      <c r="N193">
        <v>11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112</v>
      </c>
      <c r="AO193" t="s">
        <v>182</v>
      </c>
      <c r="AP193">
        <f t="shared" si="4"/>
        <v>2</v>
      </c>
      <c r="AQ193">
        <v>0</v>
      </c>
      <c r="AR193">
        <v>0</v>
      </c>
      <c r="AT193" t="s">
        <v>113</v>
      </c>
      <c r="AU193">
        <v>0</v>
      </c>
      <c r="AY193">
        <f>IFERROR(MAX(IF(IF(AND(F193="能力",AL193="能力持续"),(参数!$B$2-1)*参数!$B$3,0)+M193*O193*参数!$B$5*IF(AND(F193="能力",AL193="能力持续"),参数!$B$2,1)+P193*参数!$B$6*IF(AND(F193="能力",AL193="能力持续"),参数!$B$2,1)+R193*参数!$B$7*IF(AND(F193="能力",AL193="能力持续"),参数!$B$2,1)+V193*参数!$B$8+IF(X193&lt;0,X193*参数!$B$13,X193*参数!$B$39)+IF(AE193&lt;0,AE193*参数!$B$13,AE193*参数!$B$12)*参数!$B$2+AQ193*参数!$B$15+AB193*参数!$B$11+AF193*参数!$B$40*参数!$B$2+AG193*参数!$B$44*参数!$B$2+AH193*参数!$B$6*参数!$B$2+AI193*参数!$B$39*参数!$B$2+AJ193*参数!$B$6*参数!$B$2+Z193*参数!$B$13-T193*参数!$B$14-AD193*参数!$B$13+IF(ISNUMBER(AU193),AU193*参数!$B$38,0)-AV193*参数!$B$41-AW193*参数!$B$14&gt;参数!$B$17,参数!$B$17+SQRT(IF(AND(F193="能力",AL193="能力持续"),(参数!$B$2-1)*参数!$B$3,0)+M193*O193*参数!$B$5*IF(AND(F193="能力",AL193="能力持续"),参数!$B$2,1)+P193*参数!$B$6*IF(AND(F193="能力",AL193="能力持续"),参数!$B$2,1)+R193*参数!$B$7*IF(AND(F193="能力",AL193="能力持续"),参数!$B$2,1)+V193*参数!$B$8+IF(X193&lt;0,X193*参数!$B$13,X193*参数!$B$39)+IF(AE193&lt;0,AE193*参数!$B$13,AE193*参数!$B$12)*参数!$B$2+AQ193*参数!$B$15+AB193*参数!$B$11+AF193*参数!$B$40*参数!$B$2+AG193*参数!$B$44*参数!$B$2+AH193*参数!$B$6*参数!$B$2+AI193*参数!$B$39*参数!$B$2+AJ193*参数!$B$6*参数!$B$2+Z193*参数!$B$13-T193*参数!$B$14-AD193*参数!$B$13+IF(ISNUMBER(AU193),AU193*参数!$B$38,0)-AV193*参数!$B$41-AW193*参数!$B$14-参数!$B$17)*参数!$B$18,IF(AND(F193="能力",AL193="能力持续"),(参数!$B$2-1)*参数!$B$3,0)+M193*O193*参数!$B$5*IF(AND(F193="能力",AL193="能力持续"),参数!$B$2,1)+P193*参数!$B$6*IF(AND(F193="能力",AL193="能力持续"),参数!$B$2,1)+R193*参数!$B$7*IF(AND(F193="能力",AL193="能力持续"),参数!$B$2,1)+V193*参数!$B$8+IF(X193&lt;0,X193*参数!$B$13,X193*参数!$B$39)+IF(AE193&lt;0,AE193*参数!$B$13,AE193*参数!$B$12)*参数!$B$2+AQ193*参数!$B$15+AB193*参数!$B$11+AF193*参数!$B$40*参数!$B$2+AG193*参数!$B$44*参数!$B$2+AH193*参数!$B$6*参数!$B$2+AI193*参数!$B$39*参数!$B$2+AJ193*参数!$B$6*参数!$B$2+Z193*参数!$B$13-T193*参数!$B$14-AD193*参数!$B$13+IF(ISNUMBER(AU193),AU193*参数!$B$38,0)-AV193*参数!$B$41-AW193*参数!$B$14),0),0)</f>
        <v>15.612486080160913</v>
      </c>
      <c r="AZ193">
        <f>AY193-MAX(AP193,0)*参数!$B$10</f>
        <v>9.6124860801609131</v>
      </c>
      <c r="BA193">
        <f t="shared" si="5"/>
        <v>7.8062430400804566</v>
      </c>
    </row>
    <row r="194" spans="1:53" x14ac:dyDescent="0.3">
      <c r="A194">
        <v>193</v>
      </c>
      <c r="B194" t="s">
        <v>892</v>
      </c>
      <c r="C194" t="s">
        <v>767</v>
      </c>
      <c r="D194" t="s">
        <v>893</v>
      </c>
      <c r="E194" t="s">
        <v>894</v>
      </c>
      <c r="F194" t="s">
        <v>108</v>
      </c>
      <c r="G194" t="s">
        <v>10</v>
      </c>
      <c r="H194">
        <v>1</v>
      </c>
      <c r="I194">
        <v>1</v>
      </c>
      <c r="J194" t="s">
        <v>895</v>
      </c>
      <c r="L194" t="s">
        <v>111</v>
      </c>
      <c r="M194">
        <v>9</v>
      </c>
      <c r="N194">
        <v>11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 t="s">
        <v>112</v>
      </c>
      <c r="AN194" t="s">
        <v>161</v>
      </c>
      <c r="AP194">
        <f t="shared" ref="AP194:AP257" si="6">IF(ISNUMBER(H194),IF(AND(H194=0,V194=0,AK194="none"),0.4,IF(AK194="exhaust",MAX(H194-V194,0.4),IF(AK194="ethereal",MAX(H194-V194,0.4),MAX(H194-V194,0.4)))),IF(AND(AK194="exhaust",OR(H194="X",H194="∞")),0.4,IF(OR(H194="X",H194="∞"),0.4,0.4)))</f>
        <v>1</v>
      </c>
      <c r="AQ194">
        <v>0</v>
      </c>
      <c r="AR194">
        <v>0</v>
      </c>
      <c r="AT194" t="s">
        <v>113</v>
      </c>
      <c r="AU194">
        <v>0</v>
      </c>
      <c r="AY194">
        <f>IFERROR(MAX(IF(IF(AND(F194="能力",AL194="能力持续"),(参数!$B$2-1)*参数!$B$3,0)+M194*O194*参数!$B$5*IF(AND(F194="能力",AL194="能力持续"),参数!$B$2,1)+P194*参数!$B$6*IF(AND(F194="能力",AL194="能力持续"),参数!$B$2,1)+R194*参数!$B$7*IF(AND(F194="能力",AL194="能力持续"),参数!$B$2,1)+V194*参数!$B$8+IF(X194&lt;0,X194*参数!$B$13,X194*参数!$B$39)+IF(AE194&lt;0,AE194*参数!$B$13,AE194*参数!$B$12)*参数!$B$2+AQ194*参数!$B$15+AB194*参数!$B$11+AF194*参数!$B$40*参数!$B$2+AG194*参数!$B$44*参数!$B$2+AH194*参数!$B$6*参数!$B$2+AI194*参数!$B$39*参数!$B$2+AJ194*参数!$B$6*参数!$B$2+Z194*参数!$B$13-T194*参数!$B$14-AD194*参数!$B$13+IF(ISNUMBER(AU194),AU194*参数!$B$38,0)-AV194*参数!$B$41-AW194*参数!$B$14&gt;参数!$B$17,参数!$B$17+SQRT(IF(AND(F194="能力",AL194="能力持续"),(参数!$B$2-1)*参数!$B$3,0)+M194*O194*参数!$B$5*IF(AND(F194="能力",AL194="能力持续"),参数!$B$2,1)+P194*参数!$B$6*IF(AND(F194="能力",AL194="能力持续"),参数!$B$2,1)+R194*参数!$B$7*IF(AND(F194="能力",AL194="能力持续"),参数!$B$2,1)+V194*参数!$B$8+IF(X194&lt;0,X194*参数!$B$13,X194*参数!$B$39)+IF(AE194&lt;0,AE194*参数!$B$13,AE194*参数!$B$12)*参数!$B$2+AQ194*参数!$B$15+AB194*参数!$B$11+AF194*参数!$B$40*参数!$B$2+AG194*参数!$B$44*参数!$B$2+AH194*参数!$B$6*参数!$B$2+AI194*参数!$B$39*参数!$B$2+AJ194*参数!$B$6*参数!$B$2+Z194*参数!$B$13-T194*参数!$B$14-AD194*参数!$B$13+IF(ISNUMBER(AU194),AU194*参数!$B$38,0)-AV194*参数!$B$41-AW194*参数!$B$14-参数!$B$17)*参数!$B$18,IF(AND(F194="能力",AL194="能力持续"),(参数!$B$2-1)*参数!$B$3,0)+M194*O194*参数!$B$5*IF(AND(F194="能力",AL194="能力持续"),参数!$B$2,1)+P194*参数!$B$6*IF(AND(F194="能力",AL194="能力持续"),参数!$B$2,1)+R194*参数!$B$7*IF(AND(F194="能力",AL194="能力持续"),参数!$B$2,1)+V194*参数!$B$8+IF(X194&lt;0,X194*参数!$B$13,X194*参数!$B$39)+IF(AE194&lt;0,AE194*参数!$B$13,AE194*参数!$B$12)*参数!$B$2+AQ194*参数!$B$15+AB194*参数!$B$11+AF194*参数!$B$40*参数!$B$2+AG194*参数!$B$44*参数!$B$2+AH194*参数!$B$6*参数!$B$2+AI194*参数!$B$39*参数!$B$2+AJ194*参数!$B$6*参数!$B$2+Z194*参数!$B$13-T194*参数!$B$14-AD194*参数!$B$13+IF(ISNUMBER(AU194),AU194*参数!$B$38,0)-AV194*参数!$B$41-AW194*参数!$B$14),0),0)</f>
        <v>13.07408522978788</v>
      </c>
      <c r="AZ194">
        <f>AY194-MAX(AP194,0)*参数!$B$10</f>
        <v>10.07408522978788</v>
      </c>
      <c r="BA194">
        <f t="shared" ref="BA194:BA257" si="7">IF(MAX(AP194,0)=0,AY194,AY194/MAX(AP194,0))</f>
        <v>13.07408522978788</v>
      </c>
    </row>
    <row r="195" spans="1:53" x14ac:dyDescent="0.3">
      <c r="A195">
        <v>194</v>
      </c>
      <c r="B195" t="s">
        <v>896</v>
      </c>
      <c r="C195" t="s">
        <v>767</v>
      </c>
      <c r="D195" t="s">
        <v>897</v>
      </c>
      <c r="E195" t="s">
        <v>898</v>
      </c>
      <c r="F195" t="s">
        <v>108</v>
      </c>
      <c r="G195" t="s">
        <v>12</v>
      </c>
      <c r="H195">
        <v>0</v>
      </c>
      <c r="I195">
        <v>0</v>
      </c>
      <c r="J195" t="s">
        <v>899</v>
      </c>
      <c r="L195" t="s">
        <v>111</v>
      </c>
      <c r="M195">
        <v>5</v>
      </c>
      <c r="N195">
        <v>6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112</v>
      </c>
      <c r="AN195" t="s">
        <v>161</v>
      </c>
      <c r="AP195">
        <f t="shared" si="6"/>
        <v>0.4</v>
      </c>
      <c r="AQ195">
        <v>0</v>
      </c>
      <c r="AR195">
        <v>0</v>
      </c>
      <c r="AT195" t="s">
        <v>113</v>
      </c>
      <c r="AU195">
        <v>0</v>
      </c>
      <c r="AY195">
        <f>IFERROR(MAX(IF(IF(AND(F195="能力",AL195="能力持续"),(参数!$B$2-1)*参数!$B$3,0)+M195*O195*参数!$B$5*IF(AND(F195="能力",AL195="能力持续"),参数!$B$2,1)+P195*参数!$B$6*IF(AND(F195="能力",AL195="能力持续"),参数!$B$2,1)+R195*参数!$B$7*IF(AND(F195="能力",AL195="能力持续"),参数!$B$2,1)+V195*参数!$B$8+IF(X195&lt;0,X195*参数!$B$13,X195*参数!$B$39)+IF(AE195&lt;0,AE195*参数!$B$13,AE195*参数!$B$12)*参数!$B$2+AQ195*参数!$B$15+AB195*参数!$B$11+AF195*参数!$B$40*参数!$B$2+AG195*参数!$B$44*参数!$B$2+AH195*参数!$B$6*参数!$B$2+AI195*参数!$B$39*参数!$B$2+AJ195*参数!$B$6*参数!$B$2+Z195*参数!$B$13-T195*参数!$B$14-AD195*参数!$B$13+IF(ISNUMBER(AU195),AU195*参数!$B$38,0)-AV195*参数!$B$41-AW195*参数!$B$14&gt;参数!$B$17,参数!$B$17+SQRT(IF(AND(F195="能力",AL195="能力持续"),(参数!$B$2-1)*参数!$B$3,0)+M195*O195*参数!$B$5*IF(AND(F195="能力",AL195="能力持续"),参数!$B$2,1)+P195*参数!$B$6*IF(AND(F195="能力",AL195="能力持续"),参数!$B$2,1)+R195*参数!$B$7*IF(AND(F195="能力",AL195="能力持续"),参数!$B$2,1)+V195*参数!$B$8+IF(X195&lt;0,X195*参数!$B$13,X195*参数!$B$39)+IF(AE195&lt;0,AE195*参数!$B$13,AE195*参数!$B$12)*参数!$B$2+AQ195*参数!$B$15+AB195*参数!$B$11+AF195*参数!$B$40*参数!$B$2+AG195*参数!$B$44*参数!$B$2+AH195*参数!$B$6*参数!$B$2+AI195*参数!$B$39*参数!$B$2+AJ195*参数!$B$6*参数!$B$2+Z195*参数!$B$13-T195*参数!$B$14-AD195*参数!$B$13+IF(ISNUMBER(AU195),AU195*参数!$B$38,0)-AV195*参数!$B$41-AW195*参数!$B$14-参数!$B$17)*参数!$B$18,IF(AND(F195="能力",AL195="能力持续"),(参数!$B$2-1)*参数!$B$3,0)+M195*O195*参数!$B$5*IF(AND(F195="能力",AL195="能力持续"),参数!$B$2,1)+P195*参数!$B$6*IF(AND(F195="能力",AL195="能力持续"),参数!$B$2,1)+R195*参数!$B$7*IF(AND(F195="能力",AL195="能力持续"),参数!$B$2,1)+V195*参数!$B$8+IF(X195&lt;0,X195*参数!$B$13,X195*参数!$B$39)+IF(AE195&lt;0,AE195*参数!$B$13,AE195*参数!$B$12)*参数!$B$2+AQ195*参数!$B$15+AB195*参数!$B$11+AF195*参数!$B$40*参数!$B$2+AG195*参数!$B$44*参数!$B$2+AH195*参数!$B$6*参数!$B$2+AI195*参数!$B$39*参数!$B$2+AJ195*参数!$B$6*参数!$B$2+Z195*参数!$B$13-T195*参数!$B$14-AD195*参数!$B$13+IF(ISNUMBER(AU195),AU195*参数!$B$38,0)-AV195*参数!$B$41-AW195*参数!$B$14),0),0)</f>
        <v>5.7</v>
      </c>
      <c r="AZ195">
        <f>AY195-MAX(AP195,0)*参数!$B$10</f>
        <v>4.5</v>
      </c>
      <c r="BA195">
        <f t="shared" si="7"/>
        <v>14.25</v>
      </c>
    </row>
    <row r="196" spans="1:53" x14ac:dyDescent="0.3">
      <c r="A196">
        <v>195</v>
      </c>
      <c r="B196" t="s">
        <v>900</v>
      </c>
      <c r="C196" t="s">
        <v>767</v>
      </c>
      <c r="D196" t="s">
        <v>901</v>
      </c>
      <c r="E196" t="s">
        <v>902</v>
      </c>
      <c r="F196" t="s">
        <v>117</v>
      </c>
      <c r="G196" t="s">
        <v>12</v>
      </c>
      <c r="H196">
        <v>1</v>
      </c>
      <c r="I196">
        <v>1</v>
      </c>
      <c r="J196" t="s">
        <v>903</v>
      </c>
      <c r="L196" t="s">
        <v>120</v>
      </c>
      <c r="M196">
        <f>1*参数!$B$45</f>
        <v>8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 t="s">
        <v>112</v>
      </c>
      <c r="AP196">
        <f t="shared" si="6"/>
        <v>1</v>
      </c>
      <c r="AQ196">
        <v>0</v>
      </c>
      <c r="AR196">
        <v>0</v>
      </c>
      <c r="AT196" t="s">
        <v>113</v>
      </c>
      <c r="AU196">
        <v>0</v>
      </c>
      <c r="AY196">
        <f>IFERROR(MAX(IF(IF(AND(F196="能力",AL196="能力持续"),(参数!$B$2-1)*参数!$B$3,0)+M196*O196*参数!$B$5*IF(AND(F196="能力",AL196="能力持续"),参数!$B$2,1)+P196*参数!$B$6*IF(AND(F196="能力",AL196="能力持续"),参数!$B$2,1)+R196*参数!$B$7*IF(AND(F196="能力",AL196="能力持续"),参数!$B$2,1)+V196*参数!$B$8+IF(X196&lt;0,X196*参数!$B$13,X196*参数!$B$39)+IF(AE196&lt;0,AE196*参数!$B$13,AE196*参数!$B$12)*参数!$B$2+AQ196*参数!$B$15+AB196*参数!$B$11+AF196*参数!$B$40*参数!$B$2+AG196*参数!$B$44*参数!$B$2+AH196*参数!$B$6*参数!$B$2+AI196*参数!$B$39*参数!$B$2+AJ196*参数!$B$6*参数!$B$2+Z196*参数!$B$13-T196*参数!$B$14-AD196*参数!$B$13+IF(ISNUMBER(AU196),AU196*参数!$B$38,0)-AV196*参数!$B$41-AW196*参数!$B$14&gt;参数!$B$17,参数!$B$17+SQRT(IF(AND(F196="能力",AL196="能力持续"),(参数!$B$2-1)*参数!$B$3,0)+M196*O196*参数!$B$5*IF(AND(F196="能力",AL196="能力持续"),参数!$B$2,1)+P196*参数!$B$6*IF(AND(F196="能力",AL196="能力持续"),参数!$B$2,1)+R196*参数!$B$7*IF(AND(F196="能力",AL196="能力持续"),参数!$B$2,1)+V196*参数!$B$8+IF(X196&lt;0,X196*参数!$B$13,X196*参数!$B$39)+IF(AE196&lt;0,AE196*参数!$B$13,AE196*参数!$B$12)*参数!$B$2+AQ196*参数!$B$15+AB196*参数!$B$11+AF196*参数!$B$40*参数!$B$2+AG196*参数!$B$44*参数!$B$2+AH196*参数!$B$6*参数!$B$2+AI196*参数!$B$39*参数!$B$2+AJ196*参数!$B$6*参数!$B$2+Z196*参数!$B$13-T196*参数!$B$14-AD196*参数!$B$13+IF(ISNUMBER(AU196),AU196*参数!$B$38,0)-AV196*参数!$B$41-AW196*参数!$B$14-参数!$B$17)*参数!$B$18,IF(AND(F196="能力",AL196="能力持续"),(参数!$B$2-1)*参数!$B$3,0)+M196*O196*参数!$B$5*IF(AND(F196="能力",AL196="能力持续"),参数!$B$2,1)+P196*参数!$B$6*IF(AND(F196="能力",AL196="能力持续"),参数!$B$2,1)+R196*参数!$B$7*IF(AND(F196="能力",AL196="能力持续"),参数!$B$2,1)+V196*参数!$B$8+IF(X196&lt;0,X196*参数!$B$13,X196*参数!$B$39)+IF(AE196&lt;0,AE196*参数!$B$13,AE196*参数!$B$12)*参数!$B$2+AQ196*参数!$B$15+AB196*参数!$B$11+AF196*参数!$B$40*参数!$B$2+AG196*参数!$B$44*参数!$B$2+AH196*参数!$B$6*参数!$B$2+AI196*参数!$B$39*参数!$B$2+AJ196*参数!$B$6*参数!$B$2+Z196*参数!$B$13-T196*参数!$B$14-AD196*参数!$B$13+IF(ISNUMBER(AU196),AU196*参数!$B$38,0)-AV196*参数!$B$41-AW196*参数!$B$14),0),0)</f>
        <v>8</v>
      </c>
      <c r="AZ196">
        <f>AY196-MAX(AP196,0)*参数!$B$10</f>
        <v>5</v>
      </c>
      <c r="BA196">
        <f t="shared" si="7"/>
        <v>8</v>
      </c>
    </row>
    <row r="197" spans="1:53" x14ac:dyDescent="0.3">
      <c r="A197">
        <v>196</v>
      </c>
      <c r="B197" t="s">
        <v>904</v>
      </c>
      <c r="C197" t="s">
        <v>767</v>
      </c>
      <c r="D197" t="s">
        <v>905</v>
      </c>
      <c r="E197" t="s">
        <v>906</v>
      </c>
      <c r="F197" t="s">
        <v>117</v>
      </c>
      <c r="G197" t="s">
        <v>14</v>
      </c>
      <c r="H197">
        <v>1</v>
      </c>
      <c r="I197">
        <v>1</v>
      </c>
      <c r="J197" t="s">
        <v>907</v>
      </c>
      <c r="L197" t="s">
        <v>120</v>
      </c>
      <c r="M197">
        <v>0</v>
      </c>
      <c r="N197">
        <v>0</v>
      </c>
      <c r="O197">
        <v>1</v>
      </c>
      <c r="P197">
        <v>12</v>
      </c>
      <c r="Q197">
        <v>15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 t="s">
        <v>112</v>
      </c>
      <c r="AP197">
        <f t="shared" si="6"/>
        <v>1</v>
      </c>
      <c r="AQ197">
        <v>0</v>
      </c>
      <c r="AR197">
        <v>0</v>
      </c>
      <c r="AT197" t="s">
        <v>113</v>
      </c>
      <c r="AU197">
        <v>0</v>
      </c>
      <c r="AY197">
        <f>IFERROR(MAX(IF(IF(AND(F197="能力",AL197="能力持续"),(参数!$B$2-1)*参数!$B$3,0)+M197*O197*参数!$B$5*IF(AND(F197="能力",AL197="能力持续"),参数!$B$2,1)+P197*参数!$B$6*IF(AND(F197="能力",AL197="能力持续"),参数!$B$2,1)+R197*参数!$B$7*IF(AND(F197="能力",AL197="能力持续"),参数!$B$2,1)+V197*参数!$B$8+IF(X197&lt;0,X197*参数!$B$13,X197*参数!$B$39)+IF(AE197&lt;0,AE197*参数!$B$13,AE197*参数!$B$12)*参数!$B$2+AQ197*参数!$B$15+AB197*参数!$B$11+AF197*参数!$B$40*参数!$B$2+AG197*参数!$B$44*参数!$B$2+AH197*参数!$B$6*参数!$B$2+AI197*参数!$B$39*参数!$B$2+AJ197*参数!$B$6*参数!$B$2+Z197*参数!$B$13-T197*参数!$B$14-AD197*参数!$B$13+IF(ISNUMBER(AU197),AU197*参数!$B$38,0)-AV197*参数!$B$41-AW197*参数!$B$14&gt;参数!$B$17,参数!$B$17+SQRT(IF(AND(F197="能力",AL197="能力持续"),(参数!$B$2-1)*参数!$B$3,0)+M197*O197*参数!$B$5*IF(AND(F197="能力",AL197="能力持续"),参数!$B$2,1)+P197*参数!$B$6*IF(AND(F197="能力",AL197="能力持续"),参数!$B$2,1)+R197*参数!$B$7*IF(AND(F197="能力",AL197="能力持续"),参数!$B$2,1)+V197*参数!$B$8+IF(X197&lt;0,X197*参数!$B$13,X197*参数!$B$39)+IF(AE197&lt;0,AE197*参数!$B$13,AE197*参数!$B$12)*参数!$B$2+AQ197*参数!$B$15+AB197*参数!$B$11+AF197*参数!$B$40*参数!$B$2+AG197*参数!$B$44*参数!$B$2+AH197*参数!$B$6*参数!$B$2+AI197*参数!$B$39*参数!$B$2+AJ197*参数!$B$6*参数!$B$2+Z197*参数!$B$13-T197*参数!$B$14-AD197*参数!$B$13+IF(ISNUMBER(AU197),AU197*参数!$B$38,0)-AV197*参数!$B$41-AW197*参数!$B$14-参数!$B$17)*参数!$B$18,IF(AND(F197="能力",AL197="能力持续"),(参数!$B$2-1)*参数!$B$3,0)+M197*O197*参数!$B$5*IF(AND(F197="能力",AL197="能力持续"),参数!$B$2,1)+P197*参数!$B$6*IF(AND(F197="能力",AL197="能力持续"),参数!$B$2,1)+R197*参数!$B$7*IF(AND(F197="能力",AL197="能力持续"),参数!$B$2,1)+V197*参数!$B$8+IF(X197&lt;0,X197*参数!$B$13,X197*参数!$B$39)+IF(AE197&lt;0,AE197*参数!$B$13,AE197*参数!$B$12)*参数!$B$2+AQ197*参数!$B$15+AB197*参数!$B$11+AF197*参数!$B$40*参数!$B$2+AG197*参数!$B$44*参数!$B$2+AH197*参数!$B$6*参数!$B$2+AI197*参数!$B$39*参数!$B$2+AJ197*参数!$B$6*参数!$B$2+Z197*参数!$B$13-T197*参数!$B$14-AD197*参数!$B$13+IF(ISNUMBER(AU197),AU197*参数!$B$38,0)-AV197*参数!$B$41-AW197*参数!$B$14),0),0)</f>
        <v>12.683281572999748</v>
      </c>
      <c r="AZ197">
        <f>AY197-MAX(AP197,0)*参数!$B$10</f>
        <v>9.6832815729997481</v>
      </c>
      <c r="BA197">
        <f t="shared" si="7"/>
        <v>12.683281572999748</v>
      </c>
    </row>
    <row r="198" spans="1:53" x14ac:dyDescent="0.3">
      <c r="A198">
        <v>197</v>
      </c>
      <c r="B198" t="s">
        <v>908</v>
      </c>
      <c r="C198" t="s">
        <v>767</v>
      </c>
      <c r="D198" t="s">
        <v>909</v>
      </c>
      <c r="E198" t="s">
        <v>910</v>
      </c>
      <c r="F198" t="s">
        <v>117</v>
      </c>
      <c r="G198" t="s">
        <v>12</v>
      </c>
      <c r="H198">
        <v>2</v>
      </c>
      <c r="I198">
        <v>2</v>
      </c>
      <c r="J198" t="s">
        <v>911</v>
      </c>
      <c r="L198" t="s">
        <v>120</v>
      </c>
      <c r="M198">
        <v>0</v>
      </c>
      <c r="N198">
        <v>0</v>
      </c>
      <c r="O198">
        <v>1</v>
      </c>
      <c r="P198">
        <v>6</v>
      </c>
      <c r="Q198">
        <v>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 t="s">
        <v>112</v>
      </c>
      <c r="AP198">
        <f t="shared" si="6"/>
        <v>2</v>
      </c>
      <c r="AQ198">
        <v>0</v>
      </c>
      <c r="AR198">
        <v>0</v>
      </c>
      <c r="AT198" t="s">
        <v>113</v>
      </c>
      <c r="AU198">
        <v>0</v>
      </c>
      <c r="AY198">
        <f>IFERROR(MAX(IF(IF(AND(F198="能力",AL198="能力持续"),(参数!$B$2-1)*参数!$B$3,0)+M198*O198*参数!$B$5*IF(AND(F198="能力",AL198="能力持续"),参数!$B$2,1)+P198*参数!$B$6*IF(AND(F198="能力",AL198="能力持续"),参数!$B$2,1)+R198*参数!$B$7*IF(AND(F198="能力",AL198="能力持续"),参数!$B$2,1)+V198*参数!$B$8+IF(X198&lt;0,X198*参数!$B$13,X198*参数!$B$39)+IF(AE198&lt;0,AE198*参数!$B$13,AE198*参数!$B$12)*参数!$B$2+AQ198*参数!$B$15+AB198*参数!$B$11+AF198*参数!$B$40*参数!$B$2+AG198*参数!$B$44*参数!$B$2+AH198*参数!$B$6*参数!$B$2+AI198*参数!$B$39*参数!$B$2+AJ198*参数!$B$6*参数!$B$2+Z198*参数!$B$13-T198*参数!$B$14-AD198*参数!$B$13+IF(ISNUMBER(AU198),AU198*参数!$B$38,0)-AV198*参数!$B$41-AW198*参数!$B$14&gt;参数!$B$17,参数!$B$17+SQRT(IF(AND(F198="能力",AL198="能力持续"),(参数!$B$2-1)*参数!$B$3,0)+M198*O198*参数!$B$5*IF(AND(F198="能力",AL198="能力持续"),参数!$B$2,1)+P198*参数!$B$6*IF(AND(F198="能力",AL198="能力持续"),参数!$B$2,1)+R198*参数!$B$7*IF(AND(F198="能力",AL198="能力持续"),参数!$B$2,1)+V198*参数!$B$8+IF(X198&lt;0,X198*参数!$B$13,X198*参数!$B$39)+IF(AE198&lt;0,AE198*参数!$B$13,AE198*参数!$B$12)*参数!$B$2+AQ198*参数!$B$15+AB198*参数!$B$11+AF198*参数!$B$40*参数!$B$2+AG198*参数!$B$44*参数!$B$2+AH198*参数!$B$6*参数!$B$2+AI198*参数!$B$39*参数!$B$2+AJ198*参数!$B$6*参数!$B$2+Z198*参数!$B$13-T198*参数!$B$14-AD198*参数!$B$13+IF(ISNUMBER(AU198),AU198*参数!$B$38,0)-AV198*参数!$B$41-AW198*参数!$B$14-参数!$B$17)*参数!$B$18,IF(AND(F198="能力",AL198="能力持续"),(参数!$B$2-1)*参数!$B$3,0)+M198*O198*参数!$B$5*IF(AND(F198="能力",AL198="能力持续"),参数!$B$2,1)+P198*参数!$B$6*IF(AND(F198="能力",AL198="能力持续"),参数!$B$2,1)+R198*参数!$B$7*IF(AND(F198="能力",AL198="能力持续"),参数!$B$2,1)+V198*参数!$B$8+IF(X198&lt;0,X198*参数!$B$13,X198*参数!$B$39)+IF(AE198&lt;0,AE198*参数!$B$13,AE198*参数!$B$12)*参数!$B$2+AQ198*参数!$B$15+AB198*参数!$B$11+AF198*参数!$B$40*参数!$B$2+AG198*参数!$B$44*参数!$B$2+AH198*参数!$B$6*参数!$B$2+AI198*参数!$B$39*参数!$B$2+AJ198*参数!$B$6*参数!$B$2+Z198*参数!$B$13-T198*参数!$B$14-AD198*参数!$B$13+IF(ISNUMBER(AU198),AU198*参数!$B$38,0)-AV198*参数!$B$41-AW198*参数!$B$14),0),0)</f>
        <v>6.6000000000000005</v>
      </c>
      <c r="AZ198">
        <f>AY198-MAX(AP198,0)*参数!$B$10</f>
        <v>0.60000000000000053</v>
      </c>
      <c r="BA198">
        <f t="shared" si="7"/>
        <v>3.3000000000000003</v>
      </c>
    </row>
    <row r="199" spans="1:53" x14ac:dyDescent="0.3">
      <c r="A199">
        <v>198</v>
      </c>
      <c r="B199" t="s">
        <v>912</v>
      </c>
      <c r="C199" t="s">
        <v>767</v>
      </c>
      <c r="D199" t="s">
        <v>913</v>
      </c>
      <c r="E199" t="s">
        <v>914</v>
      </c>
      <c r="F199" t="s">
        <v>117</v>
      </c>
      <c r="G199" t="s">
        <v>12</v>
      </c>
      <c r="H199">
        <v>1</v>
      </c>
      <c r="I199">
        <v>1</v>
      </c>
      <c r="J199" t="s">
        <v>915</v>
      </c>
      <c r="L199" t="s">
        <v>120</v>
      </c>
      <c r="M199">
        <v>0</v>
      </c>
      <c r="N199">
        <v>0</v>
      </c>
      <c r="O199">
        <v>1</v>
      </c>
      <c r="P199">
        <v>5</v>
      </c>
      <c r="Q199">
        <v>8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 t="s">
        <v>112</v>
      </c>
      <c r="AP199">
        <f t="shared" si="6"/>
        <v>1</v>
      </c>
      <c r="AQ199">
        <v>0</v>
      </c>
      <c r="AR199">
        <v>0</v>
      </c>
      <c r="AT199" t="s">
        <v>113</v>
      </c>
      <c r="AU199">
        <v>0</v>
      </c>
      <c r="AY199">
        <f>IFERROR(MAX(IF(IF(AND(F199="能力",AL199="能力持续"),(参数!$B$2-1)*参数!$B$3,0)+M199*O199*参数!$B$5*IF(AND(F199="能力",AL199="能力持续"),参数!$B$2,1)+P199*参数!$B$6*IF(AND(F199="能力",AL199="能力持续"),参数!$B$2,1)+R199*参数!$B$7*IF(AND(F199="能力",AL199="能力持续"),参数!$B$2,1)+V199*参数!$B$8+IF(X199&lt;0,X199*参数!$B$13,X199*参数!$B$39)+IF(AE199&lt;0,AE199*参数!$B$13,AE199*参数!$B$12)*参数!$B$2+AQ199*参数!$B$15+AB199*参数!$B$11+AF199*参数!$B$40*参数!$B$2+AG199*参数!$B$44*参数!$B$2+AH199*参数!$B$6*参数!$B$2+AI199*参数!$B$39*参数!$B$2+AJ199*参数!$B$6*参数!$B$2+Z199*参数!$B$13-T199*参数!$B$14-AD199*参数!$B$13+IF(ISNUMBER(AU199),AU199*参数!$B$38,0)-AV199*参数!$B$41-AW199*参数!$B$14&gt;参数!$B$17,参数!$B$17+SQRT(IF(AND(F199="能力",AL199="能力持续"),(参数!$B$2-1)*参数!$B$3,0)+M199*O199*参数!$B$5*IF(AND(F199="能力",AL199="能力持续"),参数!$B$2,1)+P199*参数!$B$6*IF(AND(F199="能力",AL199="能力持续"),参数!$B$2,1)+R199*参数!$B$7*IF(AND(F199="能力",AL199="能力持续"),参数!$B$2,1)+V199*参数!$B$8+IF(X199&lt;0,X199*参数!$B$13,X199*参数!$B$39)+IF(AE199&lt;0,AE199*参数!$B$13,AE199*参数!$B$12)*参数!$B$2+AQ199*参数!$B$15+AB199*参数!$B$11+AF199*参数!$B$40*参数!$B$2+AG199*参数!$B$44*参数!$B$2+AH199*参数!$B$6*参数!$B$2+AI199*参数!$B$39*参数!$B$2+AJ199*参数!$B$6*参数!$B$2+Z199*参数!$B$13-T199*参数!$B$14-AD199*参数!$B$13+IF(ISNUMBER(AU199),AU199*参数!$B$38,0)-AV199*参数!$B$41-AW199*参数!$B$14-参数!$B$17)*参数!$B$18,IF(AND(F199="能力",AL199="能力持续"),(参数!$B$2-1)*参数!$B$3,0)+M199*O199*参数!$B$5*IF(AND(F199="能力",AL199="能力持续"),参数!$B$2,1)+P199*参数!$B$6*IF(AND(F199="能力",AL199="能力持续"),参数!$B$2,1)+R199*参数!$B$7*IF(AND(F199="能力",AL199="能力持续"),参数!$B$2,1)+V199*参数!$B$8+IF(X199&lt;0,X199*参数!$B$13,X199*参数!$B$39)+IF(AE199&lt;0,AE199*参数!$B$13,AE199*参数!$B$12)*参数!$B$2+AQ199*参数!$B$15+AB199*参数!$B$11+AF199*参数!$B$40*参数!$B$2+AG199*参数!$B$44*参数!$B$2+AH199*参数!$B$6*参数!$B$2+AI199*参数!$B$39*参数!$B$2+AJ199*参数!$B$6*参数!$B$2+Z199*参数!$B$13-T199*参数!$B$14-AD199*参数!$B$13+IF(ISNUMBER(AU199),AU199*参数!$B$38,0)-AV199*参数!$B$41-AW199*参数!$B$14),0),0)</f>
        <v>5.5</v>
      </c>
      <c r="AZ199">
        <f>AY199-MAX(AP199,0)*参数!$B$10</f>
        <v>2.5</v>
      </c>
      <c r="BA199">
        <f t="shared" si="7"/>
        <v>5.5</v>
      </c>
    </row>
    <row r="200" spans="1:53" x14ac:dyDescent="0.3">
      <c r="A200">
        <v>199</v>
      </c>
      <c r="B200" t="s">
        <v>916</v>
      </c>
      <c r="C200" t="s">
        <v>767</v>
      </c>
      <c r="D200" t="s">
        <v>917</v>
      </c>
      <c r="E200" t="s">
        <v>918</v>
      </c>
      <c r="F200" t="s">
        <v>108</v>
      </c>
      <c r="G200" t="s">
        <v>10</v>
      </c>
      <c r="H200">
        <v>0</v>
      </c>
      <c r="I200">
        <v>0</v>
      </c>
      <c r="J200" t="s">
        <v>919</v>
      </c>
      <c r="L200" t="s">
        <v>111</v>
      </c>
      <c r="M200">
        <v>3</v>
      </c>
      <c r="N200">
        <v>4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t="s">
        <v>112</v>
      </c>
      <c r="AP200">
        <f t="shared" si="6"/>
        <v>0.4</v>
      </c>
      <c r="AQ200">
        <v>0</v>
      </c>
      <c r="AR200">
        <v>0</v>
      </c>
      <c r="AT200" t="s">
        <v>113</v>
      </c>
      <c r="AU200">
        <v>0</v>
      </c>
      <c r="AY200">
        <f>IFERROR(MAX(IF(IF(AND(F200="能力",AL200="能力持续"),(参数!$B$2-1)*参数!$B$3,0)+M200*O200*参数!$B$5*IF(AND(F200="能力",AL200="能力持续"),参数!$B$2,1)+P200*参数!$B$6*IF(AND(F200="能力",AL200="能力持续"),参数!$B$2,1)+R200*参数!$B$7*IF(AND(F200="能力",AL200="能力持续"),参数!$B$2,1)+V200*参数!$B$8+IF(X200&lt;0,X200*参数!$B$13,X200*参数!$B$39)+IF(AE200&lt;0,AE200*参数!$B$13,AE200*参数!$B$12)*参数!$B$2+AQ200*参数!$B$15+AB200*参数!$B$11+AF200*参数!$B$40*参数!$B$2+AG200*参数!$B$44*参数!$B$2+AH200*参数!$B$6*参数!$B$2+AI200*参数!$B$39*参数!$B$2+AJ200*参数!$B$6*参数!$B$2+Z200*参数!$B$13-T200*参数!$B$14-AD200*参数!$B$13+IF(ISNUMBER(AU200),AU200*参数!$B$38,0)-AV200*参数!$B$41-AW200*参数!$B$14&gt;参数!$B$17,参数!$B$17+SQRT(IF(AND(F200="能力",AL200="能力持续"),(参数!$B$2-1)*参数!$B$3,0)+M200*O200*参数!$B$5*IF(AND(F200="能力",AL200="能力持续"),参数!$B$2,1)+P200*参数!$B$6*IF(AND(F200="能力",AL200="能力持续"),参数!$B$2,1)+R200*参数!$B$7*IF(AND(F200="能力",AL200="能力持续"),参数!$B$2,1)+V200*参数!$B$8+IF(X200&lt;0,X200*参数!$B$13,X200*参数!$B$39)+IF(AE200&lt;0,AE200*参数!$B$13,AE200*参数!$B$12)*参数!$B$2+AQ200*参数!$B$15+AB200*参数!$B$11+AF200*参数!$B$40*参数!$B$2+AG200*参数!$B$44*参数!$B$2+AH200*参数!$B$6*参数!$B$2+AI200*参数!$B$39*参数!$B$2+AJ200*参数!$B$6*参数!$B$2+Z200*参数!$B$13-T200*参数!$B$14-AD200*参数!$B$13+IF(ISNUMBER(AU200),AU200*参数!$B$38,0)-AV200*参数!$B$41-AW200*参数!$B$14-参数!$B$17)*参数!$B$18,IF(AND(F200="能力",AL200="能力持续"),(参数!$B$2-1)*参数!$B$3,0)+M200*O200*参数!$B$5*IF(AND(F200="能力",AL200="能力持续"),参数!$B$2,1)+P200*参数!$B$6*IF(AND(F200="能力",AL200="能力持续"),参数!$B$2,1)+R200*参数!$B$7*IF(AND(F200="能力",AL200="能力持续"),参数!$B$2,1)+V200*参数!$B$8+IF(X200&lt;0,X200*参数!$B$13,X200*参数!$B$39)+IF(AE200&lt;0,AE200*参数!$B$13,AE200*参数!$B$12)*参数!$B$2+AQ200*参数!$B$15+AB200*参数!$B$11+AF200*参数!$B$40*参数!$B$2+AG200*参数!$B$44*参数!$B$2+AH200*参数!$B$6*参数!$B$2+AI200*参数!$B$39*参数!$B$2+AJ200*参数!$B$6*参数!$B$2+Z200*参数!$B$13-T200*参数!$B$14-AD200*参数!$B$13+IF(ISNUMBER(AU200),AU200*参数!$B$38,0)-AV200*参数!$B$41-AW200*参数!$B$14),0),0)</f>
        <v>4.5</v>
      </c>
      <c r="AZ200">
        <f>AY200-MAX(AP200,0)*参数!$B$10</f>
        <v>3.3</v>
      </c>
      <c r="BA200">
        <f t="shared" si="7"/>
        <v>11.25</v>
      </c>
    </row>
    <row r="201" spans="1:53" x14ac:dyDescent="0.3">
      <c r="A201">
        <v>200</v>
      </c>
      <c r="B201" t="s">
        <v>920</v>
      </c>
      <c r="C201" t="s">
        <v>767</v>
      </c>
      <c r="D201" t="s">
        <v>921</v>
      </c>
      <c r="E201" t="s">
        <v>922</v>
      </c>
      <c r="F201" t="s">
        <v>108</v>
      </c>
      <c r="G201" t="s">
        <v>10</v>
      </c>
      <c r="H201">
        <v>1</v>
      </c>
      <c r="I201">
        <v>1</v>
      </c>
      <c r="J201" t="s">
        <v>923</v>
      </c>
      <c r="L201" t="s">
        <v>111</v>
      </c>
      <c r="M201">
        <v>4</v>
      </c>
      <c r="N201">
        <v>4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112</v>
      </c>
      <c r="AP201">
        <f t="shared" si="6"/>
        <v>1</v>
      </c>
      <c r="AQ201">
        <v>0</v>
      </c>
      <c r="AR201">
        <v>0</v>
      </c>
      <c r="AT201" t="s">
        <v>113</v>
      </c>
      <c r="AU201">
        <v>0</v>
      </c>
      <c r="AY201">
        <f>IFERROR(MAX(IF(IF(AND(F201="能力",AL201="能力持续"),(参数!$B$2-1)*参数!$B$3,0)+M201*O201*参数!$B$5*IF(AND(F201="能力",AL201="能力持续"),参数!$B$2,1)+P201*参数!$B$6*IF(AND(F201="能力",AL201="能力持续"),参数!$B$2,1)+R201*参数!$B$7*IF(AND(F201="能力",AL201="能力持续"),参数!$B$2,1)+V201*参数!$B$8+IF(X201&lt;0,X201*参数!$B$13,X201*参数!$B$39)+IF(AE201&lt;0,AE201*参数!$B$13,AE201*参数!$B$12)*参数!$B$2+AQ201*参数!$B$15+AB201*参数!$B$11+AF201*参数!$B$40*参数!$B$2+AG201*参数!$B$44*参数!$B$2+AH201*参数!$B$6*参数!$B$2+AI201*参数!$B$39*参数!$B$2+AJ201*参数!$B$6*参数!$B$2+Z201*参数!$B$13-T201*参数!$B$14-AD201*参数!$B$13+IF(ISNUMBER(AU201),AU201*参数!$B$38,0)-AV201*参数!$B$41-AW201*参数!$B$14&gt;参数!$B$17,参数!$B$17+SQRT(IF(AND(F201="能力",AL201="能力持续"),(参数!$B$2-1)*参数!$B$3,0)+M201*O201*参数!$B$5*IF(AND(F201="能力",AL201="能力持续"),参数!$B$2,1)+P201*参数!$B$6*IF(AND(F201="能力",AL201="能力持续"),参数!$B$2,1)+R201*参数!$B$7*IF(AND(F201="能力",AL201="能力持续"),参数!$B$2,1)+V201*参数!$B$8+IF(X201&lt;0,X201*参数!$B$13,X201*参数!$B$39)+IF(AE201&lt;0,AE201*参数!$B$13,AE201*参数!$B$12)*参数!$B$2+AQ201*参数!$B$15+AB201*参数!$B$11+AF201*参数!$B$40*参数!$B$2+AG201*参数!$B$44*参数!$B$2+AH201*参数!$B$6*参数!$B$2+AI201*参数!$B$39*参数!$B$2+AJ201*参数!$B$6*参数!$B$2+Z201*参数!$B$13-T201*参数!$B$14-AD201*参数!$B$13+IF(ISNUMBER(AU201),AU201*参数!$B$38,0)-AV201*参数!$B$41-AW201*参数!$B$14-参数!$B$17)*参数!$B$18,IF(AND(F201="能力",AL201="能力持续"),(参数!$B$2-1)*参数!$B$3,0)+M201*O201*参数!$B$5*IF(AND(F201="能力",AL201="能力持续"),参数!$B$2,1)+P201*参数!$B$6*IF(AND(F201="能力",AL201="能力持续"),参数!$B$2,1)+R201*参数!$B$7*IF(AND(F201="能力",AL201="能力持续"),参数!$B$2,1)+V201*参数!$B$8+IF(X201&lt;0,X201*参数!$B$13,X201*参数!$B$39)+IF(AE201&lt;0,AE201*参数!$B$13,AE201*参数!$B$12)*参数!$B$2+AQ201*参数!$B$15+AB201*参数!$B$11+AF201*参数!$B$40*参数!$B$2+AG201*参数!$B$44*参数!$B$2+AH201*参数!$B$6*参数!$B$2+AI201*参数!$B$39*参数!$B$2+AJ201*参数!$B$6*参数!$B$2+Z201*参数!$B$13-T201*参数!$B$14-AD201*参数!$B$13+IF(ISNUMBER(AU201),AU201*参数!$B$38,0)-AV201*参数!$B$41-AW201*参数!$B$14),0),0)</f>
        <v>11.060660171779821</v>
      </c>
      <c r="AZ201">
        <f>AY201-MAX(AP201,0)*参数!$B$10</f>
        <v>8.060660171779821</v>
      </c>
      <c r="BA201">
        <f t="shared" si="7"/>
        <v>11.060660171779821</v>
      </c>
    </row>
    <row r="202" spans="1:53" x14ac:dyDescent="0.3">
      <c r="A202">
        <v>201</v>
      </c>
      <c r="B202" t="s">
        <v>924</v>
      </c>
      <c r="C202" t="s">
        <v>767</v>
      </c>
      <c r="D202" t="s">
        <v>925</v>
      </c>
      <c r="E202" t="s">
        <v>926</v>
      </c>
      <c r="F202" t="s">
        <v>124</v>
      </c>
      <c r="G202" t="s">
        <v>12</v>
      </c>
      <c r="H202">
        <v>1</v>
      </c>
      <c r="I202">
        <v>1</v>
      </c>
      <c r="J202" t="s">
        <v>927</v>
      </c>
      <c r="L202" t="s">
        <v>191</v>
      </c>
      <c r="M202">
        <v>6</v>
      </c>
      <c r="N202">
        <v>8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 t="s">
        <v>112</v>
      </c>
      <c r="AN202" t="s">
        <v>322</v>
      </c>
      <c r="AP202">
        <f t="shared" si="6"/>
        <v>1</v>
      </c>
      <c r="AQ202">
        <v>0</v>
      </c>
      <c r="AR202">
        <v>0</v>
      </c>
      <c r="AT202" t="s">
        <v>113</v>
      </c>
      <c r="AU202">
        <v>0</v>
      </c>
      <c r="AY202">
        <f>IFERROR(MAX(IF(IF(AND(F202="能力",AL202="能力持续"),(参数!$B$2-1)*参数!$B$3,0)+M202*O202*参数!$B$5*IF(AND(F202="能力",AL202="能力持续"),参数!$B$2,1)+P202*参数!$B$6*IF(AND(F202="能力",AL202="能力持续"),参数!$B$2,1)+R202*参数!$B$7*IF(AND(F202="能力",AL202="能力持续"),参数!$B$2,1)+V202*参数!$B$8+IF(X202&lt;0,X202*参数!$B$13,X202*参数!$B$39)+IF(AE202&lt;0,AE202*参数!$B$13,AE202*参数!$B$12)*参数!$B$2+AQ202*参数!$B$15+AB202*参数!$B$11+AF202*参数!$B$40*参数!$B$2+AG202*参数!$B$44*参数!$B$2+AH202*参数!$B$6*参数!$B$2+AI202*参数!$B$39*参数!$B$2+AJ202*参数!$B$6*参数!$B$2+Z202*参数!$B$13-T202*参数!$B$14-AD202*参数!$B$13+IF(ISNUMBER(AU202),AU202*参数!$B$38,0)-AV202*参数!$B$41-AW202*参数!$B$14&gt;参数!$B$17,参数!$B$17+SQRT(IF(AND(F202="能力",AL202="能力持续"),(参数!$B$2-1)*参数!$B$3,0)+M202*O202*参数!$B$5*IF(AND(F202="能力",AL202="能力持续"),参数!$B$2,1)+P202*参数!$B$6*IF(AND(F202="能力",AL202="能力持续"),参数!$B$2,1)+R202*参数!$B$7*IF(AND(F202="能力",AL202="能力持续"),参数!$B$2,1)+V202*参数!$B$8+IF(X202&lt;0,X202*参数!$B$13,X202*参数!$B$39)+IF(AE202&lt;0,AE202*参数!$B$13,AE202*参数!$B$12)*参数!$B$2+AQ202*参数!$B$15+AB202*参数!$B$11+AF202*参数!$B$40*参数!$B$2+AG202*参数!$B$44*参数!$B$2+AH202*参数!$B$6*参数!$B$2+AI202*参数!$B$39*参数!$B$2+AJ202*参数!$B$6*参数!$B$2+Z202*参数!$B$13-T202*参数!$B$14-AD202*参数!$B$13+IF(ISNUMBER(AU202),AU202*参数!$B$38,0)-AV202*参数!$B$41-AW202*参数!$B$14-参数!$B$17)*参数!$B$18,IF(AND(F202="能力",AL202="能力持续"),(参数!$B$2-1)*参数!$B$3,0)+M202*O202*参数!$B$5*IF(AND(F202="能力",AL202="能力持续"),参数!$B$2,1)+P202*参数!$B$6*IF(AND(F202="能力",AL202="能力持续"),参数!$B$2,1)+R202*参数!$B$7*IF(AND(F202="能力",AL202="能力持续"),参数!$B$2,1)+V202*参数!$B$8+IF(X202&lt;0,X202*参数!$B$13,X202*参数!$B$39)+IF(AE202&lt;0,AE202*参数!$B$13,AE202*参数!$B$12)*参数!$B$2+AQ202*参数!$B$15+AB202*参数!$B$11+AF202*参数!$B$40*参数!$B$2+AG202*参数!$B$44*参数!$B$2+AH202*参数!$B$6*参数!$B$2+AI202*参数!$B$39*参数!$B$2+AJ202*参数!$B$6*参数!$B$2+Z202*参数!$B$13-T202*参数!$B$14-AD202*参数!$B$13+IF(ISNUMBER(AU202),AU202*参数!$B$38,0)-AV202*参数!$B$41-AW202*参数!$B$14),0),0)</f>
        <v>6</v>
      </c>
      <c r="AZ202">
        <f>AY202-MAX(AP202,0)*参数!$B$10</f>
        <v>3</v>
      </c>
      <c r="BA202">
        <f t="shared" si="7"/>
        <v>6</v>
      </c>
    </row>
    <row r="203" spans="1:53" x14ac:dyDescent="0.3">
      <c r="A203">
        <v>202</v>
      </c>
      <c r="B203" t="s">
        <v>928</v>
      </c>
      <c r="C203" t="s">
        <v>767</v>
      </c>
      <c r="D203" t="s">
        <v>929</v>
      </c>
      <c r="E203" t="s">
        <v>930</v>
      </c>
      <c r="F203" t="s">
        <v>108</v>
      </c>
      <c r="G203" t="s">
        <v>14</v>
      </c>
      <c r="H203">
        <v>0</v>
      </c>
      <c r="I203">
        <v>0</v>
      </c>
      <c r="J203" t="s">
        <v>931</v>
      </c>
      <c r="L203" t="s">
        <v>111</v>
      </c>
      <c r="M203">
        <v>3</v>
      </c>
      <c r="N203">
        <v>3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112</v>
      </c>
      <c r="AN203" t="s">
        <v>161</v>
      </c>
      <c r="AP203">
        <f t="shared" si="6"/>
        <v>0.4</v>
      </c>
      <c r="AQ203">
        <v>0</v>
      </c>
      <c r="AR203">
        <v>0</v>
      </c>
      <c r="AT203" t="s">
        <v>113</v>
      </c>
      <c r="AU203">
        <v>0</v>
      </c>
      <c r="AY203">
        <f>IFERROR(MAX(IF(IF(AND(F203="能力",AL203="能力持续"),(参数!$B$2-1)*参数!$B$3,0)+M203*O203*参数!$B$5*IF(AND(F203="能力",AL203="能力持续"),参数!$B$2,1)+P203*参数!$B$6*IF(AND(F203="能力",AL203="能力持续"),参数!$B$2,1)+R203*参数!$B$7*IF(AND(F203="能力",AL203="能力持续"),参数!$B$2,1)+V203*参数!$B$8+IF(X203&lt;0,X203*参数!$B$13,X203*参数!$B$39)+IF(AE203&lt;0,AE203*参数!$B$13,AE203*参数!$B$12)*参数!$B$2+AQ203*参数!$B$15+AB203*参数!$B$11+AF203*参数!$B$40*参数!$B$2+AG203*参数!$B$44*参数!$B$2+AH203*参数!$B$6*参数!$B$2+AI203*参数!$B$39*参数!$B$2+AJ203*参数!$B$6*参数!$B$2+Z203*参数!$B$13-T203*参数!$B$14-AD203*参数!$B$13+IF(ISNUMBER(AU203),AU203*参数!$B$38,0)-AV203*参数!$B$41-AW203*参数!$B$14&gt;参数!$B$17,参数!$B$17+SQRT(IF(AND(F203="能力",AL203="能力持续"),(参数!$B$2-1)*参数!$B$3,0)+M203*O203*参数!$B$5*IF(AND(F203="能力",AL203="能力持续"),参数!$B$2,1)+P203*参数!$B$6*IF(AND(F203="能力",AL203="能力持续"),参数!$B$2,1)+R203*参数!$B$7*IF(AND(F203="能力",AL203="能力持续"),参数!$B$2,1)+V203*参数!$B$8+IF(X203&lt;0,X203*参数!$B$13,X203*参数!$B$39)+IF(AE203&lt;0,AE203*参数!$B$13,AE203*参数!$B$12)*参数!$B$2+AQ203*参数!$B$15+AB203*参数!$B$11+AF203*参数!$B$40*参数!$B$2+AG203*参数!$B$44*参数!$B$2+AH203*参数!$B$6*参数!$B$2+AI203*参数!$B$39*参数!$B$2+AJ203*参数!$B$6*参数!$B$2+Z203*参数!$B$13-T203*参数!$B$14-AD203*参数!$B$13+IF(ISNUMBER(AU203),AU203*参数!$B$38,0)-AV203*参数!$B$41-AW203*参数!$B$14-参数!$B$17)*参数!$B$18,IF(AND(F203="能力",AL203="能力持续"),(参数!$B$2-1)*参数!$B$3,0)+M203*O203*参数!$B$5*IF(AND(F203="能力",AL203="能力持续"),参数!$B$2,1)+P203*参数!$B$6*IF(AND(F203="能力",AL203="能力持续"),参数!$B$2,1)+R203*参数!$B$7*IF(AND(F203="能力",AL203="能力持续"),参数!$B$2,1)+V203*参数!$B$8+IF(X203&lt;0,X203*参数!$B$13,X203*参数!$B$39)+IF(AE203&lt;0,AE203*参数!$B$13,AE203*参数!$B$12)*参数!$B$2+AQ203*参数!$B$15+AB203*参数!$B$11+AF203*参数!$B$40*参数!$B$2+AG203*参数!$B$44*参数!$B$2+AH203*参数!$B$6*参数!$B$2+AI203*参数!$B$39*参数!$B$2+AJ203*参数!$B$6*参数!$B$2+Z203*参数!$B$13-T203*参数!$B$14-AD203*参数!$B$13+IF(ISNUMBER(AU203),AU203*参数!$B$38,0)-AV203*参数!$B$41-AW203*参数!$B$14),0),0)</f>
        <v>9</v>
      </c>
      <c r="AZ203">
        <f>AY203-MAX(AP203,0)*参数!$B$10</f>
        <v>7.8</v>
      </c>
      <c r="BA203">
        <f t="shared" si="7"/>
        <v>22.5</v>
      </c>
    </row>
    <row r="204" spans="1:53" x14ac:dyDescent="0.3">
      <c r="A204">
        <v>203</v>
      </c>
      <c r="B204" t="s">
        <v>932</v>
      </c>
      <c r="C204" t="s">
        <v>767</v>
      </c>
      <c r="D204" t="s">
        <v>933</v>
      </c>
      <c r="E204" t="s">
        <v>934</v>
      </c>
      <c r="F204" t="s">
        <v>117</v>
      </c>
      <c r="G204" t="s">
        <v>10</v>
      </c>
      <c r="H204">
        <v>1</v>
      </c>
      <c r="I204">
        <v>1</v>
      </c>
      <c r="J204" t="s">
        <v>935</v>
      </c>
      <c r="L204" t="s">
        <v>120</v>
      </c>
      <c r="M204">
        <v>0</v>
      </c>
      <c r="N204">
        <v>0</v>
      </c>
      <c r="O204">
        <v>1</v>
      </c>
      <c r="P204">
        <v>3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t="s">
        <v>112</v>
      </c>
      <c r="AP204">
        <f t="shared" si="6"/>
        <v>1</v>
      </c>
      <c r="AQ204">
        <v>0</v>
      </c>
      <c r="AR204">
        <v>0</v>
      </c>
      <c r="AT204" t="s">
        <v>113</v>
      </c>
      <c r="AU204">
        <v>0</v>
      </c>
      <c r="AY204">
        <f>IFERROR(MAX(IF(IF(AND(F204="能力",AL204="能力持续"),(参数!$B$2-1)*参数!$B$3,0)+M204*O204*参数!$B$5*IF(AND(F204="能力",AL204="能力持续"),参数!$B$2,1)+P204*参数!$B$6*IF(AND(F204="能力",AL204="能力持续"),参数!$B$2,1)+R204*参数!$B$7*IF(AND(F204="能力",AL204="能力持续"),参数!$B$2,1)+V204*参数!$B$8+IF(X204&lt;0,X204*参数!$B$13,X204*参数!$B$39)+IF(AE204&lt;0,AE204*参数!$B$13,AE204*参数!$B$12)*参数!$B$2+AQ204*参数!$B$15+AB204*参数!$B$11+AF204*参数!$B$40*参数!$B$2+AG204*参数!$B$44*参数!$B$2+AH204*参数!$B$6*参数!$B$2+AI204*参数!$B$39*参数!$B$2+AJ204*参数!$B$6*参数!$B$2+Z204*参数!$B$13-T204*参数!$B$14-AD204*参数!$B$13+IF(ISNUMBER(AU204),AU204*参数!$B$38,0)-AV204*参数!$B$41-AW204*参数!$B$14&gt;参数!$B$17,参数!$B$17+SQRT(IF(AND(F204="能力",AL204="能力持续"),(参数!$B$2-1)*参数!$B$3,0)+M204*O204*参数!$B$5*IF(AND(F204="能力",AL204="能力持续"),参数!$B$2,1)+P204*参数!$B$6*IF(AND(F204="能力",AL204="能力持续"),参数!$B$2,1)+R204*参数!$B$7*IF(AND(F204="能力",AL204="能力持续"),参数!$B$2,1)+V204*参数!$B$8+IF(X204&lt;0,X204*参数!$B$13,X204*参数!$B$39)+IF(AE204&lt;0,AE204*参数!$B$13,AE204*参数!$B$12)*参数!$B$2+AQ204*参数!$B$15+AB204*参数!$B$11+AF204*参数!$B$40*参数!$B$2+AG204*参数!$B$44*参数!$B$2+AH204*参数!$B$6*参数!$B$2+AI204*参数!$B$39*参数!$B$2+AJ204*参数!$B$6*参数!$B$2+Z204*参数!$B$13-T204*参数!$B$14-AD204*参数!$B$13+IF(ISNUMBER(AU204),AU204*参数!$B$38,0)-AV204*参数!$B$41-AW204*参数!$B$14-参数!$B$17)*参数!$B$18,IF(AND(F204="能力",AL204="能力持续"),(参数!$B$2-1)*参数!$B$3,0)+M204*O204*参数!$B$5*IF(AND(F204="能力",AL204="能力持续"),参数!$B$2,1)+P204*参数!$B$6*IF(AND(F204="能力",AL204="能力持续"),参数!$B$2,1)+R204*参数!$B$7*IF(AND(F204="能力",AL204="能力持续"),参数!$B$2,1)+V204*参数!$B$8+IF(X204&lt;0,X204*参数!$B$13,X204*参数!$B$39)+IF(AE204&lt;0,AE204*参数!$B$13,AE204*参数!$B$12)*参数!$B$2+AQ204*参数!$B$15+AB204*参数!$B$11+AF204*参数!$B$40*参数!$B$2+AG204*参数!$B$44*参数!$B$2+AH204*参数!$B$6*参数!$B$2+AI204*参数!$B$39*参数!$B$2+AJ204*参数!$B$6*参数!$B$2+Z204*参数!$B$13-T204*参数!$B$14-AD204*参数!$B$13+IF(ISNUMBER(AU204),AU204*参数!$B$38,0)-AV204*参数!$B$41-AW204*参数!$B$14),0),0)</f>
        <v>3.3000000000000003</v>
      </c>
      <c r="AZ204">
        <f>AY204-MAX(AP204,0)*参数!$B$10</f>
        <v>0.30000000000000027</v>
      </c>
      <c r="BA204">
        <f t="shared" si="7"/>
        <v>3.3000000000000003</v>
      </c>
    </row>
    <row r="205" spans="1:53" x14ac:dyDescent="0.3">
      <c r="A205">
        <v>204</v>
      </c>
      <c r="B205" t="s">
        <v>936</v>
      </c>
      <c r="C205" t="s">
        <v>767</v>
      </c>
      <c r="D205" t="s">
        <v>937</v>
      </c>
      <c r="E205" t="s">
        <v>938</v>
      </c>
      <c r="F205" t="s">
        <v>117</v>
      </c>
      <c r="G205" t="s">
        <v>10</v>
      </c>
      <c r="H205">
        <v>0</v>
      </c>
      <c r="I205">
        <v>0</v>
      </c>
      <c r="J205" t="s">
        <v>939</v>
      </c>
      <c r="L205" t="s">
        <v>120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</v>
      </c>
      <c r="AJ205">
        <v>0</v>
      </c>
      <c r="AK205" t="s">
        <v>112</v>
      </c>
      <c r="AN205" t="s">
        <v>161</v>
      </c>
      <c r="AP205">
        <f t="shared" si="6"/>
        <v>0.4</v>
      </c>
      <c r="AQ205">
        <v>0</v>
      </c>
      <c r="AR205">
        <v>0</v>
      </c>
      <c r="AT205" t="s">
        <v>113</v>
      </c>
      <c r="AU205">
        <v>0</v>
      </c>
      <c r="AY205">
        <f>IFERROR(MAX(IF(IF(AND(F205="能力",AL205="能力持续"),(参数!$B$2-1)*参数!$B$3,0)+M205*O205*参数!$B$5*IF(AND(F205="能力",AL205="能力持续"),参数!$B$2,1)+P205*参数!$B$6*IF(AND(F205="能力",AL205="能力持续"),参数!$B$2,1)+R205*参数!$B$7*IF(AND(F205="能力",AL205="能力持续"),参数!$B$2,1)+V205*参数!$B$8+IF(X205&lt;0,X205*参数!$B$13,X205*参数!$B$39)+IF(AE205&lt;0,AE205*参数!$B$13,AE205*参数!$B$12)*参数!$B$2+AQ205*参数!$B$15+AB205*参数!$B$11+AF205*参数!$B$40*参数!$B$2+AG205*参数!$B$44*参数!$B$2+AH205*参数!$B$6*参数!$B$2+AI205*参数!$B$39*参数!$B$2+AJ205*参数!$B$6*参数!$B$2+Z205*参数!$B$13-T205*参数!$B$14-AD205*参数!$B$13+IF(ISNUMBER(AU205),AU205*参数!$B$38,0)-AV205*参数!$B$41-AW205*参数!$B$14&gt;参数!$B$17,参数!$B$17+SQRT(IF(AND(F205="能力",AL205="能力持续"),(参数!$B$2-1)*参数!$B$3,0)+M205*O205*参数!$B$5*IF(AND(F205="能力",AL205="能力持续"),参数!$B$2,1)+P205*参数!$B$6*IF(AND(F205="能力",AL205="能力持续"),参数!$B$2,1)+R205*参数!$B$7*IF(AND(F205="能力",AL205="能力持续"),参数!$B$2,1)+V205*参数!$B$8+IF(X205&lt;0,X205*参数!$B$13,X205*参数!$B$39)+IF(AE205&lt;0,AE205*参数!$B$13,AE205*参数!$B$12)*参数!$B$2+AQ205*参数!$B$15+AB205*参数!$B$11+AF205*参数!$B$40*参数!$B$2+AG205*参数!$B$44*参数!$B$2+AH205*参数!$B$6*参数!$B$2+AI205*参数!$B$39*参数!$B$2+AJ205*参数!$B$6*参数!$B$2+Z205*参数!$B$13-T205*参数!$B$14-AD205*参数!$B$13+IF(ISNUMBER(AU205),AU205*参数!$B$38,0)-AV205*参数!$B$41-AW205*参数!$B$14-参数!$B$17)*参数!$B$18,IF(AND(F205="能力",AL205="能力持续"),(参数!$B$2-1)*参数!$B$3,0)+M205*O205*参数!$B$5*IF(AND(F205="能力",AL205="能力持续"),参数!$B$2,1)+P205*参数!$B$6*IF(AND(F205="能力",AL205="能力持续"),参数!$B$2,1)+R205*参数!$B$7*IF(AND(F205="能力",AL205="能力持续"),参数!$B$2,1)+V205*参数!$B$8+IF(X205&lt;0,X205*参数!$B$13,X205*参数!$B$39)+IF(AE205&lt;0,AE205*参数!$B$13,AE205*参数!$B$12)*参数!$B$2+AQ205*参数!$B$15+AB205*参数!$B$11+AF205*参数!$B$40*参数!$B$2+AG205*参数!$B$44*参数!$B$2+AH205*参数!$B$6*参数!$B$2+AI205*参数!$B$39*参数!$B$2+AJ205*参数!$B$6*参数!$B$2+Z205*参数!$B$13-T205*参数!$B$14-AD205*参数!$B$13+IF(ISNUMBER(AU205),AU205*参数!$B$38,0)-AV205*参数!$B$41-AW205*参数!$B$14),0),0)</f>
        <v>10.948683298050515</v>
      </c>
      <c r="AZ205">
        <f>AY205-MAX(AP205,0)*参数!$B$10</f>
        <v>9.7486832980505156</v>
      </c>
      <c r="BA205">
        <f t="shared" si="7"/>
        <v>27.371708245126285</v>
      </c>
    </row>
    <row r="206" spans="1:53" x14ac:dyDescent="0.3">
      <c r="A206">
        <v>205</v>
      </c>
      <c r="B206" t="s">
        <v>940</v>
      </c>
      <c r="C206" t="s">
        <v>767</v>
      </c>
      <c r="D206" t="s">
        <v>941</v>
      </c>
      <c r="E206" t="s">
        <v>942</v>
      </c>
      <c r="F206" t="s">
        <v>108</v>
      </c>
      <c r="G206" t="s">
        <v>14</v>
      </c>
      <c r="H206">
        <v>2</v>
      </c>
      <c r="I206">
        <v>2</v>
      </c>
      <c r="J206" t="s">
        <v>943</v>
      </c>
      <c r="L206" t="s">
        <v>191</v>
      </c>
      <c r="M206">
        <v>28</v>
      </c>
      <c r="N206">
        <v>36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-3</v>
      </c>
      <c r="AJ206">
        <v>0</v>
      </c>
      <c r="AK206" t="s">
        <v>112</v>
      </c>
      <c r="AN206" t="s">
        <v>192</v>
      </c>
      <c r="AP206">
        <f t="shared" si="6"/>
        <v>2</v>
      </c>
      <c r="AQ206">
        <v>0</v>
      </c>
      <c r="AR206">
        <v>0</v>
      </c>
      <c r="AT206" t="s">
        <v>113</v>
      </c>
      <c r="AU206">
        <v>0</v>
      </c>
      <c r="AY206">
        <f>IFERROR(MAX(IF(IF(AND(F206="能力",AL206="能力持续"),(参数!$B$2-1)*参数!$B$3,0)+M206*O206*参数!$B$5*IF(AND(F206="能力",AL206="能力持续"),参数!$B$2,1)+P206*参数!$B$6*IF(AND(F206="能力",AL206="能力持续"),参数!$B$2,1)+R206*参数!$B$7*IF(AND(F206="能力",AL206="能力持续"),参数!$B$2,1)+V206*参数!$B$8+IF(X206&lt;0,X206*参数!$B$13,X206*参数!$B$39)+IF(AE206&lt;0,AE206*参数!$B$13,AE206*参数!$B$12)*参数!$B$2+AQ206*参数!$B$15+AB206*参数!$B$11+AF206*参数!$B$40*参数!$B$2+AG206*参数!$B$44*参数!$B$2+AH206*参数!$B$6*参数!$B$2+AI206*参数!$B$39*参数!$B$2+AJ206*参数!$B$6*参数!$B$2+Z206*参数!$B$13-T206*参数!$B$14-AD206*参数!$B$13+IF(ISNUMBER(AU206),AU206*参数!$B$38,0)-AV206*参数!$B$41-AW206*参数!$B$14&gt;参数!$B$17,参数!$B$17+SQRT(IF(AND(F206="能力",AL206="能力持续"),(参数!$B$2-1)*参数!$B$3,0)+M206*O206*参数!$B$5*IF(AND(F206="能力",AL206="能力持续"),参数!$B$2,1)+P206*参数!$B$6*IF(AND(F206="能力",AL206="能力持续"),参数!$B$2,1)+R206*参数!$B$7*IF(AND(F206="能力",AL206="能力持续"),参数!$B$2,1)+V206*参数!$B$8+IF(X206&lt;0,X206*参数!$B$13,X206*参数!$B$39)+IF(AE206&lt;0,AE206*参数!$B$13,AE206*参数!$B$12)*参数!$B$2+AQ206*参数!$B$15+AB206*参数!$B$11+AF206*参数!$B$40*参数!$B$2+AG206*参数!$B$44*参数!$B$2+AH206*参数!$B$6*参数!$B$2+AI206*参数!$B$39*参数!$B$2+AJ206*参数!$B$6*参数!$B$2+Z206*参数!$B$13-T206*参数!$B$14-AD206*参数!$B$13+IF(ISNUMBER(AU206),AU206*参数!$B$38,0)-AV206*参数!$B$41-AW206*参数!$B$14-参数!$B$17)*参数!$B$18,IF(AND(F206="能力",AL206="能力持续"),(参数!$B$2-1)*参数!$B$3,0)+M206*O206*参数!$B$5*IF(AND(F206="能力",AL206="能力持续"),参数!$B$2,1)+P206*参数!$B$6*IF(AND(F206="能力",AL206="能力持续"),参数!$B$2,1)+R206*参数!$B$7*IF(AND(F206="能力",AL206="能力持续"),参数!$B$2,1)+V206*参数!$B$8+IF(X206&lt;0,X206*参数!$B$13,X206*参数!$B$39)+IF(AE206&lt;0,AE206*参数!$B$13,AE206*参数!$B$12)*参数!$B$2+AQ206*参数!$B$15+AB206*参数!$B$11+AF206*参数!$B$40*参数!$B$2+AG206*参数!$B$44*参数!$B$2+AH206*参数!$B$6*参数!$B$2+AI206*参数!$B$39*参数!$B$2+AJ206*参数!$B$6*参数!$B$2+Z206*参数!$B$13-T206*参数!$B$14-AD206*参数!$B$13+IF(ISNUMBER(AU206),AU206*参数!$B$38,0)-AV206*参数!$B$41-AW206*参数!$B$14),0),0)</f>
        <v>12.323790007724449</v>
      </c>
      <c r="AZ206">
        <f>AY206-MAX(AP206,0)*参数!$B$10</f>
        <v>6.3237900077244493</v>
      </c>
      <c r="BA206">
        <f t="shared" si="7"/>
        <v>6.1618950038622247</v>
      </c>
    </row>
    <row r="207" spans="1:53" x14ac:dyDescent="0.3">
      <c r="A207">
        <v>206</v>
      </c>
      <c r="B207" t="s">
        <v>944</v>
      </c>
      <c r="C207" t="s">
        <v>767</v>
      </c>
      <c r="D207" t="s">
        <v>945</v>
      </c>
      <c r="E207" t="s">
        <v>946</v>
      </c>
      <c r="F207" t="s">
        <v>108</v>
      </c>
      <c r="G207" t="s">
        <v>14</v>
      </c>
      <c r="H207">
        <v>3</v>
      </c>
      <c r="I207">
        <v>3</v>
      </c>
      <c r="J207" t="s">
        <v>947</v>
      </c>
      <c r="L207" t="s">
        <v>111</v>
      </c>
      <c r="M207">
        <v>19</v>
      </c>
      <c r="N207">
        <v>24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112</v>
      </c>
      <c r="AP207">
        <f t="shared" si="6"/>
        <v>3</v>
      </c>
      <c r="AQ207">
        <v>0</v>
      </c>
      <c r="AR207">
        <v>0</v>
      </c>
      <c r="AT207" t="s">
        <v>113</v>
      </c>
      <c r="AU207">
        <v>0</v>
      </c>
      <c r="AY207">
        <f>IFERROR(MAX(IF(IF(AND(F207="能力",AL207="能力持续"),(参数!$B$2-1)*参数!$B$3,0)+M207*O207*参数!$B$5*IF(AND(F207="能力",AL207="能力持续"),参数!$B$2,1)+P207*参数!$B$6*IF(AND(F207="能力",AL207="能力持续"),参数!$B$2,1)+R207*参数!$B$7*IF(AND(F207="能力",AL207="能力持续"),参数!$B$2,1)+V207*参数!$B$8+IF(X207&lt;0,X207*参数!$B$13,X207*参数!$B$39)+IF(AE207&lt;0,AE207*参数!$B$13,AE207*参数!$B$12)*参数!$B$2+AQ207*参数!$B$15+AB207*参数!$B$11+AF207*参数!$B$40*参数!$B$2+AG207*参数!$B$44*参数!$B$2+AH207*参数!$B$6*参数!$B$2+AI207*参数!$B$39*参数!$B$2+AJ207*参数!$B$6*参数!$B$2+Z207*参数!$B$13-T207*参数!$B$14-AD207*参数!$B$13+IF(ISNUMBER(AU207),AU207*参数!$B$38,0)-AV207*参数!$B$41-AW207*参数!$B$14&gt;参数!$B$17,参数!$B$17+SQRT(IF(AND(F207="能力",AL207="能力持续"),(参数!$B$2-1)*参数!$B$3,0)+M207*O207*参数!$B$5*IF(AND(F207="能力",AL207="能力持续"),参数!$B$2,1)+P207*参数!$B$6*IF(AND(F207="能力",AL207="能力持续"),参数!$B$2,1)+R207*参数!$B$7*IF(AND(F207="能力",AL207="能力持续"),参数!$B$2,1)+V207*参数!$B$8+IF(X207&lt;0,X207*参数!$B$13,X207*参数!$B$39)+IF(AE207&lt;0,AE207*参数!$B$13,AE207*参数!$B$12)*参数!$B$2+AQ207*参数!$B$15+AB207*参数!$B$11+AF207*参数!$B$40*参数!$B$2+AG207*参数!$B$44*参数!$B$2+AH207*参数!$B$6*参数!$B$2+AI207*参数!$B$39*参数!$B$2+AJ207*参数!$B$6*参数!$B$2+Z207*参数!$B$13-T207*参数!$B$14-AD207*参数!$B$13+IF(ISNUMBER(AU207),AU207*参数!$B$38,0)-AV207*参数!$B$41-AW207*参数!$B$14-参数!$B$17)*参数!$B$18,IF(AND(F207="能力",AL207="能力持续"),(参数!$B$2-1)*参数!$B$3,0)+M207*O207*参数!$B$5*IF(AND(F207="能力",AL207="能力持续"),参数!$B$2,1)+P207*参数!$B$6*IF(AND(F207="能力",AL207="能力持续"),参数!$B$2,1)+R207*参数!$B$7*IF(AND(F207="能力",AL207="能力持续"),参数!$B$2,1)+V207*参数!$B$8+IF(X207&lt;0,X207*参数!$B$13,X207*参数!$B$39)+IF(AE207&lt;0,AE207*参数!$B$13,AE207*参数!$B$12)*参数!$B$2+AQ207*参数!$B$15+AB207*参数!$B$11+AF207*参数!$B$40*参数!$B$2+AG207*参数!$B$44*参数!$B$2+AH207*参数!$B$6*参数!$B$2+AI207*参数!$B$39*参数!$B$2+AJ207*参数!$B$6*参数!$B$2+Z207*参数!$B$13-T207*参数!$B$14-AD207*参数!$B$13+IF(ISNUMBER(AU207),AU207*参数!$B$38,0)-AV207*参数!$B$41-AW207*参数!$B$14),0),0)</f>
        <v>14.5</v>
      </c>
      <c r="AZ207">
        <f>AY207-MAX(AP207,0)*参数!$B$10</f>
        <v>5.5</v>
      </c>
      <c r="BA207">
        <f t="shared" si="7"/>
        <v>4.833333333333333</v>
      </c>
    </row>
    <row r="208" spans="1:53" x14ac:dyDescent="0.3">
      <c r="A208">
        <v>207</v>
      </c>
      <c r="B208" t="s">
        <v>948</v>
      </c>
      <c r="C208" t="s">
        <v>767</v>
      </c>
      <c r="D208" t="s">
        <v>949</v>
      </c>
      <c r="E208" t="s">
        <v>950</v>
      </c>
      <c r="F208" t="s">
        <v>117</v>
      </c>
      <c r="G208" t="s">
        <v>14</v>
      </c>
      <c r="H208">
        <v>1</v>
      </c>
      <c r="I208">
        <v>1</v>
      </c>
      <c r="J208" t="s">
        <v>951</v>
      </c>
      <c r="L208" t="s">
        <v>111</v>
      </c>
      <c r="M208">
        <f>0.5*参数!$B$45</f>
        <v>4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 t="s">
        <v>112</v>
      </c>
      <c r="AP208">
        <f t="shared" si="6"/>
        <v>1</v>
      </c>
      <c r="AQ208">
        <v>0</v>
      </c>
      <c r="AR208">
        <v>0</v>
      </c>
      <c r="AT208" t="s">
        <v>113</v>
      </c>
      <c r="AU208">
        <v>0</v>
      </c>
      <c r="AY208">
        <f>IFERROR(MAX(IF(IF(AND(F208="能力",AL208="能力持续"),(参数!$B$2-1)*参数!$B$3,0)+M208*O208*参数!$B$5*IF(AND(F208="能力",AL208="能力持续"),参数!$B$2,1)+P208*参数!$B$6*IF(AND(F208="能力",AL208="能力持续"),参数!$B$2,1)+R208*参数!$B$7*IF(AND(F208="能力",AL208="能力持续"),参数!$B$2,1)+V208*参数!$B$8+IF(X208&lt;0,X208*参数!$B$13,X208*参数!$B$39)+IF(AE208&lt;0,AE208*参数!$B$13,AE208*参数!$B$12)*参数!$B$2+AQ208*参数!$B$15+AB208*参数!$B$11+AF208*参数!$B$40*参数!$B$2+AG208*参数!$B$44*参数!$B$2+AH208*参数!$B$6*参数!$B$2+AI208*参数!$B$39*参数!$B$2+AJ208*参数!$B$6*参数!$B$2+Z208*参数!$B$13-T208*参数!$B$14-AD208*参数!$B$13+IF(ISNUMBER(AU208),AU208*参数!$B$38,0)-AV208*参数!$B$41-AW208*参数!$B$14&gt;参数!$B$17,参数!$B$17+SQRT(IF(AND(F208="能力",AL208="能力持续"),(参数!$B$2-1)*参数!$B$3,0)+M208*O208*参数!$B$5*IF(AND(F208="能力",AL208="能力持续"),参数!$B$2,1)+P208*参数!$B$6*IF(AND(F208="能力",AL208="能力持续"),参数!$B$2,1)+R208*参数!$B$7*IF(AND(F208="能力",AL208="能力持续"),参数!$B$2,1)+V208*参数!$B$8+IF(X208&lt;0,X208*参数!$B$13,X208*参数!$B$39)+IF(AE208&lt;0,AE208*参数!$B$13,AE208*参数!$B$12)*参数!$B$2+AQ208*参数!$B$15+AB208*参数!$B$11+AF208*参数!$B$40*参数!$B$2+AG208*参数!$B$44*参数!$B$2+AH208*参数!$B$6*参数!$B$2+AI208*参数!$B$39*参数!$B$2+AJ208*参数!$B$6*参数!$B$2+Z208*参数!$B$13-T208*参数!$B$14-AD208*参数!$B$13+IF(ISNUMBER(AU208),AU208*参数!$B$38,0)-AV208*参数!$B$41-AW208*参数!$B$14-参数!$B$17)*参数!$B$18,IF(AND(F208="能力",AL208="能力持续"),(参数!$B$2-1)*参数!$B$3,0)+M208*O208*参数!$B$5*IF(AND(F208="能力",AL208="能力持续"),参数!$B$2,1)+P208*参数!$B$6*IF(AND(F208="能力",AL208="能力持续"),参数!$B$2,1)+R208*参数!$B$7*IF(AND(F208="能力",AL208="能力持续"),参数!$B$2,1)+V208*参数!$B$8+IF(X208&lt;0,X208*参数!$B$13,X208*参数!$B$39)+IF(AE208&lt;0,AE208*参数!$B$13,AE208*参数!$B$12)*参数!$B$2+AQ208*参数!$B$15+AB208*参数!$B$11+AF208*参数!$B$40*参数!$B$2+AG208*参数!$B$44*参数!$B$2+AH208*参数!$B$6*参数!$B$2+AI208*参数!$B$39*参数!$B$2+AJ208*参数!$B$6*参数!$B$2+Z208*参数!$B$13-T208*参数!$B$14-AD208*参数!$B$13+IF(ISNUMBER(AU208),AU208*参数!$B$38,0)-AV208*参数!$B$41-AW208*参数!$B$14),0),0)</f>
        <v>4</v>
      </c>
      <c r="AZ208">
        <f>AY208-MAX(AP208,0)*参数!$B$10</f>
        <v>1</v>
      </c>
      <c r="BA208">
        <f t="shared" si="7"/>
        <v>4</v>
      </c>
    </row>
    <row r="209" spans="1:53" x14ac:dyDescent="0.3">
      <c r="A209">
        <v>208</v>
      </c>
      <c r="B209" t="s">
        <v>952</v>
      </c>
      <c r="C209" t="s">
        <v>767</v>
      </c>
      <c r="D209" t="s">
        <v>953</v>
      </c>
      <c r="E209" t="s">
        <v>954</v>
      </c>
      <c r="F209" t="s">
        <v>124</v>
      </c>
      <c r="G209" t="s">
        <v>12</v>
      </c>
      <c r="H209">
        <v>1</v>
      </c>
      <c r="I209">
        <v>1</v>
      </c>
      <c r="J209" t="s">
        <v>955</v>
      </c>
      <c r="L209" t="s">
        <v>120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2</v>
      </c>
      <c r="S209">
        <v>3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112</v>
      </c>
      <c r="AN209" t="s">
        <v>124</v>
      </c>
      <c r="AP209">
        <f t="shared" si="6"/>
        <v>1</v>
      </c>
      <c r="AQ209">
        <v>0</v>
      </c>
      <c r="AR209">
        <v>0</v>
      </c>
      <c r="AT209" t="s">
        <v>113</v>
      </c>
      <c r="AU209">
        <v>0</v>
      </c>
      <c r="AY209">
        <f>IFERROR(MAX(IF(IF(AND(F209="能力",AL209="能力持续"),(参数!$B$2-1)*参数!$B$3,0)+M209*O209*参数!$B$5*IF(AND(F209="能力",AL209="能力持续"),参数!$B$2,1)+P209*参数!$B$6*IF(AND(F209="能力",AL209="能力持续"),参数!$B$2,1)+R209*参数!$B$7*IF(AND(F209="能力",AL209="能力持续"),参数!$B$2,1)+V209*参数!$B$8+IF(X209&lt;0,X209*参数!$B$13,X209*参数!$B$39)+IF(AE209&lt;0,AE209*参数!$B$13,AE209*参数!$B$12)*参数!$B$2+AQ209*参数!$B$15+AB209*参数!$B$11+AF209*参数!$B$40*参数!$B$2+AG209*参数!$B$44*参数!$B$2+AH209*参数!$B$6*参数!$B$2+AI209*参数!$B$39*参数!$B$2+AJ209*参数!$B$6*参数!$B$2+Z209*参数!$B$13-T209*参数!$B$14-AD209*参数!$B$13+IF(ISNUMBER(AU209),AU209*参数!$B$38,0)-AV209*参数!$B$41-AW209*参数!$B$14&gt;参数!$B$17,参数!$B$17+SQRT(IF(AND(F209="能力",AL209="能力持续"),(参数!$B$2-1)*参数!$B$3,0)+M209*O209*参数!$B$5*IF(AND(F209="能力",AL209="能力持续"),参数!$B$2,1)+P209*参数!$B$6*IF(AND(F209="能力",AL209="能力持续"),参数!$B$2,1)+R209*参数!$B$7*IF(AND(F209="能力",AL209="能力持续"),参数!$B$2,1)+V209*参数!$B$8+IF(X209&lt;0,X209*参数!$B$13,X209*参数!$B$39)+IF(AE209&lt;0,AE209*参数!$B$13,AE209*参数!$B$12)*参数!$B$2+AQ209*参数!$B$15+AB209*参数!$B$11+AF209*参数!$B$40*参数!$B$2+AG209*参数!$B$44*参数!$B$2+AH209*参数!$B$6*参数!$B$2+AI209*参数!$B$39*参数!$B$2+AJ209*参数!$B$6*参数!$B$2+Z209*参数!$B$13-T209*参数!$B$14-AD209*参数!$B$13+IF(ISNUMBER(AU209),AU209*参数!$B$38,0)-AV209*参数!$B$41-AW209*参数!$B$14-参数!$B$17)*参数!$B$18,IF(AND(F209="能力",AL209="能力持续"),(参数!$B$2-1)*参数!$B$3,0)+M209*O209*参数!$B$5*IF(AND(F209="能力",AL209="能力持续"),参数!$B$2,1)+P209*参数!$B$6*IF(AND(F209="能力",AL209="能力持续"),参数!$B$2,1)+R209*参数!$B$7*IF(AND(F209="能力",AL209="能力持续"),参数!$B$2,1)+V209*参数!$B$8+IF(X209&lt;0,X209*参数!$B$13,X209*参数!$B$39)+IF(AE209&lt;0,AE209*参数!$B$13,AE209*参数!$B$12)*参数!$B$2+AQ209*参数!$B$15+AB209*参数!$B$11+AF209*参数!$B$40*参数!$B$2+AG209*参数!$B$44*参数!$B$2+AH209*参数!$B$6*参数!$B$2+AI209*参数!$B$39*参数!$B$2+AJ209*参数!$B$6*参数!$B$2+Z209*参数!$B$13-T209*参数!$B$14-AD209*参数!$B$13+IF(ISNUMBER(AU209),AU209*参数!$B$38,0)-AV209*参数!$B$41-AW209*参数!$B$14),0),0)</f>
        <v>1.4</v>
      </c>
      <c r="AZ209">
        <f>AY209-MAX(AP209,0)*参数!$B$10</f>
        <v>-1.6</v>
      </c>
      <c r="BA209">
        <f t="shared" si="7"/>
        <v>1.4</v>
      </c>
    </row>
    <row r="210" spans="1:53" x14ac:dyDescent="0.3">
      <c r="A210">
        <v>209</v>
      </c>
      <c r="B210" t="s">
        <v>956</v>
      </c>
      <c r="C210" t="s">
        <v>767</v>
      </c>
      <c r="D210" t="s">
        <v>957</v>
      </c>
      <c r="E210" t="s">
        <v>958</v>
      </c>
      <c r="F210" t="s">
        <v>117</v>
      </c>
      <c r="G210" t="s">
        <v>10</v>
      </c>
      <c r="H210">
        <v>1</v>
      </c>
      <c r="I210">
        <v>1</v>
      </c>
      <c r="J210" t="s">
        <v>959</v>
      </c>
      <c r="L210" t="s">
        <v>120</v>
      </c>
      <c r="M210">
        <v>0</v>
      </c>
      <c r="N210">
        <v>0</v>
      </c>
      <c r="O210">
        <v>1</v>
      </c>
      <c r="P210">
        <v>9</v>
      </c>
      <c r="Q210">
        <v>12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t="s">
        <v>112</v>
      </c>
      <c r="AP210">
        <f t="shared" si="6"/>
        <v>1</v>
      </c>
      <c r="AQ210">
        <v>0</v>
      </c>
      <c r="AR210">
        <v>0</v>
      </c>
      <c r="AT210" t="s">
        <v>113</v>
      </c>
      <c r="AU210">
        <v>0</v>
      </c>
      <c r="AY210">
        <f>IFERROR(MAX(IF(IF(AND(F210="能力",AL210="能力持续"),(参数!$B$2-1)*参数!$B$3,0)+M210*O210*参数!$B$5*IF(AND(F210="能力",AL210="能力持续"),参数!$B$2,1)+P210*参数!$B$6*IF(AND(F210="能力",AL210="能力持续"),参数!$B$2,1)+R210*参数!$B$7*IF(AND(F210="能力",AL210="能力持续"),参数!$B$2,1)+V210*参数!$B$8+IF(X210&lt;0,X210*参数!$B$13,X210*参数!$B$39)+IF(AE210&lt;0,AE210*参数!$B$13,AE210*参数!$B$12)*参数!$B$2+AQ210*参数!$B$15+AB210*参数!$B$11+AF210*参数!$B$40*参数!$B$2+AG210*参数!$B$44*参数!$B$2+AH210*参数!$B$6*参数!$B$2+AI210*参数!$B$39*参数!$B$2+AJ210*参数!$B$6*参数!$B$2+Z210*参数!$B$13-T210*参数!$B$14-AD210*参数!$B$13+IF(ISNUMBER(AU210),AU210*参数!$B$38,0)-AV210*参数!$B$41-AW210*参数!$B$14&gt;参数!$B$17,参数!$B$17+SQRT(IF(AND(F210="能力",AL210="能力持续"),(参数!$B$2-1)*参数!$B$3,0)+M210*O210*参数!$B$5*IF(AND(F210="能力",AL210="能力持续"),参数!$B$2,1)+P210*参数!$B$6*IF(AND(F210="能力",AL210="能力持续"),参数!$B$2,1)+R210*参数!$B$7*IF(AND(F210="能力",AL210="能力持续"),参数!$B$2,1)+V210*参数!$B$8+IF(X210&lt;0,X210*参数!$B$13,X210*参数!$B$39)+IF(AE210&lt;0,AE210*参数!$B$13,AE210*参数!$B$12)*参数!$B$2+AQ210*参数!$B$15+AB210*参数!$B$11+AF210*参数!$B$40*参数!$B$2+AG210*参数!$B$44*参数!$B$2+AH210*参数!$B$6*参数!$B$2+AI210*参数!$B$39*参数!$B$2+AJ210*参数!$B$6*参数!$B$2+Z210*参数!$B$13-T210*参数!$B$14-AD210*参数!$B$13+IF(ISNUMBER(AU210),AU210*参数!$B$38,0)-AV210*参数!$B$41-AW210*参数!$B$14-参数!$B$17)*参数!$B$18,IF(AND(F210="能力",AL210="能力持续"),(参数!$B$2-1)*参数!$B$3,0)+M210*O210*参数!$B$5*IF(AND(F210="能力",AL210="能力持续"),参数!$B$2,1)+P210*参数!$B$6*IF(AND(F210="能力",AL210="能力持续"),参数!$B$2,1)+R210*参数!$B$7*IF(AND(F210="能力",AL210="能力持续"),参数!$B$2,1)+V210*参数!$B$8+IF(X210&lt;0,X210*参数!$B$13,X210*参数!$B$39)+IF(AE210&lt;0,AE210*参数!$B$13,AE210*参数!$B$12)*参数!$B$2+AQ210*参数!$B$15+AB210*参数!$B$11+AF210*参数!$B$40*参数!$B$2+AG210*参数!$B$44*参数!$B$2+AH210*参数!$B$6*参数!$B$2+AI210*参数!$B$39*参数!$B$2+AJ210*参数!$B$6*参数!$B$2+Z210*参数!$B$13-T210*参数!$B$14-AD210*参数!$B$13+IF(ISNUMBER(AU210),AU210*参数!$B$38,0)-AV210*参数!$B$41-AW210*参数!$B$14),0),0)</f>
        <v>9.9</v>
      </c>
      <c r="AZ210">
        <f>AY210-MAX(AP210,0)*参数!$B$10</f>
        <v>6.9</v>
      </c>
      <c r="BA210">
        <f t="shared" si="7"/>
        <v>9.9</v>
      </c>
    </row>
    <row r="211" spans="1:53" x14ac:dyDescent="0.3">
      <c r="A211">
        <v>210</v>
      </c>
      <c r="B211" t="s">
        <v>960</v>
      </c>
      <c r="C211" t="s">
        <v>767</v>
      </c>
      <c r="D211" t="s">
        <v>961</v>
      </c>
      <c r="E211" t="s">
        <v>962</v>
      </c>
      <c r="F211" t="s">
        <v>117</v>
      </c>
      <c r="G211" t="s">
        <v>10</v>
      </c>
      <c r="H211">
        <v>1</v>
      </c>
      <c r="I211">
        <v>1</v>
      </c>
      <c r="J211" t="s">
        <v>963</v>
      </c>
      <c r="L211" t="s">
        <v>120</v>
      </c>
      <c r="M211">
        <v>0</v>
      </c>
      <c r="N211">
        <v>0</v>
      </c>
      <c r="O211">
        <v>1</v>
      </c>
      <c r="P211">
        <v>4</v>
      </c>
      <c r="Q211">
        <v>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112</v>
      </c>
      <c r="AP211">
        <f t="shared" si="6"/>
        <v>1</v>
      </c>
      <c r="AQ211">
        <v>0</v>
      </c>
      <c r="AR211">
        <v>0</v>
      </c>
      <c r="AT211" t="s">
        <v>113</v>
      </c>
      <c r="AU211">
        <v>0</v>
      </c>
      <c r="AY211">
        <f>IFERROR(MAX(IF(IF(AND(F211="能力",AL211="能力持续"),(参数!$B$2-1)*参数!$B$3,0)+M211*O211*参数!$B$5*IF(AND(F211="能力",AL211="能力持续"),参数!$B$2,1)+P211*参数!$B$6*IF(AND(F211="能力",AL211="能力持续"),参数!$B$2,1)+R211*参数!$B$7*IF(AND(F211="能力",AL211="能力持续"),参数!$B$2,1)+V211*参数!$B$8+IF(X211&lt;0,X211*参数!$B$13,X211*参数!$B$39)+IF(AE211&lt;0,AE211*参数!$B$13,AE211*参数!$B$12)*参数!$B$2+AQ211*参数!$B$15+AB211*参数!$B$11+AF211*参数!$B$40*参数!$B$2+AG211*参数!$B$44*参数!$B$2+AH211*参数!$B$6*参数!$B$2+AI211*参数!$B$39*参数!$B$2+AJ211*参数!$B$6*参数!$B$2+Z211*参数!$B$13-T211*参数!$B$14-AD211*参数!$B$13+IF(ISNUMBER(AU211),AU211*参数!$B$38,0)-AV211*参数!$B$41-AW211*参数!$B$14&gt;参数!$B$17,参数!$B$17+SQRT(IF(AND(F211="能力",AL211="能力持续"),(参数!$B$2-1)*参数!$B$3,0)+M211*O211*参数!$B$5*IF(AND(F211="能力",AL211="能力持续"),参数!$B$2,1)+P211*参数!$B$6*IF(AND(F211="能力",AL211="能力持续"),参数!$B$2,1)+R211*参数!$B$7*IF(AND(F211="能力",AL211="能力持续"),参数!$B$2,1)+V211*参数!$B$8+IF(X211&lt;0,X211*参数!$B$13,X211*参数!$B$39)+IF(AE211&lt;0,AE211*参数!$B$13,AE211*参数!$B$12)*参数!$B$2+AQ211*参数!$B$15+AB211*参数!$B$11+AF211*参数!$B$40*参数!$B$2+AG211*参数!$B$44*参数!$B$2+AH211*参数!$B$6*参数!$B$2+AI211*参数!$B$39*参数!$B$2+AJ211*参数!$B$6*参数!$B$2+Z211*参数!$B$13-T211*参数!$B$14-AD211*参数!$B$13+IF(ISNUMBER(AU211),AU211*参数!$B$38,0)-AV211*参数!$B$41-AW211*参数!$B$14-参数!$B$17)*参数!$B$18,IF(AND(F211="能力",AL211="能力持续"),(参数!$B$2-1)*参数!$B$3,0)+M211*O211*参数!$B$5*IF(AND(F211="能力",AL211="能力持续"),参数!$B$2,1)+P211*参数!$B$6*IF(AND(F211="能力",AL211="能力持续"),参数!$B$2,1)+R211*参数!$B$7*IF(AND(F211="能力",AL211="能力持续"),参数!$B$2,1)+V211*参数!$B$8+IF(X211&lt;0,X211*参数!$B$13,X211*参数!$B$39)+IF(AE211&lt;0,AE211*参数!$B$13,AE211*参数!$B$12)*参数!$B$2+AQ211*参数!$B$15+AB211*参数!$B$11+AF211*参数!$B$40*参数!$B$2+AG211*参数!$B$44*参数!$B$2+AH211*参数!$B$6*参数!$B$2+AI211*参数!$B$39*参数!$B$2+AJ211*参数!$B$6*参数!$B$2+Z211*参数!$B$13-T211*参数!$B$14-AD211*参数!$B$13+IF(ISNUMBER(AU211),AU211*参数!$B$38,0)-AV211*参数!$B$41-AW211*参数!$B$14),0),0)</f>
        <v>4.4000000000000004</v>
      </c>
      <c r="AZ211">
        <f>AY211-MAX(AP211,0)*参数!$B$10</f>
        <v>1.4000000000000004</v>
      </c>
      <c r="BA211">
        <f t="shared" si="7"/>
        <v>4.4000000000000004</v>
      </c>
    </row>
    <row r="212" spans="1:53" x14ac:dyDescent="0.3">
      <c r="A212">
        <v>211</v>
      </c>
      <c r="B212" t="s">
        <v>964</v>
      </c>
      <c r="C212" t="s">
        <v>767</v>
      </c>
      <c r="D212" t="s">
        <v>965</v>
      </c>
      <c r="E212" t="s">
        <v>966</v>
      </c>
      <c r="F212" t="s">
        <v>124</v>
      </c>
      <c r="G212" t="s">
        <v>12</v>
      </c>
      <c r="H212">
        <v>1</v>
      </c>
      <c r="I212">
        <v>1</v>
      </c>
      <c r="J212" t="s">
        <v>967</v>
      </c>
      <c r="L212" t="s">
        <v>120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 t="s">
        <v>112</v>
      </c>
      <c r="AL212" t="s">
        <v>127</v>
      </c>
      <c r="AN212" t="s">
        <v>124</v>
      </c>
      <c r="AP212">
        <f t="shared" si="6"/>
        <v>1</v>
      </c>
      <c r="AQ212">
        <v>0</v>
      </c>
      <c r="AR212">
        <v>0</v>
      </c>
      <c r="AT212" t="s">
        <v>113</v>
      </c>
      <c r="AU212">
        <v>0</v>
      </c>
      <c r="AY212">
        <f>IFERROR(MAX(IF(IF(AND(F212="能力",AL212="能力持续"),(参数!$B$2-1)*参数!$B$3,0)+M212*O212*参数!$B$5*IF(AND(F212="能力",AL212="能力持续"),参数!$B$2,1)+P212*参数!$B$6*IF(AND(F212="能力",AL212="能力持续"),参数!$B$2,1)+R212*参数!$B$7*IF(AND(F212="能力",AL212="能力持续"),参数!$B$2,1)+V212*参数!$B$8+IF(X212&lt;0,X212*参数!$B$13,X212*参数!$B$39)+IF(AE212&lt;0,AE212*参数!$B$13,AE212*参数!$B$12)*参数!$B$2+AQ212*参数!$B$15+AB212*参数!$B$11+AF212*参数!$B$40*参数!$B$2+AG212*参数!$B$44*参数!$B$2+AH212*参数!$B$6*参数!$B$2+AI212*参数!$B$39*参数!$B$2+AJ212*参数!$B$6*参数!$B$2+Z212*参数!$B$13-T212*参数!$B$14-AD212*参数!$B$13+IF(ISNUMBER(AU212),AU212*参数!$B$38,0)-AV212*参数!$B$41-AW212*参数!$B$14&gt;参数!$B$17,参数!$B$17+SQRT(IF(AND(F212="能力",AL212="能力持续"),(参数!$B$2-1)*参数!$B$3,0)+M212*O212*参数!$B$5*IF(AND(F212="能力",AL212="能力持续"),参数!$B$2,1)+P212*参数!$B$6*IF(AND(F212="能力",AL212="能力持续"),参数!$B$2,1)+R212*参数!$B$7*IF(AND(F212="能力",AL212="能力持续"),参数!$B$2,1)+V212*参数!$B$8+IF(X212&lt;0,X212*参数!$B$13,X212*参数!$B$39)+IF(AE212&lt;0,AE212*参数!$B$13,AE212*参数!$B$12)*参数!$B$2+AQ212*参数!$B$15+AB212*参数!$B$11+AF212*参数!$B$40*参数!$B$2+AG212*参数!$B$44*参数!$B$2+AH212*参数!$B$6*参数!$B$2+AI212*参数!$B$39*参数!$B$2+AJ212*参数!$B$6*参数!$B$2+Z212*参数!$B$13-T212*参数!$B$14-AD212*参数!$B$13+IF(ISNUMBER(AU212),AU212*参数!$B$38,0)-AV212*参数!$B$41-AW212*参数!$B$14-参数!$B$17)*参数!$B$18,IF(AND(F212="能力",AL212="能力持续"),(参数!$B$2-1)*参数!$B$3,0)+M212*O212*参数!$B$5*IF(AND(F212="能力",AL212="能力持续"),参数!$B$2,1)+P212*参数!$B$6*IF(AND(F212="能力",AL212="能力持续"),参数!$B$2,1)+R212*参数!$B$7*IF(AND(F212="能力",AL212="能力持续"),参数!$B$2,1)+V212*参数!$B$8+IF(X212&lt;0,X212*参数!$B$13,X212*参数!$B$39)+IF(AE212&lt;0,AE212*参数!$B$13,AE212*参数!$B$12)*参数!$B$2+AQ212*参数!$B$15+AB212*参数!$B$11+AF212*参数!$B$40*参数!$B$2+AG212*参数!$B$44*参数!$B$2+AH212*参数!$B$6*参数!$B$2+AI212*参数!$B$39*参数!$B$2+AJ212*参数!$B$6*参数!$B$2+Z212*参数!$B$13-T212*参数!$B$14-AD212*参数!$B$13+IF(ISNUMBER(AU212),AU212*参数!$B$38,0)-AV212*参数!$B$41-AW212*参数!$B$14),0),0)</f>
        <v>3.5999999999999996</v>
      </c>
      <c r="AZ212">
        <f>AY212-MAX(AP212,0)*参数!$B$10</f>
        <v>0.59999999999999964</v>
      </c>
      <c r="BA212">
        <f t="shared" si="7"/>
        <v>3.5999999999999996</v>
      </c>
    </row>
    <row r="213" spans="1:53" x14ac:dyDescent="0.3">
      <c r="A213">
        <v>212</v>
      </c>
      <c r="B213" t="s">
        <v>968</v>
      </c>
      <c r="C213" t="s">
        <v>767</v>
      </c>
      <c r="D213" t="s">
        <v>969</v>
      </c>
      <c r="E213" t="s">
        <v>970</v>
      </c>
      <c r="F213" t="s">
        <v>124</v>
      </c>
      <c r="G213" t="s">
        <v>14</v>
      </c>
      <c r="H213">
        <v>1</v>
      </c>
      <c r="I213">
        <v>1</v>
      </c>
      <c r="J213" t="s">
        <v>971</v>
      </c>
      <c r="L213" t="s">
        <v>120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f>参数!$B$2</f>
        <v>4</v>
      </c>
      <c r="S213">
        <f>参数!$B$2+1</f>
        <v>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t="s">
        <v>112</v>
      </c>
      <c r="AL213" t="s">
        <v>127</v>
      </c>
      <c r="AN213" t="s">
        <v>124</v>
      </c>
      <c r="AP213">
        <f t="shared" si="6"/>
        <v>1</v>
      </c>
      <c r="AQ213">
        <v>0</v>
      </c>
      <c r="AR213">
        <v>0</v>
      </c>
      <c r="AT213" t="s">
        <v>113</v>
      </c>
      <c r="AU213">
        <v>0</v>
      </c>
      <c r="AY213">
        <f>IFERROR(MAX(IF(IF(AND(F213="能力",AL213="能力持续"),(参数!$B$2-1)*参数!$B$3,0)+M213*O213*参数!$B$5*IF(AND(F213="能力",AL213="能力持续"),参数!$B$2,1)+P213*参数!$B$6*IF(AND(F213="能力",AL213="能力持续"),参数!$B$2,1)+R213*参数!$B$7*IF(AND(F213="能力",AL213="能力持续"),参数!$B$2,1)+V213*参数!$B$8+IF(X213&lt;0,X213*参数!$B$13,X213*参数!$B$39)+IF(AE213&lt;0,AE213*参数!$B$13,AE213*参数!$B$12)*参数!$B$2+AQ213*参数!$B$15+AB213*参数!$B$11+AF213*参数!$B$40*参数!$B$2+AG213*参数!$B$44*参数!$B$2+AH213*参数!$B$6*参数!$B$2+AI213*参数!$B$39*参数!$B$2+AJ213*参数!$B$6*参数!$B$2+Z213*参数!$B$13-T213*参数!$B$14-AD213*参数!$B$13+IF(ISNUMBER(AU213),AU213*参数!$B$38,0)-AV213*参数!$B$41-AW213*参数!$B$14&gt;参数!$B$17,参数!$B$17+SQRT(IF(AND(F213="能力",AL213="能力持续"),(参数!$B$2-1)*参数!$B$3,0)+M213*O213*参数!$B$5*IF(AND(F213="能力",AL213="能力持续"),参数!$B$2,1)+P213*参数!$B$6*IF(AND(F213="能力",AL213="能力持续"),参数!$B$2,1)+R213*参数!$B$7*IF(AND(F213="能力",AL213="能力持续"),参数!$B$2,1)+V213*参数!$B$8+IF(X213&lt;0,X213*参数!$B$13,X213*参数!$B$39)+IF(AE213&lt;0,AE213*参数!$B$13,AE213*参数!$B$12)*参数!$B$2+AQ213*参数!$B$15+AB213*参数!$B$11+AF213*参数!$B$40*参数!$B$2+AG213*参数!$B$44*参数!$B$2+AH213*参数!$B$6*参数!$B$2+AI213*参数!$B$39*参数!$B$2+AJ213*参数!$B$6*参数!$B$2+Z213*参数!$B$13-T213*参数!$B$14-AD213*参数!$B$13+IF(ISNUMBER(AU213),AU213*参数!$B$38,0)-AV213*参数!$B$41-AW213*参数!$B$14-参数!$B$17)*参数!$B$18,IF(AND(F213="能力",AL213="能力持续"),(参数!$B$2-1)*参数!$B$3,0)+M213*O213*参数!$B$5*IF(AND(F213="能力",AL213="能力持续"),参数!$B$2,1)+P213*参数!$B$6*IF(AND(F213="能力",AL213="能力持续"),参数!$B$2,1)+R213*参数!$B$7*IF(AND(F213="能力",AL213="能力持续"),参数!$B$2,1)+V213*参数!$B$8+IF(X213&lt;0,X213*参数!$B$13,X213*参数!$B$39)+IF(AE213&lt;0,AE213*参数!$B$13,AE213*参数!$B$12)*参数!$B$2+AQ213*参数!$B$15+AB213*参数!$B$11+AF213*参数!$B$40*参数!$B$2+AG213*参数!$B$44*参数!$B$2+AH213*参数!$B$6*参数!$B$2+AI213*参数!$B$39*参数!$B$2+AJ213*参数!$B$6*参数!$B$2+Z213*参数!$B$13-T213*参数!$B$14-AD213*参数!$B$13+IF(ISNUMBER(AU213),AU213*参数!$B$38,0)-AV213*参数!$B$41-AW213*参数!$B$14),0),0)</f>
        <v>13.286335345030997</v>
      </c>
      <c r="AZ213">
        <f>AY213-MAX(AP213,0)*参数!$B$10</f>
        <v>10.286335345030997</v>
      </c>
      <c r="BA213">
        <f t="shared" si="7"/>
        <v>13.286335345030997</v>
      </c>
    </row>
    <row r="214" spans="1:53" x14ac:dyDescent="0.3">
      <c r="A214">
        <v>213</v>
      </c>
      <c r="B214" t="s">
        <v>972</v>
      </c>
      <c r="C214" t="s">
        <v>767</v>
      </c>
      <c r="D214" t="s">
        <v>973</v>
      </c>
      <c r="E214" t="s">
        <v>974</v>
      </c>
      <c r="F214" t="s">
        <v>108</v>
      </c>
      <c r="G214" t="s">
        <v>14</v>
      </c>
      <c r="H214">
        <v>5</v>
      </c>
      <c r="I214">
        <v>5</v>
      </c>
      <c r="J214" t="s">
        <v>975</v>
      </c>
      <c r="L214" t="s">
        <v>111</v>
      </c>
      <c r="M214">
        <v>24</v>
      </c>
      <c r="N214">
        <v>30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112</v>
      </c>
      <c r="AP214">
        <f t="shared" si="6"/>
        <v>5</v>
      </c>
      <c r="AQ214">
        <v>0</v>
      </c>
      <c r="AR214">
        <v>0</v>
      </c>
      <c r="AT214" t="s">
        <v>113</v>
      </c>
      <c r="AU214">
        <v>0</v>
      </c>
      <c r="AY214">
        <f>IFERROR(MAX(IF(IF(AND(F214="能力",AL214="能力持续"),(参数!$B$2-1)*参数!$B$3,0)+M214*O214*参数!$B$5*IF(AND(F214="能力",AL214="能力持续"),参数!$B$2,1)+P214*参数!$B$6*IF(AND(F214="能力",AL214="能力持续"),参数!$B$2,1)+R214*参数!$B$7*IF(AND(F214="能力",AL214="能力持续"),参数!$B$2,1)+V214*参数!$B$8+IF(X214&lt;0,X214*参数!$B$13,X214*参数!$B$39)+IF(AE214&lt;0,AE214*参数!$B$13,AE214*参数!$B$12)*参数!$B$2+AQ214*参数!$B$15+AB214*参数!$B$11+AF214*参数!$B$40*参数!$B$2+AG214*参数!$B$44*参数!$B$2+AH214*参数!$B$6*参数!$B$2+AI214*参数!$B$39*参数!$B$2+AJ214*参数!$B$6*参数!$B$2+Z214*参数!$B$13-T214*参数!$B$14-AD214*参数!$B$13+IF(ISNUMBER(AU214),AU214*参数!$B$38,0)-AV214*参数!$B$41-AW214*参数!$B$14&gt;参数!$B$17,参数!$B$17+SQRT(IF(AND(F214="能力",AL214="能力持续"),(参数!$B$2-1)*参数!$B$3,0)+M214*O214*参数!$B$5*IF(AND(F214="能力",AL214="能力持续"),参数!$B$2,1)+P214*参数!$B$6*IF(AND(F214="能力",AL214="能力持续"),参数!$B$2,1)+R214*参数!$B$7*IF(AND(F214="能力",AL214="能力持续"),参数!$B$2,1)+V214*参数!$B$8+IF(X214&lt;0,X214*参数!$B$13,X214*参数!$B$39)+IF(AE214&lt;0,AE214*参数!$B$13,AE214*参数!$B$12)*参数!$B$2+AQ214*参数!$B$15+AB214*参数!$B$11+AF214*参数!$B$40*参数!$B$2+AG214*参数!$B$44*参数!$B$2+AH214*参数!$B$6*参数!$B$2+AI214*参数!$B$39*参数!$B$2+AJ214*参数!$B$6*参数!$B$2+Z214*参数!$B$13-T214*参数!$B$14-AD214*参数!$B$13+IF(ISNUMBER(AU214),AU214*参数!$B$38,0)-AV214*参数!$B$41-AW214*参数!$B$14-参数!$B$17)*参数!$B$18,IF(AND(F214="能力",AL214="能力持续"),(参数!$B$2-1)*参数!$B$3,0)+M214*O214*参数!$B$5*IF(AND(F214="能力",AL214="能力持续"),参数!$B$2,1)+P214*参数!$B$6*IF(AND(F214="能力",AL214="能力持续"),参数!$B$2,1)+R214*参数!$B$7*IF(AND(F214="能力",AL214="能力持续"),参数!$B$2,1)+V214*参数!$B$8+IF(X214&lt;0,X214*参数!$B$13,X214*参数!$B$39)+IF(AE214&lt;0,AE214*参数!$B$13,AE214*参数!$B$12)*参数!$B$2+AQ214*参数!$B$15+AB214*参数!$B$11+AF214*参数!$B$40*参数!$B$2+AG214*参数!$B$44*参数!$B$2+AH214*参数!$B$6*参数!$B$2+AI214*参数!$B$39*参数!$B$2+AJ214*参数!$B$6*参数!$B$2+Z214*参数!$B$13-T214*参数!$B$14-AD214*参数!$B$13+IF(ISNUMBER(AU214),AU214*参数!$B$38,0)-AV214*参数!$B$41-AW214*参数!$B$14),0),0)</f>
        <v>15.612486080160913</v>
      </c>
      <c r="AZ214">
        <f>AY214-MAX(AP214,0)*参数!$B$10</f>
        <v>0.6124860801609131</v>
      </c>
      <c r="BA214">
        <f t="shared" si="7"/>
        <v>3.1224972160321824</v>
      </c>
    </row>
    <row r="215" spans="1:53" x14ac:dyDescent="0.3">
      <c r="A215">
        <v>214</v>
      </c>
      <c r="B215" t="s">
        <v>976</v>
      </c>
      <c r="C215" t="s">
        <v>767</v>
      </c>
      <c r="D215" t="s">
        <v>977</v>
      </c>
      <c r="E215" t="s">
        <v>978</v>
      </c>
      <c r="F215" t="s">
        <v>117</v>
      </c>
      <c r="G215" t="s">
        <v>14</v>
      </c>
      <c r="H215">
        <v>0</v>
      </c>
      <c r="I215">
        <v>0</v>
      </c>
      <c r="J215" t="s">
        <v>979</v>
      </c>
      <c r="L215" t="s">
        <v>120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t="s">
        <v>112</v>
      </c>
      <c r="AP215">
        <f t="shared" si="6"/>
        <v>0.4</v>
      </c>
      <c r="AQ215">
        <v>0</v>
      </c>
      <c r="AR215">
        <v>0</v>
      </c>
      <c r="AT215" t="s">
        <v>113</v>
      </c>
      <c r="AU215">
        <v>0</v>
      </c>
      <c r="AY215">
        <f>IFERROR(MAX(IF(IF(AND(F215="能力",AL215="能力持续"),(参数!$B$2-1)*参数!$B$3,0)+M215*O215*参数!$B$5*IF(AND(F215="能力",AL215="能力持续"),参数!$B$2,1)+P215*参数!$B$6*IF(AND(F215="能力",AL215="能力持续"),参数!$B$2,1)+R215*参数!$B$7*IF(AND(F215="能力",AL215="能力持续"),参数!$B$2,1)+V215*参数!$B$8+IF(X215&lt;0,X215*参数!$B$13,X215*参数!$B$39)+IF(AE215&lt;0,AE215*参数!$B$13,AE215*参数!$B$12)*参数!$B$2+AQ215*参数!$B$15+AB215*参数!$B$11+AF215*参数!$B$40*参数!$B$2+AG215*参数!$B$44*参数!$B$2+AH215*参数!$B$6*参数!$B$2+AI215*参数!$B$39*参数!$B$2+AJ215*参数!$B$6*参数!$B$2+Z215*参数!$B$13-T215*参数!$B$14-AD215*参数!$B$13+IF(ISNUMBER(AU215),AU215*参数!$B$38,0)-AV215*参数!$B$41-AW215*参数!$B$14&gt;参数!$B$17,参数!$B$17+SQRT(IF(AND(F215="能力",AL215="能力持续"),(参数!$B$2-1)*参数!$B$3,0)+M215*O215*参数!$B$5*IF(AND(F215="能力",AL215="能力持续"),参数!$B$2,1)+P215*参数!$B$6*IF(AND(F215="能力",AL215="能力持续"),参数!$B$2,1)+R215*参数!$B$7*IF(AND(F215="能力",AL215="能力持续"),参数!$B$2,1)+V215*参数!$B$8+IF(X215&lt;0,X215*参数!$B$13,X215*参数!$B$39)+IF(AE215&lt;0,AE215*参数!$B$13,AE215*参数!$B$12)*参数!$B$2+AQ215*参数!$B$15+AB215*参数!$B$11+AF215*参数!$B$40*参数!$B$2+AG215*参数!$B$44*参数!$B$2+AH215*参数!$B$6*参数!$B$2+AI215*参数!$B$39*参数!$B$2+AJ215*参数!$B$6*参数!$B$2+Z215*参数!$B$13-T215*参数!$B$14-AD215*参数!$B$13+IF(ISNUMBER(AU215),AU215*参数!$B$38,0)-AV215*参数!$B$41-AW215*参数!$B$14-参数!$B$17)*参数!$B$18,IF(AND(F215="能力",AL215="能力持续"),(参数!$B$2-1)*参数!$B$3,0)+M215*O215*参数!$B$5*IF(AND(F215="能力",AL215="能力持续"),参数!$B$2,1)+P215*参数!$B$6*IF(AND(F215="能力",AL215="能力持续"),参数!$B$2,1)+R215*参数!$B$7*IF(AND(F215="能力",AL215="能力持续"),参数!$B$2,1)+V215*参数!$B$8+IF(X215&lt;0,X215*参数!$B$13,X215*参数!$B$39)+IF(AE215&lt;0,AE215*参数!$B$13,AE215*参数!$B$12)*参数!$B$2+AQ215*参数!$B$15+AB215*参数!$B$11+AF215*参数!$B$40*参数!$B$2+AG215*参数!$B$44*参数!$B$2+AH215*参数!$B$6*参数!$B$2+AI215*参数!$B$39*参数!$B$2+AJ215*参数!$B$6*参数!$B$2+Z215*参数!$B$13-T215*参数!$B$14-AD215*参数!$B$13+IF(ISNUMBER(AU215),AU215*参数!$B$38,0)-AV215*参数!$B$41-AW215*参数!$B$14),0),0)</f>
        <v>0.7</v>
      </c>
      <c r="AZ215">
        <f>AY215-MAX(AP215,0)*参数!$B$10</f>
        <v>-0.50000000000000022</v>
      </c>
      <c r="BA215">
        <f t="shared" si="7"/>
        <v>1.7499999999999998</v>
      </c>
    </row>
    <row r="216" spans="1:53" x14ac:dyDescent="0.3">
      <c r="A216">
        <v>215</v>
      </c>
      <c r="B216" t="s">
        <v>980</v>
      </c>
      <c r="C216" t="s">
        <v>767</v>
      </c>
      <c r="D216" t="s">
        <v>981</v>
      </c>
      <c r="E216" t="s">
        <v>982</v>
      </c>
      <c r="F216" t="s">
        <v>108</v>
      </c>
      <c r="G216" t="s">
        <v>10</v>
      </c>
      <c r="H216">
        <v>1</v>
      </c>
      <c r="I216">
        <v>1</v>
      </c>
      <c r="J216" t="s">
        <v>983</v>
      </c>
      <c r="L216" t="s">
        <v>111</v>
      </c>
      <c r="M216">
        <v>10</v>
      </c>
      <c r="N216">
        <v>13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t="s">
        <v>112</v>
      </c>
      <c r="AP216">
        <f t="shared" si="6"/>
        <v>1</v>
      </c>
      <c r="AQ216">
        <v>0</v>
      </c>
      <c r="AR216">
        <v>0</v>
      </c>
      <c r="AT216" t="s">
        <v>113</v>
      </c>
      <c r="AU216">
        <v>0</v>
      </c>
      <c r="AY216">
        <f>IFERROR(MAX(IF(IF(AND(F216="能力",AL216="能力持续"),(参数!$B$2-1)*参数!$B$3,0)+M216*O216*参数!$B$5*IF(AND(F216="能力",AL216="能力持续"),参数!$B$2,1)+P216*参数!$B$6*IF(AND(F216="能力",AL216="能力持续"),参数!$B$2,1)+R216*参数!$B$7*IF(AND(F216="能力",AL216="能力持续"),参数!$B$2,1)+V216*参数!$B$8+IF(X216&lt;0,X216*参数!$B$13,X216*参数!$B$39)+IF(AE216&lt;0,AE216*参数!$B$13,AE216*参数!$B$12)*参数!$B$2+AQ216*参数!$B$15+AB216*参数!$B$11+AF216*参数!$B$40*参数!$B$2+AG216*参数!$B$44*参数!$B$2+AH216*参数!$B$6*参数!$B$2+AI216*参数!$B$39*参数!$B$2+AJ216*参数!$B$6*参数!$B$2+Z216*参数!$B$13-T216*参数!$B$14-AD216*参数!$B$13+IF(ISNUMBER(AU216),AU216*参数!$B$38,0)-AV216*参数!$B$41-AW216*参数!$B$14&gt;参数!$B$17,参数!$B$17+SQRT(IF(AND(F216="能力",AL216="能力持续"),(参数!$B$2-1)*参数!$B$3,0)+M216*O216*参数!$B$5*IF(AND(F216="能力",AL216="能力持续"),参数!$B$2,1)+P216*参数!$B$6*IF(AND(F216="能力",AL216="能力持续"),参数!$B$2,1)+R216*参数!$B$7*IF(AND(F216="能力",AL216="能力持续"),参数!$B$2,1)+V216*参数!$B$8+IF(X216&lt;0,X216*参数!$B$13,X216*参数!$B$39)+IF(AE216&lt;0,AE216*参数!$B$13,AE216*参数!$B$12)*参数!$B$2+AQ216*参数!$B$15+AB216*参数!$B$11+AF216*参数!$B$40*参数!$B$2+AG216*参数!$B$44*参数!$B$2+AH216*参数!$B$6*参数!$B$2+AI216*参数!$B$39*参数!$B$2+AJ216*参数!$B$6*参数!$B$2+Z216*参数!$B$13-T216*参数!$B$14-AD216*参数!$B$13+IF(ISNUMBER(AU216),AU216*参数!$B$38,0)-AV216*参数!$B$41-AW216*参数!$B$14-参数!$B$17)*参数!$B$18,IF(AND(F216="能力",AL216="能力持续"),(参数!$B$2-1)*参数!$B$3,0)+M216*O216*参数!$B$5*IF(AND(F216="能力",AL216="能力持续"),参数!$B$2,1)+P216*参数!$B$6*IF(AND(F216="能力",AL216="能力持续"),参数!$B$2,1)+R216*参数!$B$7*IF(AND(F216="能力",AL216="能力持续"),参数!$B$2,1)+V216*参数!$B$8+IF(X216&lt;0,X216*参数!$B$13,X216*参数!$B$39)+IF(AE216&lt;0,AE216*参数!$B$13,AE216*参数!$B$12)*参数!$B$2+AQ216*参数!$B$15+AB216*参数!$B$11+AF216*参数!$B$40*参数!$B$2+AG216*参数!$B$44*参数!$B$2+AH216*参数!$B$6*参数!$B$2+AI216*参数!$B$39*参数!$B$2+AJ216*参数!$B$6*参数!$B$2+Z216*参数!$B$13-T216*参数!$B$14-AD216*参数!$B$13+IF(ISNUMBER(AU216),AU216*参数!$B$38,0)-AV216*参数!$B$41-AW216*参数!$B$14),0),0)</f>
        <v>10</v>
      </c>
      <c r="AZ216">
        <f>AY216-MAX(AP216,0)*参数!$B$10</f>
        <v>7</v>
      </c>
      <c r="BA216">
        <f t="shared" si="7"/>
        <v>10</v>
      </c>
    </row>
    <row r="217" spans="1:53" x14ac:dyDescent="0.3">
      <c r="A217">
        <v>216</v>
      </c>
      <c r="B217" t="s">
        <v>984</v>
      </c>
      <c r="C217" t="s">
        <v>767</v>
      </c>
      <c r="D217" t="s">
        <v>985</v>
      </c>
      <c r="E217" t="s">
        <v>986</v>
      </c>
      <c r="F217" t="s">
        <v>117</v>
      </c>
      <c r="G217" t="s">
        <v>14</v>
      </c>
      <c r="H217" t="s">
        <v>203</v>
      </c>
      <c r="I217" t="s">
        <v>203</v>
      </c>
      <c r="J217" t="s">
        <v>987</v>
      </c>
      <c r="L217" t="s">
        <v>120</v>
      </c>
      <c r="M217">
        <f>参数!$B$26*参数!$B$45</f>
        <v>28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112</v>
      </c>
      <c r="AP217">
        <f t="shared" si="6"/>
        <v>0.4</v>
      </c>
      <c r="AQ217">
        <v>0</v>
      </c>
      <c r="AR217">
        <v>0</v>
      </c>
      <c r="AT217" t="s">
        <v>113</v>
      </c>
      <c r="AU217">
        <v>0</v>
      </c>
      <c r="AY217">
        <f>IFERROR(MAX(IF(IF(AND(F217="能力",AL217="能力持续"),(参数!$B$2-1)*参数!$B$3,0)+M217*O217*参数!$B$5*IF(AND(F217="能力",AL217="能力持续"),参数!$B$2,1)+P217*参数!$B$6*IF(AND(F217="能力",AL217="能力持续"),参数!$B$2,1)+R217*参数!$B$7*IF(AND(F217="能力",AL217="能力持续"),参数!$B$2,1)+V217*参数!$B$8+IF(X217&lt;0,X217*参数!$B$13,X217*参数!$B$39)+IF(AE217&lt;0,AE217*参数!$B$13,AE217*参数!$B$12)*参数!$B$2+AQ217*参数!$B$15+AB217*参数!$B$11+AF217*参数!$B$40*参数!$B$2+AG217*参数!$B$44*参数!$B$2+AH217*参数!$B$6*参数!$B$2+AI217*参数!$B$39*参数!$B$2+AJ217*参数!$B$6*参数!$B$2+Z217*参数!$B$13-T217*参数!$B$14-AD217*参数!$B$13+IF(ISNUMBER(AU217),AU217*参数!$B$38,0)-AV217*参数!$B$41-AW217*参数!$B$14&gt;参数!$B$17,参数!$B$17+SQRT(IF(AND(F217="能力",AL217="能力持续"),(参数!$B$2-1)*参数!$B$3,0)+M217*O217*参数!$B$5*IF(AND(F217="能力",AL217="能力持续"),参数!$B$2,1)+P217*参数!$B$6*IF(AND(F217="能力",AL217="能力持续"),参数!$B$2,1)+R217*参数!$B$7*IF(AND(F217="能力",AL217="能力持续"),参数!$B$2,1)+V217*参数!$B$8+IF(X217&lt;0,X217*参数!$B$13,X217*参数!$B$39)+IF(AE217&lt;0,AE217*参数!$B$13,AE217*参数!$B$12)*参数!$B$2+AQ217*参数!$B$15+AB217*参数!$B$11+AF217*参数!$B$40*参数!$B$2+AG217*参数!$B$44*参数!$B$2+AH217*参数!$B$6*参数!$B$2+AI217*参数!$B$39*参数!$B$2+AJ217*参数!$B$6*参数!$B$2+Z217*参数!$B$13-T217*参数!$B$14-AD217*参数!$B$13+IF(ISNUMBER(AU217),AU217*参数!$B$38,0)-AV217*参数!$B$41-AW217*参数!$B$14-参数!$B$17)*参数!$B$18,IF(AND(F217="能力",AL217="能力持续"),(参数!$B$2-1)*参数!$B$3,0)+M217*O217*参数!$B$5*IF(AND(F217="能力",AL217="能力持续"),参数!$B$2,1)+P217*参数!$B$6*IF(AND(F217="能力",AL217="能力持续"),参数!$B$2,1)+R217*参数!$B$7*IF(AND(F217="能力",AL217="能力持续"),参数!$B$2,1)+V217*参数!$B$8+IF(X217&lt;0,X217*参数!$B$13,X217*参数!$B$39)+IF(AE217&lt;0,AE217*参数!$B$13,AE217*参数!$B$12)*参数!$B$2+AQ217*参数!$B$15+AB217*参数!$B$11+AF217*参数!$B$40*参数!$B$2+AG217*参数!$B$44*参数!$B$2+AH217*参数!$B$6*参数!$B$2+AI217*参数!$B$39*参数!$B$2+AJ217*参数!$B$6*参数!$B$2+Z217*参数!$B$13-T217*参数!$B$14-AD217*参数!$B$13+IF(ISNUMBER(AU217),AU217*参数!$B$38,0)-AV217*参数!$B$41-AW217*参数!$B$14),0),0)</f>
        <v>16.363961030678929</v>
      </c>
      <c r="AZ217">
        <f>AY217-MAX(AP217,0)*参数!$B$10</f>
        <v>15.16396103067893</v>
      </c>
      <c r="BA217">
        <f t="shared" si="7"/>
        <v>40.90990257669732</v>
      </c>
    </row>
    <row r="218" spans="1:53" x14ac:dyDescent="0.3">
      <c r="A218">
        <v>217</v>
      </c>
      <c r="B218" t="s">
        <v>988</v>
      </c>
      <c r="C218" t="s">
        <v>767</v>
      </c>
      <c r="D218" t="s">
        <v>989</v>
      </c>
      <c r="E218" t="s">
        <v>990</v>
      </c>
      <c r="F218" t="s">
        <v>108</v>
      </c>
      <c r="G218" t="s">
        <v>12</v>
      </c>
      <c r="H218">
        <v>2</v>
      </c>
      <c r="I218">
        <v>2</v>
      </c>
      <c r="J218" t="s">
        <v>991</v>
      </c>
      <c r="L218" t="s">
        <v>111</v>
      </c>
      <c r="M218">
        <v>10</v>
      </c>
      <c r="N218">
        <v>13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</v>
      </c>
      <c r="AA218">
        <v>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 t="s">
        <v>112</v>
      </c>
      <c r="AP218">
        <f t="shared" si="6"/>
        <v>2</v>
      </c>
      <c r="AQ218">
        <v>0</v>
      </c>
      <c r="AR218">
        <v>0</v>
      </c>
      <c r="AT218" t="s">
        <v>113</v>
      </c>
      <c r="AU218">
        <v>0</v>
      </c>
      <c r="AY218">
        <f>IFERROR(MAX(IF(IF(AND(F218="能力",AL218="能力持续"),(参数!$B$2-1)*参数!$B$3,0)+M218*O218*参数!$B$5*IF(AND(F218="能力",AL218="能力持续"),参数!$B$2,1)+P218*参数!$B$6*IF(AND(F218="能力",AL218="能力持续"),参数!$B$2,1)+R218*参数!$B$7*IF(AND(F218="能力",AL218="能力持续"),参数!$B$2,1)+V218*参数!$B$8+IF(X218&lt;0,X218*参数!$B$13,X218*参数!$B$39)+IF(AE218&lt;0,AE218*参数!$B$13,AE218*参数!$B$12)*参数!$B$2+AQ218*参数!$B$15+AB218*参数!$B$11+AF218*参数!$B$40*参数!$B$2+AG218*参数!$B$44*参数!$B$2+AH218*参数!$B$6*参数!$B$2+AI218*参数!$B$39*参数!$B$2+AJ218*参数!$B$6*参数!$B$2+Z218*参数!$B$13-T218*参数!$B$14-AD218*参数!$B$13+IF(ISNUMBER(AU218),AU218*参数!$B$38,0)-AV218*参数!$B$41-AW218*参数!$B$14&gt;参数!$B$17,参数!$B$17+SQRT(IF(AND(F218="能力",AL218="能力持续"),(参数!$B$2-1)*参数!$B$3,0)+M218*O218*参数!$B$5*IF(AND(F218="能力",AL218="能力持续"),参数!$B$2,1)+P218*参数!$B$6*IF(AND(F218="能力",AL218="能力持续"),参数!$B$2,1)+R218*参数!$B$7*IF(AND(F218="能力",AL218="能力持续"),参数!$B$2,1)+V218*参数!$B$8+IF(X218&lt;0,X218*参数!$B$13,X218*参数!$B$39)+IF(AE218&lt;0,AE218*参数!$B$13,AE218*参数!$B$12)*参数!$B$2+AQ218*参数!$B$15+AB218*参数!$B$11+AF218*参数!$B$40*参数!$B$2+AG218*参数!$B$44*参数!$B$2+AH218*参数!$B$6*参数!$B$2+AI218*参数!$B$39*参数!$B$2+AJ218*参数!$B$6*参数!$B$2+Z218*参数!$B$13-T218*参数!$B$14-AD218*参数!$B$13+IF(ISNUMBER(AU218),AU218*参数!$B$38,0)-AV218*参数!$B$41-AW218*参数!$B$14-参数!$B$17)*参数!$B$18,IF(AND(F218="能力",AL218="能力持续"),(参数!$B$2-1)*参数!$B$3,0)+M218*O218*参数!$B$5*IF(AND(F218="能力",AL218="能力持续"),参数!$B$2,1)+P218*参数!$B$6*IF(AND(F218="能力",AL218="能力持续"),参数!$B$2,1)+R218*参数!$B$7*IF(AND(F218="能力",AL218="能力持续"),参数!$B$2,1)+V218*参数!$B$8+IF(X218&lt;0,X218*参数!$B$13,X218*参数!$B$39)+IF(AE218&lt;0,AE218*参数!$B$13,AE218*参数!$B$12)*参数!$B$2+AQ218*参数!$B$15+AB218*参数!$B$11+AF218*参数!$B$40*参数!$B$2+AG218*参数!$B$44*参数!$B$2+AH218*参数!$B$6*参数!$B$2+AI218*参数!$B$39*参数!$B$2+AJ218*参数!$B$6*参数!$B$2+Z218*参数!$B$13-T218*参数!$B$14-AD218*参数!$B$13+IF(ISNUMBER(AU218),AU218*参数!$B$38,0)-AV218*参数!$B$41-AW218*参数!$B$14),0),0)</f>
        <v>12.598076211353316</v>
      </c>
      <c r="AZ218">
        <f>AY218-MAX(AP218,0)*参数!$B$10</f>
        <v>6.598076211353316</v>
      </c>
      <c r="BA218">
        <f t="shared" si="7"/>
        <v>6.299038105676658</v>
      </c>
    </row>
    <row r="219" spans="1:53" x14ac:dyDescent="0.3">
      <c r="A219">
        <v>218</v>
      </c>
      <c r="B219" t="s">
        <v>992</v>
      </c>
      <c r="C219" t="s">
        <v>767</v>
      </c>
      <c r="D219" t="s">
        <v>993</v>
      </c>
      <c r="E219" t="s">
        <v>994</v>
      </c>
      <c r="F219" t="s">
        <v>117</v>
      </c>
      <c r="G219" t="s">
        <v>12</v>
      </c>
      <c r="H219">
        <v>0</v>
      </c>
      <c r="I219">
        <v>0</v>
      </c>
      <c r="J219" t="s">
        <v>995</v>
      </c>
      <c r="L219" t="s">
        <v>120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2</v>
      </c>
      <c r="S219">
        <v>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t="s">
        <v>112</v>
      </c>
      <c r="AP219">
        <f t="shared" si="6"/>
        <v>0.4</v>
      </c>
      <c r="AQ219">
        <v>0</v>
      </c>
      <c r="AR219">
        <v>0</v>
      </c>
      <c r="AT219" t="s">
        <v>113</v>
      </c>
      <c r="AU219">
        <v>0</v>
      </c>
      <c r="AY219">
        <f>IFERROR(MAX(IF(IF(AND(F219="能力",AL219="能力持续"),(参数!$B$2-1)*参数!$B$3,0)+M219*O219*参数!$B$5*IF(AND(F219="能力",AL219="能力持续"),参数!$B$2,1)+P219*参数!$B$6*IF(AND(F219="能力",AL219="能力持续"),参数!$B$2,1)+R219*参数!$B$7*IF(AND(F219="能力",AL219="能力持续"),参数!$B$2,1)+V219*参数!$B$8+IF(X219&lt;0,X219*参数!$B$13,X219*参数!$B$39)+IF(AE219&lt;0,AE219*参数!$B$13,AE219*参数!$B$12)*参数!$B$2+AQ219*参数!$B$15+AB219*参数!$B$11+AF219*参数!$B$40*参数!$B$2+AG219*参数!$B$44*参数!$B$2+AH219*参数!$B$6*参数!$B$2+AI219*参数!$B$39*参数!$B$2+AJ219*参数!$B$6*参数!$B$2+Z219*参数!$B$13-T219*参数!$B$14-AD219*参数!$B$13+IF(ISNUMBER(AU219),AU219*参数!$B$38,0)-AV219*参数!$B$41-AW219*参数!$B$14&gt;参数!$B$17,参数!$B$17+SQRT(IF(AND(F219="能力",AL219="能力持续"),(参数!$B$2-1)*参数!$B$3,0)+M219*O219*参数!$B$5*IF(AND(F219="能力",AL219="能力持续"),参数!$B$2,1)+P219*参数!$B$6*IF(AND(F219="能力",AL219="能力持续"),参数!$B$2,1)+R219*参数!$B$7*IF(AND(F219="能力",AL219="能力持续"),参数!$B$2,1)+V219*参数!$B$8+IF(X219&lt;0,X219*参数!$B$13,X219*参数!$B$39)+IF(AE219&lt;0,AE219*参数!$B$13,AE219*参数!$B$12)*参数!$B$2+AQ219*参数!$B$15+AB219*参数!$B$11+AF219*参数!$B$40*参数!$B$2+AG219*参数!$B$44*参数!$B$2+AH219*参数!$B$6*参数!$B$2+AI219*参数!$B$39*参数!$B$2+AJ219*参数!$B$6*参数!$B$2+Z219*参数!$B$13-T219*参数!$B$14-AD219*参数!$B$13+IF(ISNUMBER(AU219),AU219*参数!$B$38,0)-AV219*参数!$B$41-AW219*参数!$B$14-参数!$B$17)*参数!$B$18,IF(AND(F219="能力",AL219="能力持续"),(参数!$B$2-1)*参数!$B$3,0)+M219*O219*参数!$B$5*IF(AND(F219="能力",AL219="能力持续"),参数!$B$2,1)+P219*参数!$B$6*IF(AND(F219="能力",AL219="能力持续"),参数!$B$2,1)+R219*参数!$B$7*IF(AND(F219="能力",AL219="能力持续"),参数!$B$2,1)+V219*参数!$B$8+IF(X219&lt;0,X219*参数!$B$13,X219*参数!$B$39)+IF(AE219&lt;0,AE219*参数!$B$13,AE219*参数!$B$12)*参数!$B$2+AQ219*参数!$B$15+AB219*参数!$B$11+AF219*参数!$B$40*参数!$B$2+AG219*参数!$B$44*参数!$B$2+AH219*参数!$B$6*参数!$B$2+AI219*参数!$B$39*参数!$B$2+AJ219*参数!$B$6*参数!$B$2+Z219*参数!$B$13-T219*参数!$B$14-AD219*参数!$B$13+IF(ISNUMBER(AU219),AU219*参数!$B$38,0)-AV219*参数!$B$41-AW219*参数!$B$14),0),0)</f>
        <v>0</v>
      </c>
      <c r="AZ219">
        <f>AY219-MAX(AP219,0)*参数!$B$10</f>
        <v>-1.2000000000000002</v>
      </c>
      <c r="BA219">
        <f t="shared" si="7"/>
        <v>0</v>
      </c>
    </row>
    <row r="220" spans="1:53" x14ac:dyDescent="0.3">
      <c r="A220">
        <v>219</v>
      </c>
      <c r="B220" t="s">
        <v>996</v>
      </c>
      <c r="C220" t="s">
        <v>767</v>
      </c>
      <c r="D220" t="s">
        <v>997</v>
      </c>
      <c r="E220" t="s">
        <v>998</v>
      </c>
      <c r="F220" t="s">
        <v>117</v>
      </c>
      <c r="G220" t="s">
        <v>16</v>
      </c>
      <c r="H220">
        <v>1</v>
      </c>
      <c r="I220">
        <v>1</v>
      </c>
      <c r="J220" t="s">
        <v>999</v>
      </c>
      <c r="L220" t="s">
        <v>120</v>
      </c>
      <c r="M220">
        <f>4*参数!$B$45</f>
        <v>32</v>
      </c>
      <c r="N220">
        <v>0</v>
      </c>
      <c r="O220">
        <v>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112</v>
      </c>
      <c r="AP220">
        <f t="shared" si="6"/>
        <v>1</v>
      </c>
      <c r="AQ220">
        <v>0</v>
      </c>
      <c r="AR220">
        <v>0</v>
      </c>
      <c r="AT220" t="s">
        <v>113</v>
      </c>
      <c r="AU220">
        <v>0</v>
      </c>
      <c r="AY220">
        <f>IFERROR(MAX(IF(IF(AND(F220="能力",AL220="能力持续"),(参数!$B$2-1)*参数!$B$3,0)+M220*O220*参数!$B$5*IF(AND(F220="能力",AL220="能力持续"),参数!$B$2,1)+P220*参数!$B$6*IF(AND(F220="能力",AL220="能力持续"),参数!$B$2,1)+R220*参数!$B$7*IF(AND(F220="能力",AL220="能力持续"),参数!$B$2,1)+V220*参数!$B$8+IF(X220&lt;0,X220*参数!$B$13,X220*参数!$B$39)+IF(AE220&lt;0,AE220*参数!$B$13,AE220*参数!$B$12)*参数!$B$2+AQ220*参数!$B$15+AB220*参数!$B$11+AF220*参数!$B$40*参数!$B$2+AG220*参数!$B$44*参数!$B$2+AH220*参数!$B$6*参数!$B$2+AI220*参数!$B$39*参数!$B$2+AJ220*参数!$B$6*参数!$B$2+Z220*参数!$B$13-T220*参数!$B$14-AD220*参数!$B$13+IF(ISNUMBER(AU220),AU220*参数!$B$38,0)-AV220*参数!$B$41-AW220*参数!$B$14&gt;参数!$B$17,参数!$B$17+SQRT(IF(AND(F220="能力",AL220="能力持续"),(参数!$B$2-1)*参数!$B$3,0)+M220*O220*参数!$B$5*IF(AND(F220="能力",AL220="能力持续"),参数!$B$2,1)+P220*参数!$B$6*IF(AND(F220="能力",AL220="能力持续"),参数!$B$2,1)+R220*参数!$B$7*IF(AND(F220="能力",AL220="能力持续"),参数!$B$2,1)+V220*参数!$B$8+IF(X220&lt;0,X220*参数!$B$13,X220*参数!$B$39)+IF(AE220&lt;0,AE220*参数!$B$13,AE220*参数!$B$12)*参数!$B$2+AQ220*参数!$B$15+AB220*参数!$B$11+AF220*参数!$B$40*参数!$B$2+AG220*参数!$B$44*参数!$B$2+AH220*参数!$B$6*参数!$B$2+AI220*参数!$B$39*参数!$B$2+AJ220*参数!$B$6*参数!$B$2+Z220*参数!$B$13-T220*参数!$B$14-AD220*参数!$B$13+IF(ISNUMBER(AU220),AU220*参数!$B$38,0)-AV220*参数!$B$41-AW220*参数!$B$14-参数!$B$17)*参数!$B$18,IF(AND(F220="能力",AL220="能力持续"),(参数!$B$2-1)*参数!$B$3,0)+M220*O220*参数!$B$5*IF(AND(F220="能力",AL220="能力持续"),参数!$B$2,1)+P220*参数!$B$6*IF(AND(F220="能力",AL220="能力持续"),参数!$B$2,1)+R220*参数!$B$7*IF(AND(F220="能力",AL220="能力持续"),参数!$B$2,1)+V220*参数!$B$8+IF(X220&lt;0,X220*参数!$B$13,X220*参数!$B$39)+IF(AE220&lt;0,AE220*参数!$B$13,AE220*参数!$B$12)*参数!$B$2+AQ220*参数!$B$15+AB220*参数!$B$11+AF220*参数!$B$40*参数!$B$2+AG220*参数!$B$44*参数!$B$2+AH220*参数!$B$6*参数!$B$2+AI220*参数!$B$39*参数!$B$2+AJ220*参数!$B$6*参数!$B$2+Z220*参数!$B$13-T220*参数!$B$14-AD220*参数!$B$13+IF(ISNUMBER(AU220),AU220*参数!$B$38,0)-AV220*参数!$B$41-AW220*参数!$B$14),0),0)</f>
        <v>26.294170736800325</v>
      </c>
      <c r="AZ220">
        <f>AY220-MAX(AP220,0)*参数!$B$10</f>
        <v>23.294170736800325</v>
      </c>
      <c r="BA220">
        <f t="shared" si="7"/>
        <v>26.294170736800325</v>
      </c>
    </row>
    <row r="221" spans="1:53" x14ac:dyDescent="0.3">
      <c r="A221">
        <v>220</v>
      </c>
      <c r="B221" t="s">
        <v>1000</v>
      </c>
      <c r="C221" t="s">
        <v>767</v>
      </c>
      <c r="D221" t="s">
        <v>1001</v>
      </c>
      <c r="E221" t="s">
        <v>1002</v>
      </c>
      <c r="F221" t="s">
        <v>117</v>
      </c>
      <c r="G221" t="s">
        <v>14</v>
      </c>
      <c r="H221">
        <v>2</v>
      </c>
      <c r="I221">
        <v>2</v>
      </c>
      <c r="J221" t="s">
        <v>1003</v>
      </c>
      <c r="L221" t="s">
        <v>120</v>
      </c>
      <c r="M221">
        <f>3*参数!$B$45</f>
        <v>24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 t="s">
        <v>112</v>
      </c>
      <c r="AP221">
        <f t="shared" si="6"/>
        <v>2</v>
      </c>
      <c r="AQ221">
        <v>0</v>
      </c>
      <c r="AR221">
        <v>0</v>
      </c>
      <c r="AT221" t="s">
        <v>113</v>
      </c>
      <c r="AU221">
        <v>0</v>
      </c>
      <c r="AY221">
        <f>IFERROR(MAX(IF(IF(AND(F221="能力",AL221="能力持续"),(参数!$B$2-1)*参数!$B$3,0)+M221*O221*参数!$B$5*IF(AND(F221="能力",AL221="能力持续"),参数!$B$2,1)+P221*参数!$B$6*IF(AND(F221="能力",AL221="能力持续"),参数!$B$2,1)+R221*参数!$B$7*IF(AND(F221="能力",AL221="能力持续"),参数!$B$2,1)+V221*参数!$B$8+IF(X221&lt;0,X221*参数!$B$13,X221*参数!$B$39)+IF(AE221&lt;0,AE221*参数!$B$13,AE221*参数!$B$12)*参数!$B$2+AQ221*参数!$B$15+AB221*参数!$B$11+AF221*参数!$B$40*参数!$B$2+AG221*参数!$B$44*参数!$B$2+AH221*参数!$B$6*参数!$B$2+AI221*参数!$B$39*参数!$B$2+AJ221*参数!$B$6*参数!$B$2+Z221*参数!$B$13-T221*参数!$B$14-AD221*参数!$B$13+IF(ISNUMBER(AU221),AU221*参数!$B$38,0)-AV221*参数!$B$41-AW221*参数!$B$14&gt;参数!$B$17,参数!$B$17+SQRT(IF(AND(F221="能力",AL221="能力持续"),(参数!$B$2-1)*参数!$B$3,0)+M221*O221*参数!$B$5*IF(AND(F221="能力",AL221="能力持续"),参数!$B$2,1)+P221*参数!$B$6*IF(AND(F221="能力",AL221="能力持续"),参数!$B$2,1)+R221*参数!$B$7*IF(AND(F221="能力",AL221="能力持续"),参数!$B$2,1)+V221*参数!$B$8+IF(X221&lt;0,X221*参数!$B$13,X221*参数!$B$39)+IF(AE221&lt;0,AE221*参数!$B$13,AE221*参数!$B$12)*参数!$B$2+AQ221*参数!$B$15+AB221*参数!$B$11+AF221*参数!$B$40*参数!$B$2+AG221*参数!$B$44*参数!$B$2+AH221*参数!$B$6*参数!$B$2+AI221*参数!$B$39*参数!$B$2+AJ221*参数!$B$6*参数!$B$2+Z221*参数!$B$13-T221*参数!$B$14-AD221*参数!$B$13+IF(ISNUMBER(AU221),AU221*参数!$B$38,0)-AV221*参数!$B$41-AW221*参数!$B$14-参数!$B$17)*参数!$B$18,IF(AND(F221="能力",AL221="能力持续"),(参数!$B$2-1)*参数!$B$3,0)+M221*O221*参数!$B$5*IF(AND(F221="能力",AL221="能力持续"),参数!$B$2,1)+P221*参数!$B$6*IF(AND(F221="能力",AL221="能力持续"),参数!$B$2,1)+R221*参数!$B$7*IF(AND(F221="能力",AL221="能力持续"),参数!$B$2,1)+V221*参数!$B$8+IF(X221&lt;0,X221*参数!$B$13,X221*参数!$B$39)+IF(AE221&lt;0,AE221*参数!$B$13,AE221*参数!$B$12)*参数!$B$2+AQ221*参数!$B$15+AB221*参数!$B$11+AF221*参数!$B$40*参数!$B$2+AG221*参数!$B$44*参数!$B$2+AH221*参数!$B$6*参数!$B$2+AI221*参数!$B$39*参数!$B$2+AJ221*参数!$B$6*参数!$B$2+Z221*参数!$B$13-T221*参数!$B$14-AD221*参数!$B$13+IF(ISNUMBER(AU221),AU221*参数!$B$38,0)-AV221*参数!$B$41-AW221*参数!$B$14),0),0)</f>
        <v>15.612486080160913</v>
      </c>
      <c r="AZ221">
        <f>AY221-MAX(AP221,0)*参数!$B$10</f>
        <v>9.6124860801609131</v>
      </c>
      <c r="BA221">
        <f t="shared" si="7"/>
        <v>7.8062430400804566</v>
      </c>
    </row>
    <row r="222" spans="1:53" x14ac:dyDescent="0.3">
      <c r="A222">
        <v>221</v>
      </c>
      <c r="B222" t="s">
        <v>1004</v>
      </c>
      <c r="C222" t="s">
        <v>767</v>
      </c>
      <c r="D222" t="s">
        <v>1005</v>
      </c>
      <c r="E222" t="s">
        <v>1006</v>
      </c>
      <c r="F222" t="s">
        <v>117</v>
      </c>
      <c r="G222" t="s">
        <v>14</v>
      </c>
      <c r="H222">
        <v>0</v>
      </c>
      <c r="I222">
        <v>0</v>
      </c>
      <c r="J222" t="s">
        <v>1007</v>
      </c>
      <c r="L222" t="s">
        <v>120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4</v>
      </c>
      <c r="S222">
        <v>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112</v>
      </c>
      <c r="AP222">
        <f t="shared" si="6"/>
        <v>0.4</v>
      </c>
      <c r="AQ222">
        <v>0</v>
      </c>
      <c r="AR222">
        <v>0</v>
      </c>
      <c r="AT222" t="s">
        <v>113</v>
      </c>
      <c r="AU222">
        <v>0</v>
      </c>
      <c r="AY222">
        <f>IFERROR(MAX(IF(IF(AND(F222="能力",AL222="能力持续"),(参数!$B$2-1)*参数!$B$3,0)+M222*O222*参数!$B$5*IF(AND(F222="能力",AL222="能力持续"),参数!$B$2,1)+P222*参数!$B$6*IF(AND(F222="能力",AL222="能力持续"),参数!$B$2,1)+R222*参数!$B$7*IF(AND(F222="能力",AL222="能力持续"),参数!$B$2,1)+V222*参数!$B$8+IF(X222&lt;0,X222*参数!$B$13,X222*参数!$B$39)+IF(AE222&lt;0,AE222*参数!$B$13,AE222*参数!$B$12)*参数!$B$2+AQ222*参数!$B$15+AB222*参数!$B$11+AF222*参数!$B$40*参数!$B$2+AG222*参数!$B$44*参数!$B$2+AH222*参数!$B$6*参数!$B$2+AI222*参数!$B$39*参数!$B$2+AJ222*参数!$B$6*参数!$B$2+Z222*参数!$B$13-T222*参数!$B$14-AD222*参数!$B$13+IF(ISNUMBER(AU222),AU222*参数!$B$38,0)-AV222*参数!$B$41-AW222*参数!$B$14&gt;参数!$B$17,参数!$B$17+SQRT(IF(AND(F222="能力",AL222="能力持续"),(参数!$B$2-1)*参数!$B$3,0)+M222*O222*参数!$B$5*IF(AND(F222="能力",AL222="能力持续"),参数!$B$2,1)+P222*参数!$B$6*IF(AND(F222="能力",AL222="能力持续"),参数!$B$2,1)+R222*参数!$B$7*IF(AND(F222="能力",AL222="能力持续"),参数!$B$2,1)+V222*参数!$B$8+IF(X222&lt;0,X222*参数!$B$13,X222*参数!$B$39)+IF(AE222&lt;0,AE222*参数!$B$13,AE222*参数!$B$12)*参数!$B$2+AQ222*参数!$B$15+AB222*参数!$B$11+AF222*参数!$B$40*参数!$B$2+AG222*参数!$B$44*参数!$B$2+AH222*参数!$B$6*参数!$B$2+AI222*参数!$B$39*参数!$B$2+AJ222*参数!$B$6*参数!$B$2+Z222*参数!$B$13-T222*参数!$B$14-AD222*参数!$B$13+IF(ISNUMBER(AU222),AU222*参数!$B$38,0)-AV222*参数!$B$41-AW222*参数!$B$14-参数!$B$17)*参数!$B$18,IF(AND(F222="能力",AL222="能力持续"),(参数!$B$2-1)*参数!$B$3,0)+M222*O222*参数!$B$5*IF(AND(F222="能力",AL222="能力持续"),参数!$B$2,1)+P222*参数!$B$6*IF(AND(F222="能力",AL222="能力持续"),参数!$B$2,1)+R222*参数!$B$7*IF(AND(F222="能力",AL222="能力持续"),参数!$B$2,1)+V222*参数!$B$8+IF(X222&lt;0,X222*参数!$B$13,X222*参数!$B$39)+IF(AE222&lt;0,AE222*参数!$B$13,AE222*参数!$B$12)*参数!$B$2+AQ222*参数!$B$15+AB222*参数!$B$11+AF222*参数!$B$40*参数!$B$2+AG222*参数!$B$44*参数!$B$2+AH222*参数!$B$6*参数!$B$2+AI222*参数!$B$39*参数!$B$2+AJ222*参数!$B$6*参数!$B$2+Z222*参数!$B$13-T222*参数!$B$14-AD222*参数!$B$13+IF(ISNUMBER(AU222),AU222*参数!$B$38,0)-AV222*参数!$B$41-AW222*参数!$B$14),0),0)</f>
        <v>2.8</v>
      </c>
      <c r="AZ222">
        <f>AY222-MAX(AP222,0)*参数!$B$10</f>
        <v>1.5999999999999996</v>
      </c>
      <c r="BA222">
        <f t="shared" si="7"/>
        <v>6.9999999999999991</v>
      </c>
    </row>
    <row r="223" spans="1:53" x14ac:dyDescent="0.3">
      <c r="A223">
        <v>222</v>
      </c>
      <c r="B223" t="s">
        <v>1008</v>
      </c>
      <c r="C223" t="s">
        <v>767</v>
      </c>
      <c r="D223" t="s">
        <v>1009</v>
      </c>
      <c r="E223" t="s">
        <v>1010</v>
      </c>
      <c r="F223" t="s">
        <v>108</v>
      </c>
      <c r="G223" t="s">
        <v>12</v>
      </c>
      <c r="H223">
        <v>3</v>
      </c>
      <c r="I223">
        <v>3</v>
      </c>
      <c r="J223" t="s">
        <v>1011</v>
      </c>
      <c r="L223" t="s">
        <v>111</v>
      </c>
      <c r="M223">
        <v>10</v>
      </c>
      <c r="N223">
        <v>13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t="s">
        <v>112</v>
      </c>
      <c r="AP223">
        <f t="shared" si="6"/>
        <v>3</v>
      </c>
      <c r="AQ223">
        <v>0</v>
      </c>
      <c r="AR223">
        <v>0</v>
      </c>
      <c r="AT223" t="s">
        <v>113</v>
      </c>
      <c r="AU223">
        <v>0</v>
      </c>
      <c r="AY223">
        <f>IFERROR(MAX(IF(IF(AND(F223="能力",AL223="能力持续"),(参数!$B$2-1)*参数!$B$3,0)+M223*O223*参数!$B$5*IF(AND(F223="能力",AL223="能力持续"),参数!$B$2,1)+P223*参数!$B$6*IF(AND(F223="能力",AL223="能力持续"),参数!$B$2,1)+R223*参数!$B$7*IF(AND(F223="能力",AL223="能力持续"),参数!$B$2,1)+V223*参数!$B$8+IF(X223&lt;0,X223*参数!$B$13,X223*参数!$B$39)+IF(AE223&lt;0,AE223*参数!$B$13,AE223*参数!$B$12)*参数!$B$2+AQ223*参数!$B$15+AB223*参数!$B$11+AF223*参数!$B$40*参数!$B$2+AG223*参数!$B$44*参数!$B$2+AH223*参数!$B$6*参数!$B$2+AI223*参数!$B$39*参数!$B$2+AJ223*参数!$B$6*参数!$B$2+Z223*参数!$B$13-T223*参数!$B$14-AD223*参数!$B$13+IF(ISNUMBER(AU223),AU223*参数!$B$38,0)-AV223*参数!$B$41-AW223*参数!$B$14&gt;参数!$B$17,参数!$B$17+SQRT(IF(AND(F223="能力",AL223="能力持续"),(参数!$B$2-1)*参数!$B$3,0)+M223*O223*参数!$B$5*IF(AND(F223="能力",AL223="能力持续"),参数!$B$2,1)+P223*参数!$B$6*IF(AND(F223="能力",AL223="能力持续"),参数!$B$2,1)+R223*参数!$B$7*IF(AND(F223="能力",AL223="能力持续"),参数!$B$2,1)+V223*参数!$B$8+IF(X223&lt;0,X223*参数!$B$13,X223*参数!$B$39)+IF(AE223&lt;0,AE223*参数!$B$13,AE223*参数!$B$12)*参数!$B$2+AQ223*参数!$B$15+AB223*参数!$B$11+AF223*参数!$B$40*参数!$B$2+AG223*参数!$B$44*参数!$B$2+AH223*参数!$B$6*参数!$B$2+AI223*参数!$B$39*参数!$B$2+AJ223*参数!$B$6*参数!$B$2+Z223*参数!$B$13-T223*参数!$B$14-AD223*参数!$B$13+IF(ISNUMBER(AU223),AU223*参数!$B$38,0)-AV223*参数!$B$41-AW223*参数!$B$14-参数!$B$17)*参数!$B$18,IF(AND(F223="能力",AL223="能力持续"),(参数!$B$2-1)*参数!$B$3,0)+M223*O223*参数!$B$5*IF(AND(F223="能力",AL223="能力持续"),参数!$B$2,1)+P223*参数!$B$6*IF(AND(F223="能力",AL223="能力持续"),参数!$B$2,1)+R223*参数!$B$7*IF(AND(F223="能力",AL223="能力持续"),参数!$B$2,1)+V223*参数!$B$8+IF(X223&lt;0,X223*参数!$B$13,X223*参数!$B$39)+IF(AE223&lt;0,AE223*参数!$B$13,AE223*参数!$B$12)*参数!$B$2+AQ223*参数!$B$15+AB223*参数!$B$11+AF223*参数!$B$40*参数!$B$2+AG223*参数!$B$44*参数!$B$2+AH223*参数!$B$6*参数!$B$2+AI223*参数!$B$39*参数!$B$2+AJ223*参数!$B$6*参数!$B$2+Z223*参数!$B$13-T223*参数!$B$14-AD223*参数!$B$13+IF(ISNUMBER(AU223),AU223*参数!$B$38,0)-AV223*参数!$B$41-AW223*参数!$B$14),0),0)</f>
        <v>14.743416490252569</v>
      </c>
      <c r="AZ223">
        <f>AY223-MAX(AP223,0)*参数!$B$10</f>
        <v>5.7434164902525691</v>
      </c>
      <c r="BA223">
        <f t="shared" si="7"/>
        <v>4.914472163417523</v>
      </c>
    </row>
    <row r="224" spans="1:53" x14ac:dyDescent="0.3">
      <c r="A224">
        <v>223</v>
      </c>
      <c r="B224" t="s">
        <v>1012</v>
      </c>
      <c r="C224" t="s">
        <v>767</v>
      </c>
      <c r="D224" t="s">
        <v>1013</v>
      </c>
      <c r="E224" t="s">
        <v>1014</v>
      </c>
      <c r="F224" t="s">
        <v>108</v>
      </c>
      <c r="G224" t="s">
        <v>12</v>
      </c>
      <c r="H224">
        <v>2</v>
      </c>
      <c r="I224">
        <v>2</v>
      </c>
      <c r="J224" t="s">
        <v>1015</v>
      </c>
      <c r="L224" t="s">
        <v>111</v>
      </c>
      <c r="M224">
        <v>13</v>
      </c>
      <c r="N224">
        <v>14</v>
      </c>
      <c r="O224">
        <v>1</v>
      </c>
      <c r="P224">
        <v>0</v>
      </c>
      <c r="Q224">
        <v>0</v>
      </c>
      <c r="R224">
        <v>1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t="s">
        <v>112</v>
      </c>
      <c r="AN224" t="s">
        <v>161</v>
      </c>
      <c r="AP224">
        <f t="shared" si="6"/>
        <v>2</v>
      </c>
      <c r="AQ224">
        <v>0</v>
      </c>
      <c r="AR224">
        <v>0</v>
      </c>
      <c r="AT224" t="s">
        <v>113</v>
      </c>
      <c r="AU224">
        <v>0</v>
      </c>
      <c r="AY224">
        <f>IFERROR(MAX(IF(IF(AND(F224="能力",AL224="能力持续"),(参数!$B$2-1)*参数!$B$3,0)+M224*O224*参数!$B$5*IF(AND(F224="能力",AL224="能力持续"),参数!$B$2,1)+P224*参数!$B$6*IF(AND(F224="能力",AL224="能力持续"),参数!$B$2,1)+R224*参数!$B$7*IF(AND(F224="能力",AL224="能力持续"),参数!$B$2,1)+V224*参数!$B$8+IF(X224&lt;0,X224*参数!$B$13,X224*参数!$B$39)+IF(AE224&lt;0,AE224*参数!$B$13,AE224*参数!$B$12)*参数!$B$2+AQ224*参数!$B$15+AB224*参数!$B$11+AF224*参数!$B$40*参数!$B$2+AG224*参数!$B$44*参数!$B$2+AH224*参数!$B$6*参数!$B$2+AI224*参数!$B$39*参数!$B$2+AJ224*参数!$B$6*参数!$B$2+Z224*参数!$B$13-T224*参数!$B$14-AD224*参数!$B$13+IF(ISNUMBER(AU224),AU224*参数!$B$38,0)-AV224*参数!$B$41-AW224*参数!$B$14&gt;参数!$B$17,参数!$B$17+SQRT(IF(AND(F224="能力",AL224="能力持续"),(参数!$B$2-1)*参数!$B$3,0)+M224*O224*参数!$B$5*IF(AND(F224="能力",AL224="能力持续"),参数!$B$2,1)+P224*参数!$B$6*IF(AND(F224="能力",AL224="能力持续"),参数!$B$2,1)+R224*参数!$B$7*IF(AND(F224="能力",AL224="能力持续"),参数!$B$2,1)+V224*参数!$B$8+IF(X224&lt;0,X224*参数!$B$13,X224*参数!$B$39)+IF(AE224&lt;0,AE224*参数!$B$13,AE224*参数!$B$12)*参数!$B$2+AQ224*参数!$B$15+AB224*参数!$B$11+AF224*参数!$B$40*参数!$B$2+AG224*参数!$B$44*参数!$B$2+AH224*参数!$B$6*参数!$B$2+AI224*参数!$B$39*参数!$B$2+AJ224*参数!$B$6*参数!$B$2+Z224*参数!$B$13-T224*参数!$B$14-AD224*参数!$B$13+IF(ISNUMBER(AU224),AU224*参数!$B$38,0)-AV224*参数!$B$41-AW224*参数!$B$14-参数!$B$17)*参数!$B$18,IF(AND(F224="能力",AL224="能力持续"),(参数!$B$2-1)*参数!$B$3,0)+M224*O224*参数!$B$5*IF(AND(F224="能力",AL224="能力持续"),参数!$B$2,1)+P224*参数!$B$6*IF(AND(F224="能力",AL224="能力持续"),参数!$B$2,1)+R224*参数!$B$7*IF(AND(F224="能力",AL224="能力持续"),参数!$B$2,1)+V224*参数!$B$8+IF(X224&lt;0,X224*参数!$B$13,X224*参数!$B$39)+IF(AE224&lt;0,AE224*参数!$B$13,AE224*参数!$B$12)*参数!$B$2+AQ224*参数!$B$15+AB224*参数!$B$11+AF224*参数!$B$40*参数!$B$2+AG224*参数!$B$44*参数!$B$2+AH224*参数!$B$6*参数!$B$2+AI224*参数!$B$39*参数!$B$2+AJ224*参数!$B$6*参数!$B$2+Z224*参数!$B$13-T224*参数!$B$14-AD224*参数!$B$13+IF(ISNUMBER(AU224),AU224*参数!$B$38,0)-AV224*参数!$B$41-AW224*参数!$B$14),0),0)</f>
        <v>12.885307609250702</v>
      </c>
      <c r="AZ224">
        <f>AY224-MAX(AP224,0)*参数!$B$10</f>
        <v>6.8853076092507024</v>
      </c>
      <c r="BA224">
        <f t="shared" si="7"/>
        <v>6.4426538046253512</v>
      </c>
    </row>
    <row r="225" spans="1:53" x14ac:dyDescent="0.3">
      <c r="A225">
        <v>224</v>
      </c>
      <c r="B225" t="s">
        <v>1016</v>
      </c>
      <c r="C225" t="s">
        <v>767</v>
      </c>
      <c r="D225" t="s">
        <v>1017</v>
      </c>
      <c r="E225" t="s">
        <v>1018</v>
      </c>
      <c r="F225" t="s">
        <v>117</v>
      </c>
      <c r="G225" t="s">
        <v>12</v>
      </c>
      <c r="H225">
        <v>1</v>
      </c>
      <c r="I225">
        <v>1</v>
      </c>
      <c r="J225" t="s">
        <v>1019</v>
      </c>
      <c r="K225" t="s">
        <v>182</v>
      </c>
      <c r="L225" t="s">
        <v>111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112</v>
      </c>
      <c r="AO225" t="s">
        <v>182</v>
      </c>
      <c r="AP225">
        <f t="shared" si="6"/>
        <v>0.4</v>
      </c>
      <c r="AQ225">
        <v>0</v>
      </c>
      <c r="AR225">
        <v>0</v>
      </c>
      <c r="AT225" t="s">
        <v>113</v>
      </c>
      <c r="AU225">
        <v>0</v>
      </c>
      <c r="AY225">
        <f>IFERROR(MAX(IF(IF(AND(F225="能力",AL225="能力持续"),(参数!$B$2-1)*参数!$B$3,0)+M225*O225*参数!$B$5*IF(AND(F225="能力",AL225="能力持续"),参数!$B$2,1)+P225*参数!$B$6*IF(AND(F225="能力",AL225="能力持续"),参数!$B$2,1)+R225*参数!$B$7*IF(AND(F225="能力",AL225="能力持续"),参数!$B$2,1)+V225*参数!$B$8+IF(X225&lt;0,X225*参数!$B$13,X225*参数!$B$39)+IF(AE225&lt;0,AE225*参数!$B$13,AE225*参数!$B$12)*参数!$B$2+AQ225*参数!$B$15+AB225*参数!$B$11+AF225*参数!$B$40*参数!$B$2+AG225*参数!$B$44*参数!$B$2+AH225*参数!$B$6*参数!$B$2+AI225*参数!$B$39*参数!$B$2+AJ225*参数!$B$6*参数!$B$2+Z225*参数!$B$13-T225*参数!$B$14-AD225*参数!$B$13+IF(ISNUMBER(AU225),AU225*参数!$B$38,0)-AV225*参数!$B$41-AW225*参数!$B$14&gt;参数!$B$17,参数!$B$17+SQRT(IF(AND(F225="能力",AL225="能力持续"),(参数!$B$2-1)*参数!$B$3,0)+M225*O225*参数!$B$5*IF(AND(F225="能力",AL225="能力持续"),参数!$B$2,1)+P225*参数!$B$6*IF(AND(F225="能力",AL225="能力持续"),参数!$B$2,1)+R225*参数!$B$7*IF(AND(F225="能力",AL225="能力持续"),参数!$B$2,1)+V225*参数!$B$8+IF(X225&lt;0,X225*参数!$B$13,X225*参数!$B$39)+IF(AE225&lt;0,AE225*参数!$B$13,AE225*参数!$B$12)*参数!$B$2+AQ225*参数!$B$15+AB225*参数!$B$11+AF225*参数!$B$40*参数!$B$2+AG225*参数!$B$44*参数!$B$2+AH225*参数!$B$6*参数!$B$2+AI225*参数!$B$39*参数!$B$2+AJ225*参数!$B$6*参数!$B$2+Z225*参数!$B$13-T225*参数!$B$14-AD225*参数!$B$13+IF(ISNUMBER(AU225),AU225*参数!$B$38,0)-AV225*参数!$B$41-AW225*参数!$B$14-参数!$B$17)*参数!$B$18,IF(AND(F225="能力",AL225="能力持续"),(参数!$B$2-1)*参数!$B$3,0)+M225*O225*参数!$B$5*IF(AND(F225="能力",AL225="能力持续"),参数!$B$2,1)+P225*参数!$B$6*IF(AND(F225="能力",AL225="能力持续"),参数!$B$2,1)+R225*参数!$B$7*IF(AND(F225="能力",AL225="能力持续"),参数!$B$2,1)+V225*参数!$B$8+IF(X225&lt;0,X225*参数!$B$13,X225*参数!$B$39)+IF(AE225&lt;0,AE225*参数!$B$13,AE225*参数!$B$12)*参数!$B$2+AQ225*参数!$B$15+AB225*参数!$B$11+AF225*参数!$B$40*参数!$B$2+AG225*参数!$B$44*参数!$B$2+AH225*参数!$B$6*参数!$B$2+AI225*参数!$B$39*参数!$B$2+AJ225*参数!$B$6*参数!$B$2+Z225*参数!$B$13-T225*参数!$B$14-AD225*参数!$B$13+IF(ISNUMBER(AU225),AU225*参数!$B$38,0)-AV225*参数!$B$41-AW225*参数!$B$14),0),0)</f>
        <v>6</v>
      </c>
      <c r="AZ225">
        <f>AY225-MAX(AP225,0)*参数!$B$10</f>
        <v>4.8</v>
      </c>
      <c r="BA225">
        <f t="shared" si="7"/>
        <v>15</v>
      </c>
    </row>
    <row r="226" spans="1:53" x14ac:dyDescent="0.3">
      <c r="A226">
        <v>225</v>
      </c>
      <c r="B226" t="s">
        <v>1020</v>
      </c>
      <c r="C226" t="s">
        <v>767</v>
      </c>
      <c r="D226" t="s">
        <v>1021</v>
      </c>
      <c r="E226" t="s">
        <v>1022</v>
      </c>
      <c r="F226" t="s">
        <v>108</v>
      </c>
      <c r="G226" t="s">
        <v>12</v>
      </c>
      <c r="H226">
        <v>1</v>
      </c>
      <c r="I226">
        <v>1</v>
      </c>
      <c r="J226" t="s">
        <v>1023</v>
      </c>
      <c r="L226" t="s">
        <v>111</v>
      </c>
      <c r="M226">
        <v>7</v>
      </c>
      <c r="N226">
        <v>10</v>
      </c>
      <c r="O226">
        <v>1</v>
      </c>
      <c r="P226">
        <v>0</v>
      </c>
      <c r="Q226">
        <v>0</v>
      </c>
      <c r="R226">
        <v>4</v>
      </c>
      <c r="S226">
        <v>5</v>
      </c>
      <c r="T226">
        <v>2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112</v>
      </c>
      <c r="AP226">
        <f t="shared" si="6"/>
        <v>1</v>
      </c>
      <c r="AQ226">
        <v>0</v>
      </c>
      <c r="AR226">
        <v>0</v>
      </c>
      <c r="AT226" t="s">
        <v>113</v>
      </c>
      <c r="AU226">
        <v>0</v>
      </c>
      <c r="AY226">
        <f>IFERROR(MAX(IF(IF(AND(F226="能力",AL226="能力持续"),(参数!$B$2-1)*参数!$B$3,0)+M226*O226*参数!$B$5*IF(AND(F226="能力",AL226="能力持续"),参数!$B$2,1)+P226*参数!$B$6*IF(AND(F226="能力",AL226="能力持续"),参数!$B$2,1)+R226*参数!$B$7*IF(AND(F226="能力",AL226="能力持续"),参数!$B$2,1)+V226*参数!$B$8+IF(X226&lt;0,X226*参数!$B$13,X226*参数!$B$39)+IF(AE226&lt;0,AE226*参数!$B$13,AE226*参数!$B$12)*参数!$B$2+AQ226*参数!$B$15+AB226*参数!$B$11+AF226*参数!$B$40*参数!$B$2+AG226*参数!$B$44*参数!$B$2+AH226*参数!$B$6*参数!$B$2+AI226*参数!$B$39*参数!$B$2+AJ226*参数!$B$6*参数!$B$2+Z226*参数!$B$13-T226*参数!$B$14-AD226*参数!$B$13+IF(ISNUMBER(AU226),AU226*参数!$B$38,0)-AV226*参数!$B$41-AW226*参数!$B$14&gt;参数!$B$17,参数!$B$17+SQRT(IF(AND(F226="能力",AL226="能力持续"),(参数!$B$2-1)*参数!$B$3,0)+M226*O226*参数!$B$5*IF(AND(F226="能力",AL226="能力持续"),参数!$B$2,1)+P226*参数!$B$6*IF(AND(F226="能力",AL226="能力持续"),参数!$B$2,1)+R226*参数!$B$7*IF(AND(F226="能力",AL226="能力持续"),参数!$B$2,1)+V226*参数!$B$8+IF(X226&lt;0,X226*参数!$B$13,X226*参数!$B$39)+IF(AE226&lt;0,AE226*参数!$B$13,AE226*参数!$B$12)*参数!$B$2+AQ226*参数!$B$15+AB226*参数!$B$11+AF226*参数!$B$40*参数!$B$2+AG226*参数!$B$44*参数!$B$2+AH226*参数!$B$6*参数!$B$2+AI226*参数!$B$39*参数!$B$2+AJ226*参数!$B$6*参数!$B$2+Z226*参数!$B$13-T226*参数!$B$14-AD226*参数!$B$13+IF(ISNUMBER(AU226),AU226*参数!$B$38,0)-AV226*参数!$B$41-AW226*参数!$B$14-参数!$B$17)*参数!$B$18,IF(AND(F226="能力",AL226="能力持续"),(参数!$B$2-1)*参数!$B$3,0)+M226*O226*参数!$B$5*IF(AND(F226="能力",AL226="能力持续"),参数!$B$2,1)+P226*参数!$B$6*IF(AND(F226="能力",AL226="能力持续"),参数!$B$2,1)+R226*参数!$B$7*IF(AND(F226="能力",AL226="能力持续"),参数!$B$2,1)+V226*参数!$B$8+IF(X226&lt;0,X226*参数!$B$13,X226*参数!$B$39)+IF(AE226&lt;0,AE226*参数!$B$13,AE226*参数!$B$12)*参数!$B$2+AQ226*参数!$B$15+AB226*参数!$B$11+AF226*参数!$B$40*参数!$B$2+AG226*参数!$B$44*参数!$B$2+AH226*参数!$B$6*参数!$B$2+AI226*参数!$B$39*参数!$B$2+AJ226*参数!$B$6*参数!$B$2+Z226*参数!$B$13-T226*参数!$B$14-AD226*参数!$B$13+IF(ISNUMBER(AU226),AU226*参数!$B$38,0)-AV226*参数!$B$41-AW226*参数!$B$14),0),0)</f>
        <v>9.2000000000000011</v>
      </c>
      <c r="AZ226">
        <f>AY226-MAX(AP226,0)*参数!$B$10</f>
        <v>6.2000000000000011</v>
      </c>
      <c r="BA226">
        <f t="shared" si="7"/>
        <v>9.2000000000000011</v>
      </c>
    </row>
    <row r="227" spans="1:53" x14ac:dyDescent="0.3">
      <c r="A227">
        <v>226</v>
      </c>
      <c r="B227" t="s">
        <v>1024</v>
      </c>
      <c r="C227" t="s">
        <v>767</v>
      </c>
      <c r="D227" t="s">
        <v>1025</v>
      </c>
      <c r="E227" t="s">
        <v>1026</v>
      </c>
      <c r="F227" t="s">
        <v>117</v>
      </c>
      <c r="G227" t="s">
        <v>12</v>
      </c>
      <c r="H227">
        <v>2</v>
      </c>
      <c r="I227">
        <v>2</v>
      </c>
      <c r="J227" t="s">
        <v>1027</v>
      </c>
      <c r="L227" t="s">
        <v>120</v>
      </c>
      <c r="M227">
        <v>0</v>
      </c>
      <c r="N227">
        <v>0</v>
      </c>
      <c r="O227">
        <v>1</v>
      </c>
      <c r="P227">
        <v>11</v>
      </c>
      <c r="Q227">
        <v>15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112</v>
      </c>
      <c r="AP227">
        <f t="shared" si="6"/>
        <v>2</v>
      </c>
      <c r="AQ227">
        <v>0</v>
      </c>
      <c r="AR227">
        <v>0</v>
      </c>
      <c r="AT227" t="s">
        <v>113</v>
      </c>
      <c r="AU227">
        <v>0</v>
      </c>
      <c r="AY227">
        <f>IFERROR(MAX(IF(IF(AND(F227="能力",AL227="能力持续"),(参数!$B$2-1)*参数!$B$3,0)+M227*O227*参数!$B$5*IF(AND(F227="能力",AL227="能力持续"),参数!$B$2,1)+P227*参数!$B$6*IF(AND(F227="能力",AL227="能力持续"),参数!$B$2,1)+R227*参数!$B$7*IF(AND(F227="能力",AL227="能力持续"),参数!$B$2,1)+V227*参数!$B$8+IF(X227&lt;0,X227*参数!$B$13,X227*参数!$B$39)+IF(AE227&lt;0,AE227*参数!$B$13,AE227*参数!$B$12)*参数!$B$2+AQ227*参数!$B$15+AB227*参数!$B$11+AF227*参数!$B$40*参数!$B$2+AG227*参数!$B$44*参数!$B$2+AH227*参数!$B$6*参数!$B$2+AI227*参数!$B$39*参数!$B$2+AJ227*参数!$B$6*参数!$B$2+Z227*参数!$B$13-T227*参数!$B$14-AD227*参数!$B$13+IF(ISNUMBER(AU227),AU227*参数!$B$38,0)-AV227*参数!$B$41-AW227*参数!$B$14&gt;参数!$B$17,参数!$B$17+SQRT(IF(AND(F227="能力",AL227="能力持续"),(参数!$B$2-1)*参数!$B$3,0)+M227*O227*参数!$B$5*IF(AND(F227="能力",AL227="能力持续"),参数!$B$2,1)+P227*参数!$B$6*IF(AND(F227="能力",AL227="能力持续"),参数!$B$2,1)+R227*参数!$B$7*IF(AND(F227="能力",AL227="能力持续"),参数!$B$2,1)+V227*参数!$B$8+IF(X227&lt;0,X227*参数!$B$13,X227*参数!$B$39)+IF(AE227&lt;0,AE227*参数!$B$13,AE227*参数!$B$12)*参数!$B$2+AQ227*参数!$B$15+AB227*参数!$B$11+AF227*参数!$B$40*参数!$B$2+AG227*参数!$B$44*参数!$B$2+AH227*参数!$B$6*参数!$B$2+AI227*参数!$B$39*参数!$B$2+AJ227*参数!$B$6*参数!$B$2+Z227*参数!$B$13-T227*参数!$B$14-AD227*参数!$B$13+IF(ISNUMBER(AU227),AU227*参数!$B$38,0)-AV227*参数!$B$41-AW227*参数!$B$14-参数!$B$17)*参数!$B$18,IF(AND(F227="能力",AL227="能力持续"),(参数!$B$2-1)*参数!$B$3,0)+M227*O227*参数!$B$5*IF(AND(F227="能力",AL227="能力持续"),参数!$B$2,1)+P227*参数!$B$6*IF(AND(F227="能力",AL227="能力持续"),参数!$B$2,1)+R227*参数!$B$7*IF(AND(F227="能力",AL227="能力持续"),参数!$B$2,1)+V227*参数!$B$8+IF(X227&lt;0,X227*参数!$B$13,X227*参数!$B$39)+IF(AE227&lt;0,AE227*参数!$B$13,AE227*参数!$B$12)*参数!$B$2+AQ227*参数!$B$15+AB227*参数!$B$11+AF227*参数!$B$40*参数!$B$2+AG227*参数!$B$44*参数!$B$2+AH227*参数!$B$6*参数!$B$2+AI227*参数!$B$39*参数!$B$2+AJ227*参数!$B$6*参数!$B$2+Z227*参数!$B$13-T227*参数!$B$14-AD227*参数!$B$13+IF(ISNUMBER(AU227),AU227*参数!$B$38,0)-AV227*参数!$B$41-AW227*参数!$B$14),0),0)</f>
        <v>12.173706511928417</v>
      </c>
      <c r="AZ227">
        <f>AY227-MAX(AP227,0)*参数!$B$10</f>
        <v>6.1737065119284171</v>
      </c>
      <c r="BA227">
        <f t="shared" si="7"/>
        <v>6.0868532559642086</v>
      </c>
    </row>
    <row r="228" spans="1:53" x14ac:dyDescent="0.3">
      <c r="A228">
        <v>227</v>
      </c>
      <c r="B228" t="s">
        <v>1028</v>
      </c>
      <c r="C228" t="s">
        <v>767</v>
      </c>
      <c r="D228" t="s">
        <v>1029</v>
      </c>
      <c r="E228" t="s">
        <v>1030</v>
      </c>
      <c r="F228" t="s">
        <v>108</v>
      </c>
      <c r="G228" t="s">
        <v>14</v>
      </c>
      <c r="H228">
        <v>1</v>
      </c>
      <c r="I228">
        <v>1</v>
      </c>
      <c r="J228" t="s">
        <v>1031</v>
      </c>
      <c r="L228" t="s">
        <v>191</v>
      </c>
      <c r="M228">
        <v>7</v>
      </c>
      <c r="N228">
        <v>11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 t="s">
        <v>112</v>
      </c>
      <c r="AN228" t="s">
        <v>192</v>
      </c>
      <c r="AP228">
        <f t="shared" si="6"/>
        <v>1</v>
      </c>
      <c r="AQ228">
        <v>0</v>
      </c>
      <c r="AR228">
        <v>0</v>
      </c>
      <c r="AT228" t="s">
        <v>113</v>
      </c>
      <c r="AU228">
        <v>0</v>
      </c>
      <c r="AY228">
        <f>IFERROR(MAX(IF(IF(AND(F228="能力",AL228="能力持续"),(参数!$B$2-1)*参数!$B$3,0)+M228*O228*参数!$B$5*IF(AND(F228="能力",AL228="能力持续"),参数!$B$2,1)+P228*参数!$B$6*IF(AND(F228="能力",AL228="能力持续"),参数!$B$2,1)+R228*参数!$B$7*IF(AND(F228="能力",AL228="能力持续"),参数!$B$2,1)+V228*参数!$B$8+IF(X228&lt;0,X228*参数!$B$13,X228*参数!$B$39)+IF(AE228&lt;0,AE228*参数!$B$13,AE228*参数!$B$12)*参数!$B$2+AQ228*参数!$B$15+AB228*参数!$B$11+AF228*参数!$B$40*参数!$B$2+AG228*参数!$B$44*参数!$B$2+AH228*参数!$B$6*参数!$B$2+AI228*参数!$B$39*参数!$B$2+AJ228*参数!$B$6*参数!$B$2+Z228*参数!$B$13-T228*参数!$B$14-AD228*参数!$B$13+IF(ISNUMBER(AU228),AU228*参数!$B$38,0)-AV228*参数!$B$41-AW228*参数!$B$14&gt;参数!$B$17,参数!$B$17+SQRT(IF(AND(F228="能力",AL228="能力持续"),(参数!$B$2-1)*参数!$B$3,0)+M228*O228*参数!$B$5*IF(AND(F228="能力",AL228="能力持续"),参数!$B$2,1)+P228*参数!$B$6*IF(AND(F228="能力",AL228="能力持续"),参数!$B$2,1)+R228*参数!$B$7*IF(AND(F228="能力",AL228="能力持续"),参数!$B$2,1)+V228*参数!$B$8+IF(X228&lt;0,X228*参数!$B$13,X228*参数!$B$39)+IF(AE228&lt;0,AE228*参数!$B$13,AE228*参数!$B$12)*参数!$B$2+AQ228*参数!$B$15+AB228*参数!$B$11+AF228*参数!$B$40*参数!$B$2+AG228*参数!$B$44*参数!$B$2+AH228*参数!$B$6*参数!$B$2+AI228*参数!$B$39*参数!$B$2+AJ228*参数!$B$6*参数!$B$2+Z228*参数!$B$13-T228*参数!$B$14-AD228*参数!$B$13+IF(ISNUMBER(AU228),AU228*参数!$B$38,0)-AV228*参数!$B$41-AW228*参数!$B$14-参数!$B$17)*参数!$B$18,IF(AND(F228="能力",AL228="能力持续"),(参数!$B$2-1)*参数!$B$3,0)+M228*O228*参数!$B$5*IF(AND(F228="能力",AL228="能力持续"),参数!$B$2,1)+P228*参数!$B$6*IF(AND(F228="能力",AL228="能力持续"),参数!$B$2,1)+R228*参数!$B$7*IF(AND(F228="能力",AL228="能力持续"),参数!$B$2,1)+V228*参数!$B$8+IF(X228&lt;0,X228*参数!$B$13,X228*参数!$B$39)+IF(AE228&lt;0,AE228*参数!$B$13,AE228*参数!$B$12)*参数!$B$2+AQ228*参数!$B$15+AB228*参数!$B$11+AF228*参数!$B$40*参数!$B$2+AG228*参数!$B$44*参数!$B$2+AH228*参数!$B$6*参数!$B$2+AI228*参数!$B$39*参数!$B$2+AJ228*参数!$B$6*参数!$B$2+Z228*参数!$B$13-T228*参数!$B$14-AD228*参数!$B$13+IF(ISNUMBER(AU228),AU228*参数!$B$38,0)-AV228*参数!$B$41-AW228*参数!$B$14),0),0)</f>
        <v>7</v>
      </c>
      <c r="AZ228">
        <f>AY228-MAX(AP228,0)*参数!$B$10</f>
        <v>4</v>
      </c>
      <c r="BA228">
        <f t="shared" si="7"/>
        <v>7</v>
      </c>
    </row>
    <row r="229" spans="1:53" x14ac:dyDescent="0.3">
      <c r="A229">
        <v>228</v>
      </c>
      <c r="B229" t="s">
        <v>1032</v>
      </c>
      <c r="C229" t="s">
        <v>767</v>
      </c>
      <c r="D229" t="s">
        <v>1033</v>
      </c>
      <c r="E229" t="s">
        <v>1034</v>
      </c>
      <c r="F229" t="s">
        <v>117</v>
      </c>
      <c r="G229" t="s">
        <v>14</v>
      </c>
      <c r="H229">
        <v>1</v>
      </c>
      <c r="I229">
        <v>1</v>
      </c>
      <c r="J229" t="s">
        <v>1035</v>
      </c>
      <c r="L229" t="s">
        <v>120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112</v>
      </c>
      <c r="AP229">
        <f t="shared" si="6"/>
        <v>1</v>
      </c>
      <c r="AQ229">
        <f>1*参数!$B$48</f>
        <v>8</v>
      </c>
      <c r="AR229">
        <v>0</v>
      </c>
      <c r="AT229" t="s">
        <v>113</v>
      </c>
      <c r="AU229">
        <v>0</v>
      </c>
      <c r="AY229">
        <f>IFERROR(MAX(IF(IF(AND(F229="能力",AL229="能力持续"),(参数!$B$2-1)*参数!$B$3,0)+M229*O229*参数!$B$5*IF(AND(F229="能力",AL229="能力持续"),参数!$B$2,1)+P229*参数!$B$6*IF(AND(F229="能力",AL229="能力持续"),参数!$B$2,1)+R229*参数!$B$7*IF(AND(F229="能力",AL229="能力持续"),参数!$B$2,1)+V229*参数!$B$8+IF(X229&lt;0,X229*参数!$B$13,X229*参数!$B$39)+IF(AE229&lt;0,AE229*参数!$B$13,AE229*参数!$B$12)*参数!$B$2+AQ229*参数!$B$15+AB229*参数!$B$11+AF229*参数!$B$40*参数!$B$2+AG229*参数!$B$44*参数!$B$2+AH229*参数!$B$6*参数!$B$2+AI229*参数!$B$39*参数!$B$2+AJ229*参数!$B$6*参数!$B$2+Z229*参数!$B$13-T229*参数!$B$14-AD229*参数!$B$13+IF(ISNUMBER(AU229),AU229*参数!$B$38,0)-AV229*参数!$B$41-AW229*参数!$B$14&gt;参数!$B$17,参数!$B$17+SQRT(IF(AND(F229="能力",AL229="能力持续"),(参数!$B$2-1)*参数!$B$3,0)+M229*O229*参数!$B$5*IF(AND(F229="能力",AL229="能力持续"),参数!$B$2,1)+P229*参数!$B$6*IF(AND(F229="能力",AL229="能力持续"),参数!$B$2,1)+R229*参数!$B$7*IF(AND(F229="能力",AL229="能力持续"),参数!$B$2,1)+V229*参数!$B$8+IF(X229&lt;0,X229*参数!$B$13,X229*参数!$B$39)+IF(AE229&lt;0,AE229*参数!$B$13,AE229*参数!$B$12)*参数!$B$2+AQ229*参数!$B$15+AB229*参数!$B$11+AF229*参数!$B$40*参数!$B$2+AG229*参数!$B$44*参数!$B$2+AH229*参数!$B$6*参数!$B$2+AI229*参数!$B$39*参数!$B$2+AJ229*参数!$B$6*参数!$B$2+Z229*参数!$B$13-T229*参数!$B$14-AD229*参数!$B$13+IF(ISNUMBER(AU229),AU229*参数!$B$38,0)-AV229*参数!$B$41-AW229*参数!$B$14-参数!$B$17)*参数!$B$18,IF(AND(F229="能力",AL229="能力持续"),(参数!$B$2-1)*参数!$B$3,0)+M229*O229*参数!$B$5*IF(AND(F229="能力",AL229="能力持续"),参数!$B$2,1)+P229*参数!$B$6*IF(AND(F229="能力",AL229="能力持续"),参数!$B$2,1)+R229*参数!$B$7*IF(AND(F229="能力",AL229="能力持续"),参数!$B$2,1)+V229*参数!$B$8+IF(X229&lt;0,X229*参数!$B$13,X229*参数!$B$39)+IF(AE229&lt;0,AE229*参数!$B$13,AE229*参数!$B$12)*参数!$B$2+AQ229*参数!$B$15+AB229*参数!$B$11+AF229*参数!$B$40*参数!$B$2+AG229*参数!$B$44*参数!$B$2+AH229*参数!$B$6*参数!$B$2+AI229*参数!$B$39*参数!$B$2+AJ229*参数!$B$6*参数!$B$2+Z229*参数!$B$13-T229*参数!$B$14-AD229*参数!$B$13+IF(ISNUMBER(AU229),AU229*参数!$B$38,0)-AV229*参数!$B$41-AW229*参数!$B$14),0),0)</f>
        <v>15.612486080160913</v>
      </c>
      <c r="AZ229">
        <f>AY229-MAX(AP229,0)*参数!$B$10</f>
        <v>12.612486080160913</v>
      </c>
      <c r="BA229">
        <f t="shared" si="7"/>
        <v>15.612486080160913</v>
      </c>
    </row>
    <row r="230" spans="1:53" x14ac:dyDescent="0.3">
      <c r="A230">
        <v>229</v>
      </c>
      <c r="B230" t="s">
        <v>1036</v>
      </c>
      <c r="C230" t="s">
        <v>767</v>
      </c>
      <c r="D230" t="s">
        <v>1037</v>
      </c>
      <c r="E230" t="s">
        <v>1038</v>
      </c>
      <c r="F230" t="s">
        <v>117</v>
      </c>
      <c r="G230" t="s">
        <v>12</v>
      </c>
      <c r="H230">
        <v>1</v>
      </c>
      <c r="I230">
        <v>1</v>
      </c>
      <c r="J230" t="s">
        <v>1039</v>
      </c>
      <c r="L230" t="s">
        <v>120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3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 t="s">
        <v>112</v>
      </c>
      <c r="AP230">
        <f t="shared" si="6"/>
        <v>1</v>
      </c>
      <c r="AQ230">
        <v>0</v>
      </c>
      <c r="AR230">
        <v>0</v>
      </c>
      <c r="AT230" t="s">
        <v>113</v>
      </c>
      <c r="AU230">
        <v>0</v>
      </c>
      <c r="AY230">
        <f>IFERROR(MAX(IF(IF(AND(F230="能力",AL230="能力持续"),(参数!$B$2-1)*参数!$B$3,0)+M230*O230*参数!$B$5*IF(AND(F230="能力",AL230="能力持续"),参数!$B$2,1)+P230*参数!$B$6*IF(AND(F230="能力",AL230="能力持续"),参数!$B$2,1)+R230*参数!$B$7*IF(AND(F230="能力",AL230="能力持续"),参数!$B$2,1)+V230*参数!$B$8+IF(X230&lt;0,X230*参数!$B$13,X230*参数!$B$39)+IF(AE230&lt;0,AE230*参数!$B$13,AE230*参数!$B$12)*参数!$B$2+AQ230*参数!$B$15+AB230*参数!$B$11+AF230*参数!$B$40*参数!$B$2+AG230*参数!$B$44*参数!$B$2+AH230*参数!$B$6*参数!$B$2+AI230*参数!$B$39*参数!$B$2+AJ230*参数!$B$6*参数!$B$2+Z230*参数!$B$13-T230*参数!$B$14-AD230*参数!$B$13+IF(ISNUMBER(AU230),AU230*参数!$B$38,0)-AV230*参数!$B$41-AW230*参数!$B$14&gt;参数!$B$17,参数!$B$17+SQRT(IF(AND(F230="能力",AL230="能力持续"),(参数!$B$2-1)*参数!$B$3,0)+M230*O230*参数!$B$5*IF(AND(F230="能力",AL230="能力持续"),参数!$B$2,1)+P230*参数!$B$6*IF(AND(F230="能力",AL230="能力持续"),参数!$B$2,1)+R230*参数!$B$7*IF(AND(F230="能力",AL230="能力持续"),参数!$B$2,1)+V230*参数!$B$8+IF(X230&lt;0,X230*参数!$B$13,X230*参数!$B$39)+IF(AE230&lt;0,AE230*参数!$B$13,AE230*参数!$B$12)*参数!$B$2+AQ230*参数!$B$15+AB230*参数!$B$11+AF230*参数!$B$40*参数!$B$2+AG230*参数!$B$44*参数!$B$2+AH230*参数!$B$6*参数!$B$2+AI230*参数!$B$39*参数!$B$2+AJ230*参数!$B$6*参数!$B$2+Z230*参数!$B$13-T230*参数!$B$14-AD230*参数!$B$13+IF(ISNUMBER(AU230),AU230*参数!$B$38,0)-AV230*参数!$B$41-AW230*参数!$B$14-参数!$B$17)*参数!$B$18,IF(AND(F230="能力",AL230="能力持续"),(参数!$B$2-1)*参数!$B$3,0)+M230*O230*参数!$B$5*IF(AND(F230="能力",AL230="能力持续"),参数!$B$2,1)+P230*参数!$B$6*IF(AND(F230="能力",AL230="能力持续"),参数!$B$2,1)+R230*参数!$B$7*IF(AND(F230="能力",AL230="能力持续"),参数!$B$2,1)+V230*参数!$B$8+IF(X230&lt;0,X230*参数!$B$13,X230*参数!$B$39)+IF(AE230&lt;0,AE230*参数!$B$13,AE230*参数!$B$12)*参数!$B$2+AQ230*参数!$B$15+AB230*参数!$B$11+AF230*参数!$B$40*参数!$B$2+AG230*参数!$B$44*参数!$B$2+AH230*参数!$B$6*参数!$B$2+AI230*参数!$B$39*参数!$B$2+AJ230*参数!$B$6*参数!$B$2+Z230*参数!$B$13-T230*参数!$B$14-AD230*参数!$B$13+IF(ISNUMBER(AU230),AU230*参数!$B$38,0)-AV230*参数!$B$41-AW230*参数!$B$14),0),0)</f>
        <v>2.0999999999999996</v>
      </c>
      <c r="AZ230">
        <f>AY230-MAX(AP230,0)*参数!$B$10</f>
        <v>-0.90000000000000036</v>
      </c>
      <c r="BA230">
        <f t="shared" si="7"/>
        <v>2.0999999999999996</v>
      </c>
    </row>
    <row r="231" spans="1:53" x14ac:dyDescent="0.3">
      <c r="A231">
        <v>230</v>
      </c>
      <c r="B231" t="s">
        <v>1040</v>
      </c>
      <c r="C231" t="s">
        <v>767</v>
      </c>
      <c r="D231" t="s">
        <v>1041</v>
      </c>
      <c r="E231" t="s">
        <v>1042</v>
      </c>
      <c r="F231" t="s">
        <v>124</v>
      </c>
      <c r="G231" t="s">
        <v>12</v>
      </c>
      <c r="H231">
        <v>1</v>
      </c>
      <c r="I231">
        <v>1</v>
      </c>
      <c r="J231" t="s">
        <v>1043</v>
      </c>
      <c r="L231" t="s">
        <v>191</v>
      </c>
      <c r="M231">
        <v>5</v>
      </c>
      <c r="N231">
        <v>7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112</v>
      </c>
      <c r="AN231" t="s">
        <v>322</v>
      </c>
      <c r="AP231">
        <f t="shared" si="6"/>
        <v>1</v>
      </c>
      <c r="AQ231">
        <v>0</v>
      </c>
      <c r="AR231">
        <v>0</v>
      </c>
      <c r="AT231" t="s">
        <v>113</v>
      </c>
      <c r="AU231">
        <v>0</v>
      </c>
      <c r="AY231">
        <f>IFERROR(MAX(IF(IF(AND(F231="能力",AL231="能力持续"),(参数!$B$2-1)*参数!$B$3,0)+M231*O231*参数!$B$5*IF(AND(F231="能力",AL231="能力持续"),参数!$B$2,1)+P231*参数!$B$6*IF(AND(F231="能力",AL231="能力持续"),参数!$B$2,1)+R231*参数!$B$7*IF(AND(F231="能力",AL231="能力持续"),参数!$B$2,1)+V231*参数!$B$8+IF(X231&lt;0,X231*参数!$B$13,X231*参数!$B$39)+IF(AE231&lt;0,AE231*参数!$B$13,AE231*参数!$B$12)*参数!$B$2+AQ231*参数!$B$15+AB231*参数!$B$11+AF231*参数!$B$40*参数!$B$2+AG231*参数!$B$44*参数!$B$2+AH231*参数!$B$6*参数!$B$2+AI231*参数!$B$39*参数!$B$2+AJ231*参数!$B$6*参数!$B$2+Z231*参数!$B$13-T231*参数!$B$14-AD231*参数!$B$13+IF(ISNUMBER(AU231),AU231*参数!$B$38,0)-AV231*参数!$B$41-AW231*参数!$B$14&gt;参数!$B$17,参数!$B$17+SQRT(IF(AND(F231="能力",AL231="能力持续"),(参数!$B$2-1)*参数!$B$3,0)+M231*O231*参数!$B$5*IF(AND(F231="能力",AL231="能力持续"),参数!$B$2,1)+P231*参数!$B$6*IF(AND(F231="能力",AL231="能力持续"),参数!$B$2,1)+R231*参数!$B$7*IF(AND(F231="能力",AL231="能力持续"),参数!$B$2,1)+V231*参数!$B$8+IF(X231&lt;0,X231*参数!$B$13,X231*参数!$B$39)+IF(AE231&lt;0,AE231*参数!$B$13,AE231*参数!$B$12)*参数!$B$2+AQ231*参数!$B$15+AB231*参数!$B$11+AF231*参数!$B$40*参数!$B$2+AG231*参数!$B$44*参数!$B$2+AH231*参数!$B$6*参数!$B$2+AI231*参数!$B$39*参数!$B$2+AJ231*参数!$B$6*参数!$B$2+Z231*参数!$B$13-T231*参数!$B$14-AD231*参数!$B$13+IF(ISNUMBER(AU231),AU231*参数!$B$38,0)-AV231*参数!$B$41-AW231*参数!$B$14-参数!$B$17)*参数!$B$18,IF(AND(F231="能力",AL231="能力持续"),(参数!$B$2-1)*参数!$B$3,0)+M231*O231*参数!$B$5*IF(AND(F231="能力",AL231="能力持续"),参数!$B$2,1)+P231*参数!$B$6*IF(AND(F231="能力",AL231="能力持续"),参数!$B$2,1)+R231*参数!$B$7*IF(AND(F231="能力",AL231="能力持续"),参数!$B$2,1)+V231*参数!$B$8+IF(X231&lt;0,X231*参数!$B$13,X231*参数!$B$39)+IF(AE231&lt;0,AE231*参数!$B$13,AE231*参数!$B$12)*参数!$B$2+AQ231*参数!$B$15+AB231*参数!$B$11+AF231*参数!$B$40*参数!$B$2+AG231*参数!$B$44*参数!$B$2+AH231*参数!$B$6*参数!$B$2+AI231*参数!$B$39*参数!$B$2+AJ231*参数!$B$6*参数!$B$2+Z231*参数!$B$13-T231*参数!$B$14-AD231*参数!$B$13+IF(ISNUMBER(AU231),AU231*参数!$B$38,0)-AV231*参数!$B$41-AW231*参数!$B$14),0),0)</f>
        <v>5</v>
      </c>
      <c r="AZ231">
        <f>AY231-MAX(AP231,0)*参数!$B$10</f>
        <v>2</v>
      </c>
      <c r="BA231">
        <f t="shared" si="7"/>
        <v>5</v>
      </c>
    </row>
    <row r="232" spans="1:53" x14ac:dyDescent="0.3">
      <c r="A232">
        <v>231</v>
      </c>
      <c r="B232" t="s">
        <v>1044</v>
      </c>
      <c r="C232" t="s">
        <v>767</v>
      </c>
      <c r="D232" t="s">
        <v>1045</v>
      </c>
      <c r="E232" t="s">
        <v>1046</v>
      </c>
      <c r="F232" t="s">
        <v>124</v>
      </c>
      <c r="G232" t="s">
        <v>14</v>
      </c>
      <c r="H232">
        <v>1</v>
      </c>
      <c r="I232">
        <v>1</v>
      </c>
      <c r="J232" t="s">
        <v>1047</v>
      </c>
      <c r="L232" t="s">
        <v>120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112</v>
      </c>
      <c r="AL232" t="s">
        <v>127</v>
      </c>
      <c r="AN232" t="s">
        <v>124</v>
      </c>
      <c r="AP232">
        <f t="shared" si="6"/>
        <v>1</v>
      </c>
      <c r="AQ232">
        <v>0</v>
      </c>
      <c r="AR232">
        <v>0</v>
      </c>
      <c r="AT232" t="s">
        <v>113</v>
      </c>
      <c r="AU232">
        <v>0</v>
      </c>
      <c r="AY232">
        <f>IFERROR(MAX(IF(IF(AND(F232="能力",AL232="能力持续"),(参数!$B$2-1)*参数!$B$3,0)+M232*O232*参数!$B$5*IF(AND(F232="能力",AL232="能力持续"),参数!$B$2,1)+P232*参数!$B$6*IF(AND(F232="能力",AL232="能力持续"),参数!$B$2,1)+R232*参数!$B$7*IF(AND(F232="能力",AL232="能力持续"),参数!$B$2,1)+V232*参数!$B$8+IF(X232&lt;0,X232*参数!$B$13,X232*参数!$B$39)+IF(AE232&lt;0,AE232*参数!$B$13,AE232*参数!$B$12)*参数!$B$2+AQ232*参数!$B$15+AB232*参数!$B$11+AF232*参数!$B$40*参数!$B$2+AG232*参数!$B$44*参数!$B$2+AH232*参数!$B$6*参数!$B$2+AI232*参数!$B$39*参数!$B$2+AJ232*参数!$B$6*参数!$B$2+Z232*参数!$B$13-T232*参数!$B$14-AD232*参数!$B$13+IF(ISNUMBER(AU232),AU232*参数!$B$38,0)-AV232*参数!$B$41-AW232*参数!$B$14&gt;参数!$B$17,参数!$B$17+SQRT(IF(AND(F232="能力",AL232="能力持续"),(参数!$B$2-1)*参数!$B$3,0)+M232*O232*参数!$B$5*IF(AND(F232="能力",AL232="能力持续"),参数!$B$2,1)+P232*参数!$B$6*IF(AND(F232="能力",AL232="能力持续"),参数!$B$2,1)+R232*参数!$B$7*IF(AND(F232="能力",AL232="能力持续"),参数!$B$2,1)+V232*参数!$B$8+IF(X232&lt;0,X232*参数!$B$13,X232*参数!$B$39)+IF(AE232&lt;0,AE232*参数!$B$13,AE232*参数!$B$12)*参数!$B$2+AQ232*参数!$B$15+AB232*参数!$B$11+AF232*参数!$B$40*参数!$B$2+AG232*参数!$B$44*参数!$B$2+AH232*参数!$B$6*参数!$B$2+AI232*参数!$B$39*参数!$B$2+AJ232*参数!$B$6*参数!$B$2+Z232*参数!$B$13-T232*参数!$B$14-AD232*参数!$B$13+IF(ISNUMBER(AU232),AU232*参数!$B$38,0)-AV232*参数!$B$41-AW232*参数!$B$14-参数!$B$17)*参数!$B$18,IF(AND(F232="能力",AL232="能力持续"),(参数!$B$2-1)*参数!$B$3,0)+M232*O232*参数!$B$5*IF(AND(F232="能力",AL232="能力持续"),参数!$B$2,1)+P232*参数!$B$6*IF(AND(F232="能力",AL232="能力持续"),参数!$B$2,1)+R232*参数!$B$7*IF(AND(F232="能力",AL232="能力持续"),参数!$B$2,1)+V232*参数!$B$8+IF(X232&lt;0,X232*参数!$B$13,X232*参数!$B$39)+IF(AE232&lt;0,AE232*参数!$B$13,AE232*参数!$B$12)*参数!$B$2+AQ232*参数!$B$15+AB232*参数!$B$11+AF232*参数!$B$40*参数!$B$2+AG232*参数!$B$44*参数!$B$2+AH232*参数!$B$6*参数!$B$2+AI232*参数!$B$39*参数!$B$2+AJ232*参数!$B$6*参数!$B$2+Z232*参数!$B$13-T232*参数!$B$14-AD232*参数!$B$13+IF(ISNUMBER(AU232),AU232*参数!$B$38,0)-AV232*参数!$B$41-AW232*参数!$B$14),0),0)</f>
        <v>3.5999999999999996</v>
      </c>
      <c r="AZ232">
        <f>AY232-MAX(AP232,0)*参数!$B$10</f>
        <v>0.59999999999999964</v>
      </c>
      <c r="BA232">
        <f t="shared" si="7"/>
        <v>3.5999999999999996</v>
      </c>
    </row>
    <row r="233" spans="1:53" x14ac:dyDescent="0.3">
      <c r="A233">
        <v>232</v>
      </c>
      <c r="B233" t="s">
        <v>1048</v>
      </c>
      <c r="C233" t="s">
        <v>767</v>
      </c>
      <c r="D233" t="s">
        <v>1049</v>
      </c>
      <c r="E233" t="s">
        <v>1050</v>
      </c>
      <c r="F233" t="s">
        <v>124</v>
      </c>
      <c r="G233" t="s">
        <v>12</v>
      </c>
      <c r="H233">
        <v>1</v>
      </c>
      <c r="I233">
        <v>1</v>
      </c>
      <c r="J233" t="s">
        <v>1051</v>
      </c>
      <c r="L233" t="s">
        <v>120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 t="s">
        <v>112</v>
      </c>
      <c r="AL233" t="s">
        <v>127</v>
      </c>
      <c r="AN233" t="s">
        <v>124</v>
      </c>
      <c r="AP233">
        <f t="shared" si="6"/>
        <v>1</v>
      </c>
      <c r="AQ233">
        <v>0</v>
      </c>
      <c r="AR233">
        <v>0</v>
      </c>
      <c r="AT233" t="s">
        <v>113</v>
      </c>
      <c r="AU233">
        <v>0</v>
      </c>
      <c r="AY233">
        <f>IFERROR(MAX(IF(IF(AND(F233="能力",AL233="能力持续"),(参数!$B$2-1)*参数!$B$3,0)+M233*O233*参数!$B$5*IF(AND(F233="能力",AL233="能力持续"),参数!$B$2,1)+P233*参数!$B$6*IF(AND(F233="能力",AL233="能力持续"),参数!$B$2,1)+R233*参数!$B$7*IF(AND(F233="能力",AL233="能力持续"),参数!$B$2,1)+V233*参数!$B$8+IF(X233&lt;0,X233*参数!$B$13,X233*参数!$B$39)+IF(AE233&lt;0,AE233*参数!$B$13,AE233*参数!$B$12)*参数!$B$2+AQ233*参数!$B$15+AB233*参数!$B$11+AF233*参数!$B$40*参数!$B$2+AG233*参数!$B$44*参数!$B$2+AH233*参数!$B$6*参数!$B$2+AI233*参数!$B$39*参数!$B$2+AJ233*参数!$B$6*参数!$B$2+Z233*参数!$B$13-T233*参数!$B$14-AD233*参数!$B$13+IF(ISNUMBER(AU233),AU233*参数!$B$38,0)-AV233*参数!$B$41-AW233*参数!$B$14&gt;参数!$B$17,参数!$B$17+SQRT(IF(AND(F233="能力",AL233="能力持续"),(参数!$B$2-1)*参数!$B$3,0)+M233*O233*参数!$B$5*IF(AND(F233="能力",AL233="能力持续"),参数!$B$2,1)+P233*参数!$B$6*IF(AND(F233="能力",AL233="能力持续"),参数!$B$2,1)+R233*参数!$B$7*IF(AND(F233="能力",AL233="能力持续"),参数!$B$2,1)+V233*参数!$B$8+IF(X233&lt;0,X233*参数!$B$13,X233*参数!$B$39)+IF(AE233&lt;0,AE233*参数!$B$13,AE233*参数!$B$12)*参数!$B$2+AQ233*参数!$B$15+AB233*参数!$B$11+AF233*参数!$B$40*参数!$B$2+AG233*参数!$B$44*参数!$B$2+AH233*参数!$B$6*参数!$B$2+AI233*参数!$B$39*参数!$B$2+AJ233*参数!$B$6*参数!$B$2+Z233*参数!$B$13-T233*参数!$B$14-AD233*参数!$B$13+IF(ISNUMBER(AU233),AU233*参数!$B$38,0)-AV233*参数!$B$41-AW233*参数!$B$14-参数!$B$17)*参数!$B$18,IF(AND(F233="能力",AL233="能力持续"),(参数!$B$2-1)*参数!$B$3,0)+M233*O233*参数!$B$5*IF(AND(F233="能力",AL233="能力持续"),参数!$B$2,1)+P233*参数!$B$6*IF(AND(F233="能力",AL233="能力持续"),参数!$B$2,1)+R233*参数!$B$7*IF(AND(F233="能力",AL233="能力持续"),参数!$B$2,1)+V233*参数!$B$8+IF(X233&lt;0,X233*参数!$B$13,X233*参数!$B$39)+IF(AE233&lt;0,AE233*参数!$B$13,AE233*参数!$B$12)*参数!$B$2+AQ233*参数!$B$15+AB233*参数!$B$11+AF233*参数!$B$40*参数!$B$2+AG233*参数!$B$44*参数!$B$2+AH233*参数!$B$6*参数!$B$2+AI233*参数!$B$39*参数!$B$2+AJ233*参数!$B$6*参数!$B$2+Z233*参数!$B$13-T233*参数!$B$14-AD233*参数!$B$13+IF(ISNUMBER(AU233),AU233*参数!$B$38,0)-AV233*参数!$B$41-AW233*参数!$B$14),0),0)</f>
        <v>3.5999999999999996</v>
      </c>
      <c r="AZ233">
        <f>AY233-MAX(AP233,0)*参数!$B$10</f>
        <v>0.59999999999999964</v>
      </c>
      <c r="BA233">
        <f t="shared" si="7"/>
        <v>3.5999999999999996</v>
      </c>
    </row>
    <row r="234" spans="1:53" x14ac:dyDescent="0.3">
      <c r="A234">
        <v>233</v>
      </c>
      <c r="B234" t="s">
        <v>1052</v>
      </c>
      <c r="C234" t="s">
        <v>767</v>
      </c>
      <c r="D234" t="s">
        <v>106</v>
      </c>
      <c r="E234" t="s">
        <v>107</v>
      </c>
      <c r="F234" t="s">
        <v>108</v>
      </c>
      <c r="G234" t="s">
        <v>8</v>
      </c>
      <c r="H234">
        <v>1</v>
      </c>
      <c r="I234">
        <v>1</v>
      </c>
      <c r="J234" t="s">
        <v>1053</v>
      </c>
      <c r="L234" t="s">
        <v>111</v>
      </c>
      <c r="M234">
        <v>6</v>
      </c>
      <c r="N234">
        <v>9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112</v>
      </c>
      <c r="AP234">
        <f t="shared" si="6"/>
        <v>1</v>
      </c>
      <c r="AQ234">
        <v>0</v>
      </c>
      <c r="AR234">
        <v>0</v>
      </c>
      <c r="AT234" t="s">
        <v>113</v>
      </c>
      <c r="AU234">
        <v>0</v>
      </c>
      <c r="AY234">
        <f>IFERROR(MAX(IF(IF(AND(F234="能力",AL234="能力持续"),(参数!$B$2-1)*参数!$B$3,0)+M234*O234*参数!$B$5*IF(AND(F234="能力",AL234="能力持续"),参数!$B$2,1)+P234*参数!$B$6*IF(AND(F234="能力",AL234="能力持续"),参数!$B$2,1)+R234*参数!$B$7*IF(AND(F234="能力",AL234="能力持续"),参数!$B$2,1)+V234*参数!$B$8+IF(X234&lt;0,X234*参数!$B$13,X234*参数!$B$39)+IF(AE234&lt;0,AE234*参数!$B$13,AE234*参数!$B$12)*参数!$B$2+AQ234*参数!$B$15+AB234*参数!$B$11+AF234*参数!$B$40*参数!$B$2+AG234*参数!$B$44*参数!$B$2+AH234*参数!$B$6*参数!$B$2+AI234*参数!$B$39*参数!$B$2+AJ234*参数!$B$6*参数!$B$2+Z234*参数!$B$13-T234*参数!$B$14-AD234*参数!$B$13+IF(ISNUMBER(AU234),AU234*参数!$B$38,0)-AV234*参数!$B$41-AW234*参数!$B$14&gt;参数!$B$17,参数!$B$17+SQRT(IF(AND(F234="能力",AL234="能力持续"),(参数!$B$2-1)*参数!$B$3,0)+M234*O234*参数!$B$5*IF(AND(F234="能力",AL234="能力持续"),参数!$B$2,1)+P234*参数!$B$6*IF(AND(F234="能力",AL234="能力持续"),参数!$B$2,1)+R234*参数!$B$7*IF(AND(F234="能力",AL234="能力持续"),参数!$B$2,1)+V234*参数!$B$8+IF(X234&lt;0,X234*参数!$B$13,X234*参数!$B$39)+IF(AE234&lt;0,AE234*参数!$B$13,AE234*参数!$B$12)*参数!$B$2+AQ234*参数!$B$15+AB234*参数!$B$11+AF234*参数!$B$40*参数!$B$2+AG234*参数!$B$44*参数!$B$2+AH234*参数!$B$6*参数!$B$2+AI234*参数!$B$39*参数!$B$2+AJ234*参数!$B$6*参数!$B$2+Z234*参数!$B$13-T234*参数!$B$14-AD234*参数!$B$13+IF(ISNUMBER(AU234),AU234*参数!$B$38,0)-AV234*参数!$B$41-AW234*参数!$B$14-参数!$B$17)*参数!$B$18,IF(AND(F234="能力",AL234="能力持续"),(参数!$B$2-1)*参数!$B$3,0)+M234*O234*参数!$B$5*IF(AND(F234="能力",AL234="能力持续"),参数!$B$2,1)+P234*参数!$B$6*IF(AND(F234="能力",AL234="能力持续"),参数!$B$2,1)+R234*参数!$B$7*IF(AND(F234="能力",AL234="能力持续"),参数!$B$2,1)+V234*参数!$B$8+IF(X234&lt;0,X234*参数!$B$13,X234*参数!$B$39)+IF(AE234&lt;0,AE234*参数!$B$13,AE234*参数!$B$12)*参数!$B$2+AQ234*参数!$B$15+AB234*参数!$B$11+AF234*参数!$B$40*参数!$B$2+AG234*参数!$B$44*参数!$B$2+AH234*参数!$B$6*参数!$B$2+AI234*参数!$B$39*参数!$B$2+AJ234*参数!$B$6*参数!$B$2+Z234*参数!$B$13-T234*参数!$B$14-AD234*参数!$B$13+IF(ISNUMBER(AU234),AU234*参数!$B$38,0)-AV234*参数!$B$41-AW234*参数!$B$14),0),0)</f>
        <v>6</v>
      </c>
      <c r="AZ234">
        <f>AY234-MAX(AP234,0)*参数!$B$10</f>
        <v>3</v>
      </c>
      <c r="BA234">
        <f t="shared" si="7"/>
        <v>6</v>
      </c>
    </row>
    <row r="235" spans="1:53" x14ac:dyDescent="0.3">
      <c r="A235">
        <v>234</v>
      </c>
      <c r="B235" t="s">
        <v>1054</v>
      </c>
      <c r="C235" t="s">
        <v>767</v>
      </c>
      <c r="D235" t="s">
        <v>1055</v>
      </c>
      <c r="E235" t="s">
        <v>1056</v>
      </c>
      <c r="F235" t="s">
        <v>124</v>
      </c>
      <c r="G235" t="s">
        <v>12</v>
      </c>
      <c r="H235">
        <v>1</v>
      </c>
      <c r="I235">
        <v>1</v>
      </c>
      <c r="J235" t="s">
        <v>1057</v>
      </c>
      <c r="L235" t="s">
        <v>120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t="s">
        <v>112</v>
      </c>
      <c r="AL235" t="s">
        <v>127</v>
      </c>
      <c r="AN235" t="s">
        <v>124</v>
      </c>
      <c r="AP235">
        <f t="shared" si="6"/>
        <v>1</v>
      </c>
      <c r="AQ235">
        <v>0</v>
      </c>
      <c r="AR235">
        <v>0</v>
      </c>
      <c r="AT235" t="s">
        <v>113</v>
      </c>
      <c r="AU235">
        <v>0</v>
      </c>
      <c r="AY235">
        <f>IFERROR(MAX(IF(IF(AND(F235="能力",AL235="能力持续"),(参数!$B$2-1)*参数!$B$3,0)+M235*O235*参数!$B$5*IF(AND(F235="能力",AL235="能力持续"),参数!$B$2,1)+P235*参数!$B$6*IF(AND(F235="能力",AL235="能力持续"),参数!$B$2,1)+R235*参数!$B$7*IF(AND(F235="能力",AL235="能力持续"),参数!$B$2,1)+V235*参数!$B$8+IF(X235&lt;0,X235*参数!$B$13,X235*参数!$B$39)+IF(AE235&lt;0,AE235*参数!$B$13,AE235*参数!$B$12)*参数!$B$2+AQ235*参数!$B$15+AB235*参数!$B$11+AF235*参数!$B$40*参数!$B$2+AG235*参数!$B$44*参数!$B$2+AH235*参数!$B$6*参数!$B$2+AI235*参数!$B$39*参数!$B$2+AJ235*参数!$B$6*参数!$B$2+Z235*参数!$B$13-T235*参数!$B$14-AD235*参数!$B$13+IF(ISNUMBER(AU235),AU235*参数!$B$38,0)-AV235*参数!$B$41-AW235*参数!$B$14&gt;参数!$B$17,参数!$B$17+SQRT(IF(AND(F235="能力",AL235="能力持续"),(参数!$B$2-1)*参数!$B$3,0)+M235*O235*参数!$B$5*IF(AND(F235="能力",AL235="能力持续"),参数!$B$2,1)+P235*参数!$B$6*IF(AND(F235="能力",AL235="能力持续"),参数!$B$2,1)+R235*参数!$B$7*IF(AND(F235="能力",AL235="能力持续"),参数!$B$2,1)+V235*参数!$B$8+IF(X235&lt;0,X235*参数!$B$13,X235*参数!$B$39)+IF(AE235&lt;0,AE235*参数!$B$13,AE235*参数!$B$12)*参数!$B$2+AQ235*参数!$B$15+AB235*参数!$B$11+AF235*参数!$B$40*参数!$B$2+AG235*参数!$B$44*参数!$B$2+AH235*参数!$B$6*参数!$B$2+AI235*参数!$B$39*参数!$B$2+AJ235*参数!$B$6*参数!$B$2+Z235*参数!$B$13-T235*参数!$B$14-AD235*参数!$B$13+IF(ISNUMBER(AU235),AU235*参数!$B$38,0)-AV235*参数!$B$41-AW235*参数!$B$14-参数!$B$17)*参数!$B$18,IF(AND(F235="能力",AL235="能力持续"),(参数!$B$2-1)*参数!$B$3,0)+M235*O235*参数!$B$5*IF(AND(F235="能力",AL235="能力持续"),参数!$B$2,1)+P235*参数!$B$6*IF(AND(F235="能力",AL235="能力持续"),参数!$B$2,1)+R235*参数!$B$7*IF(AND(F235="能力",AL235="能力持续"),参数!$B$2,1)+V235*参数!$B$8+IF(X235&lt;0,X235*参数!$B$13,X235*参数!$B$39)+IF(AE235&lt;0,AE235*参数!$B$13,AE235*参数!$B$12)*参数!$B$2+AQ235*参数!$B$15+AB235*参数!$B$11+AF235*参数!$B$40*参数!$B$2+AG235*参数!$B$44*参数!$B$2+AH235*参数!$B$6*参数!$B$2+AI235*参数!$B$39*参数!$B$2+AJ235*参数!$B$6*参数!$B$2+Z235*参数!$B$13-T235*参数!$B$14-AD235*参数!$B$13+IF(ISNUMBER(AU235),AU235*参数!$B$38,0)-AV235*参数!$B$41-AW235*参数!$B$14),0),0)</f>
        <v>3.5999999999999996</v>
      </c>
      <c r="AZ235">
        <f>AY235-MAX(AP235,0)*参数!$B$10</f>
        <v>0.59999999999999964</v>
      </c>
      <c r="BA235">
        <f t="shared" si="7"/>
        <v>3.5999999999999996</v>
      </c>
    </row>
    <row r="236" spans="1:53" x14ac:dyDescent="0.3">
      <c r="A236">
        <v>235</v>
      </c>
      <c r="B236" t="s">
        <v>1058</v>
      </c>
      <c r="C236" t="s">
        <v>767</v>
      </c>
      <c r="D236" t="s">
        <v>1059</v>
      </c>
      <c r="E236" t="s">
        <v>1060</v>
      </c>
      <c r="F236" t="s">
        <v>108</v>
      </c>
      <c r="G236" t="s">
        <v>12</v>
      </c>
      <c r="H236">
        <v>3</v>
      </c>
      <c r="I236">
        <v>3</v>
      </c>
      <c r="J236" t="s">
        <v>1061</v>
      </c>
      <c r="L236" t="s">
        <v>111</v>
      </c>
      <c r="M236">
        <v>24</v>
      </c>
      <c r="N236">
        <v>32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 t="s">
        <v>112</v>
      </c>
      <c r="AP236">
        <f t="shared" si="6"/>
        <v>3</v>
      </c>
      <c r="AQ236">
        <v>0</v>
      </c>
      <c r="AR236">
        <v>0</v>
      </c>
      <c r="AT236" t="s">
        <v>113</v>
      </c>
      <c r="AU236">
        <v>0</v>
      </c>
      <c r="AY236">
        <f>IFERROR(MAX(IF(IF(AND(F236="能力",AL236="能力持续"),(参数!$B$2-1)*参数!$B$3,0)+M236*O236*参数!$B$5*IF(AND(F236="能力",AL236="能力持续"),参数!$B$2,1)+P236*参数!$B$6*IF(AND(F236="能力",AL236="能力持续"),参数!$B$2,1)+R236*参数!$B$7*IF(AND(F236="能力",AL236="能力持续"),参数!$B$2,1)+V236*参数!$B$8+IF(X236&lt;0,X236*参数!$B$13,X236*参数!$B$39)+IF(AE236&lt;0,AE236*参数!$B$13,AE236*参数!$B$12)*参数!$B$2+AQ236*参数!$B$15+AB236*参数!$B$11+AF236*参数!$B$40*参数!$B$2+AG236*参数!$B$44*参数!$B$2+AH236*参数!$B$6*参数!$B$2+AI236*参数!$B$39*参数!$B$2+AJ236*参数!$B$6*参数!$B$2+Z236*参数!$B$13-T236*参数!$B$14-AD236*参数!$B$13+IF(ISNUMBER(AU236),AU236*参数!$B$38,0)-AV236*参数!$B$41-AW236*参数!$B$14&gt;参数!$B$17,参数!$B$17+SQRT(IF(AND(F236="能力",AL236="能力持续"),(参数!$B$2-1)*参数!$B$3,0)+M236*O236*参数!$B$5*IF(AND(F236="能力",AL236="能力持续"),参数!$B$2,1)+P236*参数!$B$6*IF(AND(F236="能力",AL236="能力持续"),参数!$B$2,1)+R236*参数!$B$7*IF(AND(F236="能力",AL236="能力持续"),参数!$B$2,1)+V236*参数!$B$8+IF(X236&lt;0,X236*参数!$B$13,X236*参数!$B$39)+IF(AE236&lt;0,AE236*参数!$B$13,AE236*参数!$B$12)*参数!$B$2+AQ236*参数!$B$15+AB236*参数!$B$11+AF236*参数!$B$40*参数!$B$2+AG236*参数!$B$44*参数!$B$2+AH236*参数!$B$6*参数!$B$2+AI236*参数!$B$39*参数!$B$2+AJ236*参数!$B$6*参数!$B$2+Z236*参数!$B$13-T236*参数!$B$14-AD236*参数!$B$13+IF(ISNUMBER(AU236),AU236*参数!$B$38,0)-AV236*参数!$B$41-AW236*参数!$B$14-参数!$B$17)*参数!$B$18,IF(AND(F236="能力",AL236="能力持续"),(参数!$B$2-1)*参数!$B$3,0)+M236*O236*参数!$B$5*IF(AND(F236="能力",AL236="能力持续"),参数!$B$2,1)+P236*参数!$B$6*IF(AND(F236="能力",AL236="能力持续"),参数!$B$2,1)+R236*参数!$B$7*IF(AND(F236="能力",AL236="能力持续"),参数!$B$2,1)+V236*参数!$B$8+IF(X236&lt;0,X236*参数!$B$13,X236*参数!$B$39)+IF(AE236&lt;0,AE236*参数!$B$13,AE236*参数!$B$12)*参数!$B$2+AQ236*参数!$B$15+AB236*参数!$B$11+AF236*参数!$B$40*参数!$B$2+AG236*参数!$B$44*参数!$B$2+AH236*参数!$B$6*参数!$B$2+AI236*参数!$B$39*参数!$B$2+AJ236*参数!$B$6*参数!$B$2+Z236*参数!$B$13-T236*参数!$B$14-AD236*参数!$B$13+IF(ISNUMBER(AU236),AU236*参数!$B$38,0)-AV236*参数!$B$41-AW236*参数!$B$14),0),0)</f>
        <v>15.612486080160913</v>
      </c>
      <c r="AZ236">
        <f>AY236-MAX(AP236,0)*参数!$B$10</f>
        <v>6.6124860801609131</v>
      </c>
      <c r="BA236">
        <f t="shared" si="7"/>
        <v>5.2041620267203044</v>
      </c>
    </row>
    <row r="237" spans="1:53" x14ac:dyDescent="0.3">
      <c r="A237">
        <v>236</v>
      </c>
      <c r="B237" t="s">
        <v>1062</v>
      </c>
      <c r="C237" t="s">
        <v>767</v>
      </c>
      <c r="D237" t="s">
        <v>1063</v>
      </c>
      <c r="E237" t="s">
        <v>1064</v>
      </c>
      <c r="F237" t="s">
        <v>117</v>
      </c>
      <c r="G237" t="s">
        <v>14</v>
      </c>
      <c r="H237">
        <v>0</v>
      </c>
      <c r="I237">
        <v>0</v>
      </c>
      <c r="J237" t="s">
        <v>1065</v>
      </c>
      <c r="K237" t="s">
        <v>472</v>
      </c>
      <c r="L237" t="s">
        <v>120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4</v>
      </c>
      <c r="W237">
        <v>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 t="s">
        <v>112</v>
      </c>
      <c r="AO237" t="s">
        <v>472</v>
      </c>
      <c r="AP237">
        <f t="shared" si="6"/>
        <v>0.4</v>
      </c>
      <c r="AQ237">
        <v>0</v>
      </c>
      <c r="AR237">
        <v>0</v>
      </c>
      <c r="AT237" t="s">
        <v>113</v>
      </c>
      <c r="AU237">
        <v>0</v>
      </c>
      <c r="AY237">
        <f>IFERROR(MAX(IF(IF(AND(F237="能力",AL237="能力持续"),(参数!$B$2-1)*参数!$B$3,0)+M237*O237*参数!$B$5*IF(AND(F237="能力",AL237="能力持续"),参数!$B$2,1)+P237*参数!$B$6*IF(AND(F237="能力",AL237="能力持续"),参数!$B$2,1)+R237*参数!$B$7*IF(AND(F237="能力",AL237="能力持续"),参数!$B$2,1)+V237*参数!$B$8+IF(X237&lt;0,X237*参数!$B$13,X237*参数!$B$39)+IF(AE237&lt;0,AE237*参数!$B$13,AE237*参数!$B$12)*参数!$B$2+AQ237*参数!$B$15+AB237*参数!$B$11+AF237*参数!$B$40*参数!$B$2+AG237*参数!$B$44*参数!$B$2+AH237*参数!$B$6*参数!$B$2+AI237*参数!$B$39*参数!$B$2+AJ237*参数!$B$6*参数!$B$2+Z237*参数!$B$13-T237*参数!$B$14-AD237*参数!$B$13+IF(ISNUMBER(AU237),AU237*参数!$B$38,0)-AV237*参数!$B$41-AW237*参数!$B$14&gt;参数!$B$17,参数!$B$17+SQRT(IF(AND(F237="能力",AL237="能力持续"),(参数!$B$2-1)*参数!$B$3,0)+M237*O237*参数!$B$5*IF(AND(F237="能力",AL237="能力持续"),参数!$B$2,1)+P237*参数!$B$6*IF(AND(F237="能力",AL237="能力持续"),参数!$B$2,1)+R237*参数!$B$7*IF(AND(F237="能力",AL237="能力持续"),参数!$B$2,1)+V237*参数!$B$8+IF(X237&lt;0,X237*参数!$B$13,X237*参数!$B$39)+IF(AE237&lt;0,AE237*参数!$B$13,AE237*参数!$B$12)*参数!$B$2+AQ237*参数!$B$15+AB237*参数!$B$11+AF237*参数!$B$40*参数!$B$2+AG237*参数!$B$44*参数!$B$2+AH237*参数!$B$6*参数!$B$2+AI237*参数!$B$39*参数!$B$2+AJ237*参数!$B$6*参数!$B$2+Z237*参数!$B$13-T237*参数!$B$14-AD237*参数!$B$13+IF(ISNUMBER(AU237),AU237*参数!$B$38,0)-AV237*参数!$B$41-AW237*参数!$B$14-参数!$B$17)*参数!$B$18,IF(AND(F237="能力",AL237="能力持续"),(参数!$B$2-1)*参数!$B$3,0)+M237*O237*参数!$B$5*IF(AND(F237="能力",AL237="能力持续"),参数!$B$2,1)+P237*参数!$B$6*IF(AND(F237="能力",AL237="能力持续"),参数!$B$2,1)+R237*参数!$B$7*IF(AND(F237="能力",AL237="能力持续"),参数!$B$2,1)+V237*参数!$B$8+IF(X237&lt;0,X237*参数!$B$13,X237*参数!$B$39)+IF(AE237&lt;0,AE237*参数!$B$13,AE237*参数!$B$12)*参数!$B$2+AQ237*参数!$B$15+AB237*参数!$B$11+AF237*参数!$B$40*参数!$B$2+AG237*参数!$B$44*参数!$B$2+AH237*参数!$B$6*参数!$B$2+AI237*参数!$B$39*参数!$B$2+AJ237*参数!$B$6*参数!$B$2+Z237*参数!$B$13-T237*参数!$B$14-AD237*参数!$B$13+IF(ISNUMBER(AU237),AU237*参数!$B$38,0)-AV237*参数!$B$41-AW237*参数!$B$14),0),0)</f>
        <v>12.121320343559642</v>
      </c>
      <c r="AZ237">
        <f>AY237-MAX(AP237,0)*参数!$B$10</f>
        <v>10.921320343559643</v>
      </c>
      <c r="BA237">
        <f t="shared" si="7"/>
        <v>30.303300858899103</v>
      </c>
    </row>
    <row r="238" spans="1:53" x14ac:dyDescent="0.3">
      <c r="A238">
        <v>237</v>
      </c>
      <c r="B238" t="s">
        <v>1066</v>
      </c>
      <c r="C238" t="s">
        <v>767</v>
      </c>
      <c r="D238" t="s">
        <v>1067</v>
      </c>
      <c r="E238" t="s">
        <v>1068</v>
      </c>
      <c r="F238" t="s">
        <v>108</v>
      </c>
      <c r="G238" t="s">
        <v>10</v>
      </c>
      <c r="H238">
        <v>1</v>
      </c>
      <c r="I238">
        <v>1</v>
      </c>
      <c r="J238" t="s">
        <v>1069</v>
      </c>
      <c r="L238" t="s">
        <v>191</v>
      </c>
      <c r="M238">
        <v>6</v>
      </c>
      <c r="N238">
        <v>9</v>
      </c>
      <c r="O238">
        <v>1</v>
      </c>
      <c r="P238">
        <v>0</v>
      </c>
      <c r="Q238">
        <v>0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112</v>
      </c>
      <c r="AN238" t="s">
        <v>192</v>
      </c>
      <c r="AP238">
        <f t="shared" si="6"/>
        <v>1</v>
      </c>
      <c r="AQ238">
        <v>0</v>
      </c>
      <c r="AR238">
        <v>0</v>
      </c>
      <c r="AT238" t="s">
        <v>113</v>
      </c>
      <c r="AU238">
        <v>0</v>
      </c>
      <c r="AY238">
        <f>IFERROR(MAX(IF(IF(AND(F238="能力",AL238="能力持续"),(参数!$B$2-1)*参数!$B$3,0)+M238*O238*参数!$B$5*IF(AND(F238="能力",AL238="能力持续"),参数!$B$2,1)+P238*参数!$B$6*IF(AND(F238="能力",AL238="能力持续"),参数!$B$2,1)+R238*参数!$B$7*IF(AND(F238="能力",AL238="能力持续"),参数!$B$2,1)+V238*参数!$B$8+IF(X238&lt;0,X238*参数!$B$13,X238*参数!$B$39)+IF(AE238&lt;0,AE238*参数!$B$13,AE238*参数!$B$12)*参数!$B$2+AQ238*参数!$B$15+AB238*参数!$B$11+AF238*参数!$B$40*参数!$B$2+AG238*参数!$B$44*参数!$B$2+AH238*参数!$B$6*参数!$B$2+AI238*参数!$B$39*参数!$B$2+AJ238*参数!$B$6*参数!$B$2+Z238*参数!$B$13-T238*参数!$B$14-AD238*参数!$B$13+IF(ISNUMBER(AU238),AU238*参数!$B$38,0)-AV238*参数!$B$41-AW238*参数!$B$14&gt;参数!$B$17,参数!$B$17+SQRT(IF(AND(F238="能力",AL238="能力持续"),(参数!$B$2-1)*参数!$B$3,0)+M238*O238*参数!$B$5*IF(AND(F238="能力",AL238="能力持续"),参数!$B$2,1)+P238*参数!$B$6*IF(AND(F238="能力",AL238="能力持续"),参数!$B$2,1)+R238*参数!$B$7*IF(AND(F238="能力",AL238="能力持续"),参数!$B$2,1)+V238*参数!$B$8+IF(X238&lt;0,X238*参数!$B$13,X238*参数!$B$39)+IF(AE238&lt;0,AE238*参数!$B$13,AE238*参数!$B$12)*参数!$B$2+AQ238*参数!$B$15+AB238*参数!$B$11+AF238*参数!$B$40*参数!$B$2+AG238*参数!$B$44*参数!$B$2+AH238*参数!$B$6*参数!$B$2+AI238*参数!$B$39*参数!$B$2+AJ238*参数!$B$6*参数!$B$2+Z238*参数!$B$13-T238*参数!$B$14-AD238*参数!$B$13+IF(ISNUMBER(AU238),AU238*参数!$B$38,0)-AV238*参数!$B$41-AW238*参数!$B$14-参数!$B$17)*参数!$B$18,IF(AND(F238="能力",AL238="能力持续"),(参数!$B$2-1)*参数!$B$3,0)+M238*O238*参数!$B$5*IF(AND(F238="能力",AL238="能力持续"),参数!$B$2,1)+P238*参数!$B$6*IF(AND(F238="能力",AL238="能力持续"),参数!$B$2,1)+R238*参数!$B$7*IF(AND(F238="能力",AL238="能力持续"),参数!$B$2,1)+V238*参数!$B$8+IF(X238&lt;0,X238*参数!$B$13,X238*参数!$B$39)+IF(AE238&lt;0,AE238*参数!$B$13,AE238*参数!$B$12)*参数!$B$2+AQ238*参数!$B$15+AB238*参数!$B$11+AF238*参数!$B$40*参数!$B$2+AG238*参数!$B$44*参数!$B$2+AH238*参数!$B$6*参数!$B$2+AI238*参数!$B$39*参数!$B$2+AJ238*参数!$B$6*参数!$B$2+Z238*参数!$B$13-T238*参数!$B$14-AD238*参数!$B$13+IF(ISNUMBER(AU238),AU238*参数!$B$38,0)-AV238*参数!$B$41-AW238*参数!$B$14),0),0)</f>
        <v>6.7</v>
      </c>
      <c r="AZ238">
        <f>AY238-MAX(AP238,0)*参数!$B$10</f>
        <v>3.7</v>
      </c>
      <c r="BA238">
        <f t="shared" si="7"/>
        <v>6.7</v>
      </c>
    </row>
    <row r="239" spans="1:53" x14ac:dyDescent="0.3">
      <c r="A239">
        <v>238</v>
      </c>
      <c r="B239" t="s">
        <v>1070</v>
      </c>
      <c r="C239" t="s">
        <v>767</v>
      </c>
      <c r="D239" t="s">
        <v>1071</v>
      </c>
      <c r="E239" t="s">
        <v>1072</v>
      </c>
      <c r="F239" t="s">
        <v>117</v>
      </c>
      <c r="G239" t="s">
        <v>12</v>
      </c>
      <c r="H239">
        <v>1</v>
      </c>
      <c r="I239">
        <v>1</v>
      </c>
      <c r="J239" t="s">
        <v>1073</v>
      </c>
      <c r="L239" t="s">
        <v>120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</v>
      </c>
      <c r="AJ239">
        <v>0</v>
      </c>
      <c r="AK239" t="s">
        <v>112</v>
      </c>
      <c r="AN239" t="s">
        <v>161</v>
      </c>
      <c r="AP239">
        <f t="shared" si="6"/>
        <v>1</v>
      </c>
      <c r="AQ239">
        <v>0</v>
      </c>
      <c r="AR239">
        <v>0</v>
      </c>
      <c r="AT239" t="s">
        <v>113</v>
      </c>
      <c r="AU239">
        <v>0</v>
      </c>
      <c r="AY239">
        <f>IFERROR(MAX(IF(IF(AND(F239="能力",AL239="能力持续"),(参数!$B$2-1)*参数!$B$3,0)+M239*O239*参数!$B$5*IF(AND(F239="能力",AL239="能力持续"),参数!$B$2,1)+P239*参数!$B$6*IF(AND(F239="能力",AL239="能力持续"),参数!$B$2,1)+R239*参数!$B$7*IF(AND(F239="能力",AL239="能力持续"),参数!$B$2,1)+V239*参数!$B$8+IF(X239&lt;0,X239*参数!$B$13,X239*参数!$B$39)+IF(AE239&lt;0,AE239*参数!$B$13,AE239*参数!$B$12)*参数!$B$2+AQ239*参数!$B$15+AB239*参数!$B$11+AF239*参数!$B$40*参数!$B$2+AG239*参数!$B$44*参数!$B$2+AH239*参数!$B$6*参数!$B$2+AI239*参数!$B$39*参数!$B$2+AJ239*参数!$B$6*参数!$B$2+Z239*参数!$B$13-T239*参数!$B$14-AD239*参数!$B$13+IF(ISNUMBER(AU239),AU239*参数!$B$38,0)-AV239*参数!$B$41-AW239*参数!$B$14&gt;参数!$B$17,参数!$B$17+SQRT(IF(AND(F239="能力",AL239="能力持续"),(参数!$B$2-1)*参数!$B$3,0)+M239*O239*参数!$B$5*IF(AND(F239="能力",AL239="能力持续"),参数!$B$2,1)+P239*参数!$B$6*IF(AND(F239="能力",AL239="能力持续"),参数!$B$2,1)+R239*参数!$B$7*IF(AND(F239="能力",AL239="能力持续"),参数!$B$2,1)+V239*参数!$B$8+IF(X239&lt;0,X239*参数!$B$13,X239*参数!$B$39)+IF(AE239&lt;0,AE239*参数!$B$13,AE239*参数!$B$12)*参数!$B$2+AQ239*参数!$B$15+AB239*参数!$B$11+AF239*参数!$B$40*参数!$B$2+AG239*参数!$B$44*参数!$B$2+AH239*参数!$B$6*参数!$B$2+AI239*参数!$B$39*参数!$B$2+AJ239*参数!$B$6*参数!$B$2+Z239*参数!$B$13-T239*参数!$B$14-AD239*参数!$B$13+IF(ISNUMBER(AU239),AU239*参数!$B$38,0)-AV239*参数!$B$41-AW239*参数!$B$14-参数!$B$17)*参数!$B$18,IF(AND(F239="能力",AL239="能力持续"),(参数!$B$2-1)*参数!$B$3,0)+M239*O239*参数!$B$5*IF(AND(F239="能力",AL239="能力持续"),参数!$B$2,1)+P239*参数!$B$6*IF(AND(F239="能力",AL239="能力持续"),参数!$B$2,1)+R239*参数!$B$7*IF(AND(F239="能力",AL239="能力持续"),参数!$B$2,1)+V239*参数!$B$8+IF(X239&lt;0,X239*参数!$B$13,X239*参数!$B$39)+IF(AE239&lt;0,AE239*参数!$B$13,AE239*参数!$B$12)*参数!$B$2+AQ239*参数!$B$15+AB239*参数!$B$11+AF239*参数!$B$40*参数!$B$2+AG239*参数!$B$44*参数!$B$2+AH239*参数!$B$6*参数!$B$2+AI239*参数!$B$39*参数!$B$2+AJ239*参数!$B$6*参数!$B$2+Z239*参数!$B$13-T239*参数!$B$14-AD239*参数!$B$13+IF(ISNUMBER(AU239),AU239*参数!$B$38,0)-AV239*参数!$B$41-AW239*参数!$B$14),0),0)</f>
        <v>10.948683298050515</v>
      </c>
      <c r="AZ239">
        <f>AY239-MAX(AP239,0)*参数!$B$10</f>
        <v>7.9486832980505149</v>
      </c>
      <c r="BA239">
        <f t="shared" si="7"/>
        <v>10.948683298050515</v>
      </c>
    </row>
    <row r="240" spans="1:53" x14ac:dyDescent="0.3">
      <c r="A240">
        <v>239</v>
      </c>
      <c r="B240" t="s">
        <v>1074</v>
      </c>
      <c r="C240" t="s">
        <v>767</v>
      </c>
      <c r="D240" t="s">
        <v>1075</v>
      </c>
      <c r="E240" t="s">
        <v>1076</v>
      </c>
      <c r="F240" t="s">
        <v>108</v>
      </c>
      <c r="G240" t="s">
        <v>12</v>
      </c>
      <c r="H240">
        <v>2</v>
      </c>
      <c r="I240">
        <v>2</v>
      </c>
      <c r="J240" t="s">
        <v>1077</v>
      </c>
      <c r="L240" t="s">
        <v>111</v>
      </c>
      <c r="M240">
        <v>12</v>
      </c>
      <c r="N240">
        <v>18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t="s">
        <v>112</v>
      </c>
      <c r="AP240">
        <f t="shared" si="6"/>
        <v>2</v>
      </c>
      <c r="AQ240">
        <v>0</v>
      </c>
      <c r="AR240">
        <v>0</v>
      </c>
      <c r="AT240" t="s">
        <v>113</v>
      </c>
      <c r="AU240">
        <v>0</v>
      </c>
      <c r="AY240">
        <f>IFERROR(MAX(IF(IF(AND(F240="能力",AL240="能力持续"),(参数!$B$2-1)*参数!$B$3,0)+M240*O240*参数!$B$5*IF(AND(F240="能力",AL240="能力持续"),参数!$B$2,1)+P240*参数!$B$6*IF(AND(F240="能力",AL240="能力持续"),参数!$B$2,1)+R240*参数!$B$7*IF(AND(F240="能力",AL240="能力持续"),参数!$B$2,1)+V240*参数!$B$8+IF(X240&lt;0,X240*参数!$B$13,X240*参数!$B$39)+IF(AE240&lt;0,AE240*参数!$B$13,AE240*参数!$B$12)*参数!$B$2+AQ240*参数!$B$15+AB240*参数!$B$11+AF240*参数!$B$40*参数!$B$2+AG240*参数!$B$44*参数!$B$2+AH240*参数!$B$6*参数!$B$2+AI240*参数!$B$39*参数!$B$2+AJ240*参数!$B$6*参数!$B$2+Z240*参数!$B$13-T240*参数!$B$14-AD240*参数!$B$13+IF(ISNUMBER(AU240),AU240*参数!$B$38,0)-AV240*参数!$B$41-AW240*参数!$B$14&gt;参数!$B$17,参数!$B$17+SQRT(IF(AND(F240="能力",AL240="能力持续"),(参数!$B$2-1)*参数!$B$3,0)+M240*O240*参数!$B$5*IF(AND(F240="能力",AL240="能力持续"),参数!$B$2,1)+P240*参数!$B$6*IF(AND(F240="能力",AL240="能力持续"),参数!$B$2,1)+R240*参数!$B$7*IF(AND(F240="能力",AL240="能力持续"),参数!$B$2,1)+V240*参数!$B$8+IF(X240&lt;0,X240*参数!$B$13,X240*参数!$B$39)+IF(AE240&lt;0,AE240*参数!$B$13,AE240*参数!$B$12)*参数!$B$2+AQ240*参数!$B$15+AB240*参数!$B$11+AF240*参数!$B$40*参数!$B$2+AG240*参数!$B$44*参数!$B$2+AH240*参数!$B$6*参数!$B$2+AI240*参数!$B$39*参数!$B$2+AJ240*参数!$B$6*参数!$B$2+Z240*参数!$B$13-T240*参数!$B$14-AD240*参数!$B$13+IF(ISNUMBER(AU240),AU240*参数!$B$38,0)-AV240*参数!$B$41-AW240*参数!$B$14-参数!$B$17)*参数!$B$18,IF(AND(F240="能力",AL240="能力持续"),(参数!$B$2-1)*参数!$B$3,0)+M240*O240*参数!$B$5*IF(AND(F240="能力",AL240="能力持续"),参数!$B$2,1)+P240*参数!$B$6*IF(AND(F240="能力",AL240="能力持续"),参数!$B$2,1)+R240*参数!$B$7*IF(AND(F240="能力",AL240="能力持续"),参数!$B$2,1)+V240*参数!$B$8+IF(X240&lt;0,X240*参数!$B$13,X240*参数!$B$39)+IF(AE240&lt;0,AE240*参数!$B$13,AE240*参数!$B$12)*参数!$B$2+AQ240*参数!$B$15+AB240*参数!$B$11+AF240*参数!$B$40*参数!$B$2+AG240*参数!$B$44*参数!$B$2+AH240*参数!$B$6*参数!$B$2+AI240*参数!$B$39*参数!$B$2+AJ240*参数!$B$6*参数!$B$2+Z240*参数!$B$13-T240*参数!$B$14-AD240*参数!$B$13+IF(ISNUMBER(AU240),AU240*参数!$B$38,0)-AV240*参数!$B$41-AW240*参数!$B$14),0),0)</f>
        <v>12.121320343559642</v>
      </c>
      <c r="AZ240">
        <f>AY240-MAX(AP240,0)*参数!$B$10</f>
        <v>6.1213203435596419</v>
      </c>
      <c r="BA240">
        <f t="shared" si="7"/>
        <v>6.060660171779821</v>
      </c>
    </row>
    <row r="241" spans="1:53" x14ac:dyDescent="0.3">
      <c r="A241">
        <v>240</v>
      </c>
      <c r="B241" t="s">
        <v>1078</v>
      </c>
      <c r="C241" t="s">
        <v>767</v>
      </c>
      <c r="D241" t="s">
        <v>1079</v>
      </c>
      <c r="E241" t="s">
        <v>1080</v>
      </c>
      <c r="F241" t="s">
        <v>117</v>
      </c>
      <c r="G241" t="s">
        <v>12</v>
      </c>
      <c r="H241">
        <v>0</v>
      </c>
      <c r="I241">
        <v>0</v>
      </c>
      <c r="J241" t="s">
        <v>1081</v>
      </c>
      <c r="L241" t="s">
        <v>111</v>
      </c>
      <c r="M241">
        <f>参数!$B$26*参数!$B$45</f>
        <v>28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112</v>
      </c>
      <c r="AP241">
        <f t="shared" si="6"/>
        <v>0.4</v>
      </c>
      <c r="AQ241">
        <v>0</v>
      </c>
      <c r="AR241">
        <v>0</v>
      </c>
      <c r="AT241" t="s">
        <v>113</v>
      </c>
      <c r="AU241">
        <v>0</v>
      </c>
      <c r="AY241">
        <f>IFERROR(MAX(IF(IF(AND(F241="能力",AL241="能力持续"),(参数!$B$2-1)*参数!$B$3,0)+M241*O241*参数!$B$5*IF(AND(F241="能力",AL241="能力持续"),参数!$B$2,1)+P241*参数!$B$6*IF(AND(F241="能力",AL241="能力持续"),参数!$B$2,1)+R241*参数!$B$7*IF(AND(F241="能力",AL241="能力持续"),参数!$B$2,1)+V241*参数!$B$8+IF(X241&lt;0,X241*参数!$B$13,X241*参数!$B$39)+IF(AE241&lt;0,AE241*参数!$B$13,AE241*参数!$B$12)*参数!$B$2+AQ241*参数!$B$15+AB241*参数!$B$11+AF241*参数!$B$40*参数!$B$2+AG241*参数!$B$44*参数!$B$2+AH241*参数!$B$6*参数!$B$2+AI241*参数!$B$39*参数!$B$2+AJ241*参数!$B$6*参数!$B$2+Z241*参数!$B$13-T241*参数!$B$14-AD241*参数!$B$13+IF(ISNUMBER(AU241),AU241*参数!$B$38,0)-AV241*参数!$B$41-AW241*参数!$B$14&gt;参数!$B$17,参数!$B$17+SQRT(IF(AND(F241="能力",AL241="能力持续"),(参数!$B$2-1)*参数!$B$3,0)+M241*O241*参数!$B$5*IF(AND(F241="能力",AL241="能力持续"),参数!$B$2,1)+P241*参数!$B$6*IF(AND(F241="能力",AL241="能力持续"),参数!$B$2,1)+R241*参数!$B$7*IF(AND(F241="能力",AL241="能力持续"),参数!$B$2,1)+V241*参数!$B$8+IF(X241&lt;0,X241*参数!$B$13,X241*参数!$B$39)+IF(AE241&lt;0,AE241*参数!$B$13,AE241*参数!$B$12)*参数!$B$2+AQ241*参数!$B$15+AB241*参数!$B$11+AF241*参数!$B$40*参数!$B$2+AG241*参数!$B$44*参数!$B$2+AH241*参数!$B$6*参数!$B$2+AI241*参数!$B$39*参数!$B$2+AJ241*参数!$B$6*参数!$B$2+Z241*参数!$B$13-T241*参数!$B$14-AD241*参数!$B$13+IF(ISNUMBER(AU241),AU241*参数!$B$38,0)-AV241*参数!$B$41-AW241*参数!$B$14-参数!$B$17)*参数!$B$18,IF(AND(F241="能力",AL241="能力持续"),(参数!$B$2-1)*参数!$B$3,0)+M241*O241*参数!$B$5*IF(AND(F241="能力",AL241="能力持续"),参数!$B$2,1)+P241*参数!$B$6*IF(AND(F241="能力",AL241="能力持续"),参数!$B$2,1)+R241*参数!$B$7*IF(AND(F241="能力",AL241="能力持续"),参数!$B$2,1)+V241*参数!$B$8+IF(X241&lt;0,X241*参数!$B$13,X241*参数!$B$39)+IF(AE241&lt;0,AE241*参数!$B$13,AE241*参数!$B$12)*参数!$B$2+AQ241*参数!$B$15+AB241*参数!$B$11+AF241*参数!$B$40*参数!$B$2+AG241*参数!$B$44*参数!$B$2+AH241*参数!$B$6*参数!$B$2+AI241*参数!$B$39*参数!$B$2+AJ241*参数!$B$6*参数!$B$2+Z241*参数!$B$13-T241*参数!$B$14-AD241*参数!$B$13+IF(ISNUMBER(AU241),AU241*参数!$B$38,0)-AV241*参数!$B$41-AW241*参数!$B$14),0),0)</f>
        <v>16.363961030678929</v>
      </c>
      <c r="AZ241">
        <f>AY241-MAX(AP241,0)*参数!$B$10</f>
        <v>15.16396103067893</v>
      </c>
      <c r="BA241">
        <f t="shared" si="7"/>
        <v>40.90990257669732</v>
      </c>
    </row>
    <row r="242" spans="1:53" s="10" customFormat="1" x14ac:dyDescent="0.3">
      <c r="A242" s="10">
        <v>241</v>
      </c>
      <c r="B242" s="10" t="s">
        <v>1082</v>
      </c>
      <c r="C242" s="10" t="s">
        <v>1083</v>
      </c>
      <c r="D242" s="10" t="s">
        <v>1084</v>
      </c>
      <c r="E242" s="10" t="s">
        <v>1085</v>
      </c>
      <c r="F242" s="10" t="s">
        <v>117</v>
      </c>
      <c r="G242" s="10" t="s">
        <v>12</v>
      </c>
      <c r="H242" s="10">
        <v>0</v>
      </c>
      <c r="I242" s="10">
        <v>0</v>
      </c>
      <c r="J242" s="10" t="s">
        <v>1086</v>
      </c>
      <c r="L242" s="10" t="s">
        <v>120</v>
      </c>
      <c r="M242" s="10">
        <v>0</v>
      </c>
      <c r="N242" s="10">
        <v>0</v>
      </c>
      <c r="O242" s="10">
        <v>1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2</v>
      </c>
      <c r="W242" s="10">
        <v>3</v>
      </c>
      <c r="X242" s="10">
        <v>-3</v>
      </c>
      <c r="Y242" s="10">
        <v>-3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 t="s">
        <v>112</v>
      </c>
      <c r="AP242" s="10">
        <f t="shared" si="6"/>
        <v>0.4</v>
      </c>
      <c r="AQ242" s="10">
        <v>0</v>
      </c>
      <c r="AR242" s="10">
        <v>0</v>
      </c>
      <c r="AT242" s="10" t="s">
        <v>113</v>
      </c>
      <c r="AU242" s="10">
        <v>0</v>
      </c>
      <c r="AY242" s="10">
        <f>IFERROR(MAX(IF(IF(AND(F242="能力",AL242="能力持续"),(参数!$B$2-1)*参数!$B$3,0)+M242*O242*参数!$B$5*IF(AND(F242="能力",AL242="能力持续"),参数!$B$2,1)+P242*参数!$B$6*IF(AND(F242="能力",AL242="能力持续"),参数!$B$2,1)+R242*参数!$B$7*IF(AND(F242="能力",AL242="能力持续"),参数!$B$2,1)+V242*参数!$B$8+IF(X242&lt;0,X242*参数!$B$13,X242*参数!$B$39)+IF(AE242&lt;0,AE242*参数!$B$13,AE242*参数!$B$12)*参数!$B$2+AQ242*参数!$B$15+AB242*参数!$B$11+AF242*参数!$B$40*参数!$B$2+AG242*参数!$B$44*参数!$B$2+AH242*参数!$B$6*参数!$B$2+AI242*参数!$B$39*参数!$B$2+AJ242*参数!$B$6*参数!$B$2+Z242*参数!$B$13-T242*参数!$B$14-AD242*参数!$B$13+IF(ISNUMBER(AU242),AU242*参数!$B$38,0)-AV242*参数!$B$41-AW242*参数!$B$14&gt;参数!$B$17,参数!$B$17+SQRT(IF(AND(F242="能力",AL242="能力持续"),(参数!$B$2-1)*参数!$B$3,0)+M242*O242*参数!$B$5*IF(AND(F242="能力",AL242="能力持续"),参数!$B$2,1)+P242*参数!$B$6*IF(AND(F242="能力",AL242="能力持续"),参数!$B$2,1)+R242*参数!$B$7*IF(AND(F242="能力",AL242="能力持续"),参数!$B$2,1)+V242*参数!$B$8+IF(X242&lt;0,X242*参数!$B$13,X242*参数!$B$39)+IF(AE242&lt;0,AE242*参数!$B$13,AE242*参数!$B$12)*参数!$B$2+AQ242*参数!$B$15+AB242*参数!$B$11+AF242*参数!$B$40*参数!$B$2+AG242*参数!$B$44*参数!$B$2+AH242*参数!$B$6*参数!$B$2+AI242*参数!$B$39*参数!$B$2+AJ242*参数!$B$6*参数!$B$2+Z242*参数!$B$13-T242*参数!$B$14-AD242*参数!$B$13+IF(ISNUMBER(AU242),AU242*参数!$B$38,0)-AV242*参数!$B$41-AW242*参数!$B$14-参数!$B$17)*参数!$B$18,IF(AND(F242="能力",AL242="能力持续"),(参数!$B$2-1)*参数!$B$3,0)+M242*O242*参数!$B$5*IF(AND(F242="能力",AL242="能力持续"),参数!$B$2,1)+P242*参数!$B$6*IF(AND(F242="能力",AL242="能力持续"),参数!$B$2,1)+R242*参数!$B$7*IF(AND(F242="能力",AL242="能力持续"),参数!$B$2,1)+V242*参数!$B$8+IF(X242&lt;0,X242*参数!$B$13,X242*参数!$B$39)+IF(AE242&lt;0,AE242*参数!$B$13,AE242*参数!$B$12)*参数!$B$2+AQ242*参数!$B$15+AB242*参数!$B$11+AF242*参数!$B$40*参数!$B$2+AG242*参数!$B$44*参数!$B$2+AH242*参数!$B$6*参数!$B$2+AI242*参数!$B$39*参数!$B$2+AJ242*参数!$B$6*参数!$B$2+Z242*参数!$B$13-T242*参数!$B$14-AD242*参数!$B$13+IF(ISNUMBER(AU242),AU242*参数!$B$38,0)-AV242*参数!$B$41-AW242*参数!$B$14),0),0)</f>
        <v>1.5</v>
      </c>
      <c r="AZ242" s="10">
        <f>AY242-MAX(AP242,0)*参数!$B$10</f>
        <v>0.29999999999999982</v>
      </c>
      <c r="BA242" s="10">
        <f t="shared" si="7"/>
        <v>3.75</v>
      </c>
    </row>
    <row r="243" spans="1:53" x14ac:dyDescent="0.3">
      <c r="A243">
        <v>242</v>
      </c>
      <c r="B243" t="s">
        <v>1087</v>
      </c>
      <c r="C243" t="s">
        <v>1083</v>
      </c>
      <c r="D243" t="s">
        <v>1088</v>
      </c>
      <c r="E243" t="s">
        <v>1089</v>
      </c>
      <c r="F243" t="s">
        <v>124</v>
      </c>
      <c r="G243" t="s">
        <v>14</v>
      </c>
      <c r="H243">
        <v>1</v>
      </c>
      <c r="I243">
        <v>1</v>
      </c>
      <c r="J243" t="s">
        <v>1090</v>
      </c>
      <c r="L243" t="s">
        <v>120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f>参数!$B$2*1.5</f>
        <v>6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112</v>
      </c>
      <c r="AL243" t="s">
        <v>127</v>
      </c>
      <c r="AN243" t="s">
        <v>124</v>
      </c>
      <c r="AP243">
        <f t="shared" si="6"/>
        <v>1</v>
      </c>
      <c r="AQ243">
        <v>0</v>
      </c>
      <c r="AR243">
        <v>0</v>
      </c>
      <c r="AT243" t="s">
        <v>113</v>
      </c>
      <c r="AU243">
        <v>0</v>
      </c>
      <c r="AY243">
        <f>IFERROR(MAX(IF(IF(AND(F243="能力",AL243="能力持续"),(参数!$B$2-1)*参数!$B$3,0)+M243*O243*参数!$B$5*IF(AND(F243="能力",AL243="能力持续"),参数!$B$2,1)+P243*参数!$B$6*IF(AND(F243="能力",AL243="能力持续"),参数!$B$2,1)+R243*参数!$B$7*IF(AND(F243="能力",AL243="能力持续"),参数!$B$2,1)+V243*参数!$B$8+IF(X243&lt;0,X243*参数!$B$13,X243*参数!$B$39)+IF(AE243&lt;0,AE243*参数!$B$13,AE243*参数!$B$12)*参数!$B$2+AQ243*参数!$B$15+AB243*参数!$B$11+AF243*参数!$B$40*参数!$B$2+AG243*参数!$B$44*参数!$B$2+AH243*参数!$B$6*参数!$B$2+AI243*参数!$B$39*参数!$B$2+AJ243*参数!$B$6*参数!$B$2+Z243*参数!$B$13-T243*参数!$B$14-AD243*参数!$B$13+IF(ISNUMBER(AU243),AU243*参数!$B$38,0)-AV243*参数!$B$41-AW243*参数!$B$14&gt;参数!$B$17,参数!$B$17+SQRT(IF(AND(F243="能力",AL243="能力持续"),(参数!$B$2-1)*参数!$B$3,0)+M243*O243*参数!$B$5*IF(AND(F243="能力",AL243="能力持续"),参数!$B$2,1)+P243*参数!$B$6*IF(AND(F243="能力",AL243="能力持续"),参数!$B$2,1)+R243*参数!$B$7*IF(AND(F243="能力",AL243="能力持续"),参数!$B$2,1)+V243*参数!$B$8+IF(X243&lt;0,X243*参数!$B$13,X243*参数!$B$39)+IF(AE243&lt;0,AE243*参数!$B$13,AE243*参数!$B$12)*参数!$B$2+AQ243*参数!$B$15+AB243*参数!$B$11+AF243*参数!$B$40*参数!$B$2+AG243*参数!$B$44*参数!$B$2+AH243*参数!$B$6*参数!$B$2+AI243*参数!$B$39*参数!$B$2+AJ243*参数!$B$6*参数!$B$2+Z243*参数!$B$13-T243*参数!$B$14-AD243*参数!$B$13+IF(ISNUMBER(AU243),AU243*参数!$B$38,0)-AV243*参数!$B$41-AW243*参数!$B$14-参数!$B$17)*参数!$B$18,IF(AND(F243="能力",AL243="能力持续"),(参数!$B$2-1)*参数!$B$3,0)+M243*O243*参数!$B$5*IF(AND(F243="能力",AL243="能力持续"),参数!$B$2,1)+P243*参数!$B$6*IF(AND(F243="能力",AL243="能力持续"),参数!$B$2,1)+R243*参数!$B$7*IF(AND(F243="能力",AL243="能力持续"),参数!$B$2,1)+V243*参数!$B$8+IF(X243&lt;0,X243*参数!$B$13,X243*参数!$B$39)+IF(AE243&lt;0,AE243*参数!$B$13,AE243*参数!$B$12)*参数!$B$2+AQ243*参数!$B$15+AB243*参数!$B$11+AF243*参数!$B$40*参数!$B$2+AG243*参数!$B$44*参数!$B$2+AH243*参数!$B$6*参数!$B$2+AI243*参数!$B$39*参数!$B$2+AJ243*参数!$B$6*参数!$B$2+Z243*参数!$B$13-T243*参数!$B$14-AD243*参数!$B$13+IF(ISNUMBER(AU243),AU243*参数!$B$38,0)-AV243*参数!$B$41-AW243*参数!$B$14),0),0)</f>
        <v>17.099295739719537</v>
      </c>
      <c r="AZ243">
        <f>AY243-MAX(AP243,0)*参数!$B$10</f>
        <v>14.099295739719537</v>
      </c>
      <c r="BA243">
        <f t="shared" si="7"/>
        <v>17.099295739719537</v>
      </c>
    </row>
    <row r="244" spans="1:53" x14ac:dyDescent="0.3">
      <c r="A244">
        <v>243</v>
      </c>
      <c r="B244" t="s">
        <v>1091</v>
      </c>
      <c r="C244" t="s">
        <v>1083</v>
      </c>
      <c r="D244" t="s">
        <v>1092</v>
      </c>
      <c r="E244" t="s">
        <v>1093</v>
      </c>
      <c r="F244" t="s">
        <v>108</v>
      </c>
      <c r="G244" t="s">
        <v>10</v>
      </c>
      <c r="H244">
        <v>0</v>
      </c>
      <c r="I244">
        <v>0</v>
      </c>
      <c r="J244" t="s">
        <v>1094</v>
      </c>
      <c r="L244" t="s">
        <v>191</v>
      </c>
      <c r="M244">
        <v>14</v>
      </c>
      <c r="N244">
        <v>18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 t="s">
        <v>112</v>
      </c>
      <c r="AN244" t="s">
        <v>192</v>
      </c>
      <c r="AP244">
        <f t="shared" si="6"/>
        <v>0.4</v>
      </c>
      <c r="AQ244">
        <v>0</v>
      </c>
      <c r="AR244">
        <v>0</v>
      </c>
      <c r="AT244" t="s">
        <v>113</v>
      </c>
      <c r="AU244">
        <v>0</v>
      </c>
      <c r="AY244">
        <f>IFERROR(MAX(IF(IF(AND(F244="能力",AL244="能力持续"),(参数!$B$2-1)*参数!$B$3,0)+M244*O244*参数!$B$5*IF(AND(F244="能力",AL244="能力持续"),参数!$B$2,1)+P244*参数!$B$6*IF(AND(F244="能力",AL244="能力持续"),参数!$B$2,1)+R244*参数!$B$7*IF(AND(F244="能力",AL244="能力持续"),参数!$B$2,1)+V244*参数!$B$8+IF(X244&lt;0,X244*参数!$B$13,X244*参数!$B$39)+IF(AE244&lt;0,AE244*参数!$B$13,AE244*参数!$B$12)*参数!$B$2+AQ244*参数!$B$15+AB244*参数!$B$11+AF244*参数!$B$40*参数!$B$2+AG244*参数!$B$44*参数!$B$2+AH244*参数!$B$6*参数!$B$2+AI244*参数!$B$39*参数!$B$2+AJ244*参数!$B$6*参数!$B$2+Z244*参数!$B$13-T244*参数!$B$14-AD244*参数!$B$13+IF(ISNUMBER(AU244),AU244*参数!$B$38,0)-AV244*参数!$B$41-AW244*参数!$B$14&gt;参数!$B$17,参数!$B$17+SQRT(IF(AND(F244="能力",AL244="能力持续"),(参数!$B$2-1)*参数!$B$3,0)+M244*O244*参数!$B$5*IF(AND(F244="能力",AL244="能力持续"),参数!$B$2,1)+P244*参数!$B$6*IF(AND(F244="能力",AL244="能力持续"),参数!$B$2,1)+R244*参数!$B$7*IF(AND(F244="能力",AL244="能力持续"),参数!$B$2,1)+V244*参数!$B$8+IF(X244&lt;0,X244*参数!$B$13,X244*参数!$B$39)+IF(AE244&lt;0,AE244*参数!$B$13,AE244*参数!$B$12)*参数!$B$2+AQ244*参数!$B$15+AB244*参数!$B$11+AF244*参数!$B$40*参数!$B$2+AG244*参数!$B$44*参数!$B$2+AH244*参数!$B$6*参数!$B$2+AI244*参数!$B$39*参数!$B$2+AJ244*参数!$B$6*参数!$B$2+Z244*参数!$B$13-T244*参数!$B$14-AD244*参数!$B$13+IF(ISNUMBER(AU244),AU244*参数!$B$38,0)-AV244*参数!$B$41-AW244*参数!$B$14-参数!$B$17)*参数!$B$18,IF(AND(F244="能力",AL244="能力持续"),(参数!$B$2-1)*参数!$B$3,0)+M244*O244*参数!$B$5*IF(AND(F244="能力",AL244="能力持续"),参数!$B$2,1)+P244*参数!$B$6*IF(AND(F244="能力",AL244="能力持续"),参数!$B$2,1)+R244*参数!$B$7*IF(AND(F244="能力",AL244="能力持续"),参数!$B$2,1)+V244*参数!$B$8+IF(X244&lt;0,X244*参数!$B$13,X244*参数!$B$39)+IF(AE244&lt;0,AE244*参数!$B$13,AE244*参数!$B$12)*参数!$B$2+AQ244*参数!$B$15+AB244*参数!$B$11+AF244*参数!$B$40*参数!$B$2+AG244*参数!$B$44*参数!$B$2+AH244*参数!$B$6*参数!$B$2+AI244*参数!$B$39*参数!$B$2+AJ244*参数!$B$6*参数!$B$2+Z244*参数!$B$13-T244*参数!$B$14-AD244*参数!$B$13+IF(ISNUMBER(AU244),AU244*参数!$B$38,0)-AV244*参数!$B$41-AW244*参数!$B$14),0),0)</f>
        <v>13</v>
      </c>
      <c r="AZ244">
        <f>AY244-MAX(AP244,0)*参数!$B$10</f>
        <v>11.8</v>
      </c>
      <c r="BA244">
        <f t="shared" si="7"/>
        <v>32.5</v>
      </c>
    </row>
    <row r="245" spans="1:53" x14ac:dyDescent="0.3">
      <c r="A245">
        <v>244</v>
      </c>
      <c r="B245" t="s">
        <v>1095</v>
      </c>
      <c r="C245" t="s">
        <v>1083</v>
      </c>
      <c r="D245" t="s">
        <v>1096</v>
      </c>
      <c r="E245" t="s">
        <v>1097</v>
      </c>
      <c r="F245" t="s">
        <v>108</v>
      </c>
      <c r="G245" t="s">
        <v>14</v>
      </c>
      <c r="H245">
        <v>1</v>
      </c>
      <c r="I245">
        <v>1</v>
      </c>
      <c r="J245" t="s">
        <v>1098</v>
      </c>
      <c r="L245" t="s">
        <v>111</v>
      </c>
      <c r="M245">
        <v>5</v>
      </c>
      <c r="N245">
        <v>7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 t="s">
        <v>112</v>
      </c>
      <c r="AN245" t="s">
        <v>161</v>
      </c>
      <c r="AP245">
        <f t="shared" si="6"/>
        <v>1</v>
      </c>
      <c r="AQ245">
        <v>0</v>
      </c>
      <c r="AR245">
        <v>0</v>
      </c>
      <c r="AT245" t="s">
        <v>113</v>
      </c>
      <c r="AU245">
        <v>0</v>
      </c>
      <c r="AY245">
        <f>IFERROR(MAX(IF(IF(AND(F245="能力",AL245="能力持续"),(参数!$B$2-1)*参数!$B$3,0)+M245*O245*参数!$B$5*IF(AND(F245="能力",AL245="能力持续"),参数!$B$2,1)+P245*参数!$B$6*IF(AND(F245="能力",AL245="能力持续"),参数!$B$2,1)+R245*参数!$B$7*IF(AND(F245="能力",AL245="能力持续"),参数!$B$2,1)+V245*参数!$B$8+IF(X245&lt;0,X245*参数!$B$13,X245*参数!$B$39)+IF(AE245&lt;0,AE245*参数!$B$13,AE245*参数!$B$12)*参数!$B$2+AQ245*参数!$B$15+AB245*参数!$B$11+AF245*参数!$B$40*参数!$B$2+AG245*参数!$B$44*参数!$B$2+AH245*参数!$B$6*参数!$B$2+AI245*参数!$B$39*参数!$B$2+AJ245*参数!$B$6*参数!$B$2+Z245*参数!$B$13-T245*参数!$B$14-AD245*参数!$B$13+IF(ISNUMBER(AU245),AU245*参数!$B$38,0)-AV245*参数!$B$41-AW245*参数!$B$14&gt;参数!$B$17,参数!$B$17+SQRT(IF(AND(F245="能力",AL245="能力持续"),(参数!$B$2-1)*参数!$B$3,0)+M245*O245*参数!$B$5*IF(AND(F245="能力",AL245="能力持续"),参数!$B$2,1)+P245*参数!$B$6*IF(AND(F245="能力",AL245="能力持续"),参数!$B$2,1)+R245*参数!$B$7*IF(AND(F245="能力",AL245="能力持续"),参数!$B$2,1)+V245*参数!$B$8+IF(X245&lt;0,X245*参数!$B$13,X245*参数!$B$39)+IF(AE245&lt;0,AE245*参数!$B$13,AE245*参数!$B$12)*参数!$B$2+AQ245*参数!$B$15+AB245*参数!$B$11+AF245*参数!$B$40*参数!$B$2+AG245*参数!$B$44*参数!$B$2+AH245*参数!$B$6*参数!$B$2+AI245*参数!$B$39*参数!$B$2+AJ245*参数!$B$6*参数!$B$2+Z245*参数!$B$13-T245*参数!$B$14-AD245*参数!$B$13+IF(ISNUMBER(AU245),AU245*参数!$B$38,0)-AV245*参数!$B$41-AW245*参数!$B$14-参数!$B$17)*参数!$B$18,IF(AND(F245="能力",AL245="能力持续"),(参数!$B$2-1)*参数!$B$3,0)+M245*O245*参数!$B$5*IF(AND(F245="能力",AL245="能力持续"),参数!$B$2,1)+P245*参数!$B$6*IF(AND(F245="能力",AL245="能力持续"),参数!$B$2,1)+R245*参数!$B$7*IF(AND(F245="能力",AL245="能力持续"),参数!$B$2,1)+V245*参数!$B$8+IF(X245&lt;0,X245*参数!$B$13,X245*参数!$B$39)+IF(AE245&lt;0,AE245*参数!$B$13,AE245*参数!$B$12)*参数!$B$2+AQ245*参数!$B$15+AB245*参数!$B$11+AF245*参数!$B$40*参数!$B$2+AG245*参数!$B$44*参数!$B$2+AH245*参数!$B$6*参数!$B$2+AI245*参数!$B$39*参数!$B$2+AJ245*参数!$B$6*参数!$B$2+Z245*参数!$B$13-T245*参数!$B$14-AD245*参数!$B$13+IF(ISNUMBER(AU245),AU245*参数!$B$38,0)-AV245*参数!$B$41-AW245*参数!$B$14),0),0)</f>
        <v>5</v>
      </c>
      <c r="AZ245">
        <f>AY245-MAX(AP245,0)*参数!$B$10</f>
        <v>2</v>
      </c>
      <c r="BA245">
        <f t="shared" si="7"/>
        <v>5</v>
      </c>
    </row>
    <row r="246" spans="1:53" x14ac:dyDescent="0.3">
      <c r="A246">
        <v>245</v>
      </c>
      <c r="B246" t="s">
        <v>1099</v>
      </c>
      <c r="C246" t="s">
        <v>1083</v>
      </c>
      <c r="D246" t="s">
        <v>1100</v>
      </c>
      <c r="E246" t="s">
        <v>1101</v>
      </c>
      <c r="F246" t="s">
        <v>108</v>
      </c>
      <c r="G246" t="s">
        <v>10</v>
      </c>
      <c r="H246">
        <v>1</v>
      </c>
      <c r="I246">
        <v>1</v>
      </c>
      <c r="J246" t="s">
        <v>1102</v>
      </c>
      <c r="L246" t="s">
        <v>111</v>
      </c>
      <c r="M246">
        <f>1*参数!$B$47</f>
        <v>8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112</v>
      </c>
      <c r="AP246">
        <f t="shared" si="6"/>
        <v>1</v>
      </c>
      <c r="AQ246">
        <v>0</v>
      </c>
      <c r="AR246">
        <v>0</v>
      </c>
      <c r="AT246" t="s">
        <v>113</v>
      </c>
      <c r="AU246">
        <v>0</v>
      </c>
      <c r="AY246">
        <f>IFERROR(MAX(IF(IF(AND(F246="能力",AL246="能力持续"),(参数!$B$2-1)*参数!$B$3,0)+M246*O246*参数!$B$5*IF(AND(F246="能力",AL246="能力持续"),参数!$B$2,1)+P246*参数!$B$6*IF(AND(F246="能力",AL246="能力持续"),参数!$B$2,1)+R246*参数!$B$7*IF(AND(F246="能力",AL246="能力持续"),参数!$B$2,1)+V246*参数!$B$8+IF(X246&lt;0,X246*参数!$B$13,X246*参数!$B$39)+IF(AE246&lt;0,AE246*参数!$B$13,AE246*参数!$B$12)*参数!$B$2+AQ246*参数!$B$15+AB246*参数!$B$11+AF246*参数!$B$40*参数!$B$2+AG246*参数!$B$44*参数!$B$2+AH246*参数!$B$6*参数!$B$2+AI246*参数!$B$39*参数!$B$2+AJ246*参数!$B$6*参数!$B$2+Z246*参数!$B$13-T246*参数!$B$14-AD246*参数!$B$13+IF(ISNUMBER(AU246),AU246*参数!$B$38,0)-AV246*参数!$B$41-AW246*参数!$B$14&gt;参数!$B$17,参数!$B$17+SQRT(IF(AND(F246="能力",AL246="能力持续"),(参数!$B$2-1)*参数!$B$3,0)+M246*O246*参数!$B$5*IF(AND(F246="能力",AL246="能力持续"),参数!$B$2,1)+P246*参数!$B$6*IF(AND(F246="能力",AL246="能力持续"),参数!$B$2,1)+R246*参数!$B$7*IF(AND(F246="能力",AL246="能力持续"),参数!$B$2,1)+V246*参数!$B$8+IF(X246&lt;0,X246*参数!$B$13,X246*参数!$B$39)+IF(AE246&lt;0,AE246*参数!$B$13,AE246*参数!$B$12)*参数!$B$2+AQ246*参数!$B$15+AB246*参数!$B$11+AF246*参数!$B$40*参数!$B$2+AG246*参数!$B$44*参数!$B$2+AH246*参数!$B$6*参数!$B$2+AI246*参数!$B$39*参数!$B$2+AJ246*参数!$B$6*参数!$B$2+Z246*参数!$B$13-T246*参数!$B$14-AD246*参数!$B$13+IF(ISNUMBER(AU246),AU246*参数!$B$38,0)-AV246*参数!$B$41-AW246*参数!$B$14-参数!$B$17)*参数!$B$18,IF(AND(F246="能力",AL246="能力持续"),(参数!$B$2-1)*参数!$B$3,0)+M246*O246*参数!$B$5*IF(AND(F246="能力",AL246="能力持续"),参数!$B$2,1)+P246*参数!$B$6*IF(AND(F246="能力",AL246="能力持续"),参数!$B$2,1)+R246*参数!$B$7*IF(AND(F246="能力",AL246="能力持续"),参数!$B$2,1)+V246*参数!$B$8+IF(X246&lt;0,X246*参数!$B$13,X246*参数!$B$39)+IF(AE246&lt;0,AE246*参数!$B$13,AE246*参数!$B$12)*参数!$B$2+AQ246*参数!$B$15+AB246*参数!$B$11+AF246*参数!$B$40*参数!$B$2+AG246*参数!$B$44*参数!$B$2+AH246*参数!$B$6*参数!$B$2+AI246*参数!$B$39*参数!$B$2+AJ246*参数!$B$6*参数!$B$2+Z246*参数!$B$13-T246*参数!$B$14-AD246*参数!$B$13+IF(ISNUMBER(AU246),AU246*参数!$B$38,0)-AV246*参数!$B$41-AW246*参数!$B$14),0),0)</f>
        <v>8</v>
      </c>
      <c r="AZ246">
        <f>AY246-MAX(AP246,0)*参数!$B$10</f>
        <v>5</v>
      </c>
      <c r="BA246">
        <f t="shared" si="7"/>
        <v>8</v>
      </c>
    </row>
    <row r="247" spans="1:53" x14ac:dyDescent="0.3">
      <c r="A247">
        <v>246</v>
      </c>
      <c r="B247" t="s">
        <v>1103</v>
      </c>
      <c r="C247" t="s">
        <v>1083</v>
      </c>
      <c r="D247" t="s">
        <v>1104</v>
      </c>
      <c r="E247" t="s">
        <v>1105</v>
      </c>
      <c r="F247" t="s">
        <v>117</v>
      </c>
      <c r="G247" t="s">
        <v>14</v>
      </c>
      <c r="H247">
        <v>0</v>
      </c>
      <c r="I247">
        <v>0</v>
      </c>
      <c r="J247" t="s">
        <v>1106</v>
      </c>
      <c r="K247" t="s">
        <v>472</v>
      </c>
      <c r="L247" t="s">
        <v>111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t="s">
        <v>112</v>
      </c>
      <c r="AO247" t="s">
        <v>472</v>
      </c>
      <c r="AP247">
        <f t="shared" si="6"/>
        <v>0.4</v>
      </c>
      <c r="AQ247">
        <v>0</v>
      </c>
      <c r="AR247">
        <v>0</v>
      </c>
      <c r="AT247" t="s">
        <v>113</v>
      </c>
      <c r="AU247">
        <v>0</v>
      </c>
      <c r="AY247">
        <f>IFERROR(MAX(IF(IF(AND(F247="能力",AL247="能力持续"),(参数!$B$2-1)*参数!$B$3,0)+M247*O247*参数!$B$5*IF(AND(F247="能力",AL247="能力持续"),参数!$B$2,1)+P247*参数!$B$6*IF(AND(F247="能力",AL247="能力持续"),参数!$B$2,1)+R247*参数!$B$7*IF(AND(F247="能力",AL247="能力持续"),参数!$B$2,1)+V247*参数!$B$8+IF(X247&lt;0,X247*参数!$B$13,X247*参数!$B$39)+IF(AE247&lt;0,AE247*参数!$B$13,AE247*参数!$B$12)*参数!$B$2+AQ247*参数!$B$15+AB247*参数!$B$11+AF247*参数!$B$40*参数!$B$2+AG247*参数!$B$44*参数!$B$2+AH247*参数!$B$6*参数!$B$2+AI247*参数!$B$39*参数!$B$2+AJ247*参数!$B$6*参数!$B$2+Z247*参数!$B$13-T247*参数!$B$14-AD247*参数!$B$13+IF(ISNUMBER(AU247),AU247*参数!$B$38,0)-AV247*参数!$B$41-AW247*参数!$B$14&gt;参数!$B$17,参数!$B$17+SQRT(IF(AND(F247="能力",AL247="能力持续"),(参数!$B$2-1)*参数!$B$3,0)+M247*O247*参数!$B$5*IF(AND(F247="能力",AL247="能力持续"),参数!$B$2,1)+P247*参数!$B$6*IF(AND(F247="能力",AL247="能力持续"),参数!$B$2,1)+R247*参数!$B$7*IF(AND(F247="能力",AL247="能力持续"),参数!$B$2,1)+V247*参数!$B$8+IF(X247&lt;0,X247*参数!$B$13,X247*参数!$B$39)+IF(AE247&lt;0,AE247*参数!$B$13,AE247*参数!$B$12)*参数!$B$2+AQ247*参数!$B$15+AB247*参数!$B$11+AF247*参数!$B$40*参数!$B$2+AG247*参数!$B$44*参数!$B$2+AH247*参数!$B$6*参数!$B$2+AI247*参数!$B$39*参数!$B$2+AJ247*参数!$B$6*参数!$B$2+Z247*参数!$B$13-T247*参数!$B$14-AD247*参数!$B$13+IF(ISNUMBER(AU247),AU247*参数!$B$38,0)-AV247*参数!$B$41-AW247*参数!$B$14-参数!$B$17)*参数!$B$18,IF(AND(F247="能力",AL247="能力持续"),(参数!$B$2-1)*参数!$B$3,0)+M247*O247*参数!$B$5*IF(AND(F247="能力",AL247="能力持续"),参数!$B$2,1)+P247*参数!$B$6*IF(AND(F247="能力",AL247="能力持续"),参数!$B$2,1)+R247*参数!$B$7*IF(AND(F247="能力",AL247="能力持续"),参数!$B$2,1)+V247*参数!$B$8+IF(X247&lt;0,X247*参数!$B$13,X247*参数!$B$39)+IF(AE247&lt;0,AE247*参数!$B$13,AE247*参数!$B$12)*参数!$B$2+AQ247*参数!$B$15+AB247*参数!$B$11+AF247*参数!$B$40*参数!$B$2+AG247*参数!$B$44*参数!$B$2+AH247*参数!$B$6*参数!$B$2+AI247*参数!$B$39*参数!$B$2+AJ247*参数!$B$6*参数!$B$2+Z247*参数!$B$13-T247*参数!$B$14-AD247*参数!$B$13+IF(ISNUMBER(AU247),AU247*参数!$B$38,0)-AV247*参数!$B$41-AW247*参数!$B$14),0),0)</f>
        <v>5</v>
      </c>
      <c r="AZ247">
        <f>AY247-MAX(AP247,0)*参数!$B$10</f>
        <v>3.8</v>
      </c>
      <c r="BA247">
        <f t="shared" si="7"/>
        <v>12.5</v>
      </c>
    </row>
    <row r="248" spans="1:53" x14ac:dyDescent="0.3">
      <c r="A248">
        <v>247</v>
      </c>
      <c r="B248" t="s">
        <v>1107</v>
      </c>
      <c r="C248" t="s">
        <v>1083</v>
      </c>
      <c r="D248" t="s">
        <v>1108</v>
      </c>
      <c r="E248" t="s">
        <v>1109</v>
      </c>
      <c r="F248" t="s">
        <v>124</v>
      </c>
      <c r="G248" t="s">
        <v>12</v>
      </c>
      <c r="H248">
        <v>1</v>
      </c>
      <c r="I248">
        <v>1</v>
      </c>
      <c r="J248" t="s">
        <v>1110</v>
      </c>
      <c r="L248" t="s">
        <v>191</v>
      </c>
      <c r="M248">
        <v>3</v>
      </c>
      <c r="N248">
        <v>4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t="s">
        <v>112</v>
      </c>
      <c r="AL248" t="s">
        <v>127</v>
      </c>
      <c r="AN248" t="s">
        <v>322</v>
      </c>
      <c r="AP248">
        <f t="shared" si="6"/>
        <v>1</v>
      </c>
      <c r="AQ248">
        <v>0</v>
      </c>
      <c r="AR248">
        <v>0</v>
      </c>
      <c r="AT248" t="s">
        <v>113</v>
      </c>
      <c r="AU248">
        <v>0</v>
      </c>
      <c r="AY248">
        <f>IFERROR(MAX(IF(IF(AND(F248="能力",AL248="能力持续"),(参数!$B$2-1)*参数!$B$3,0)+M248*O248*参数!$B$5*IF(AND(F248="能力",AL248="能力持续"),参数!$B$2,1)+P248*参数!$B$6*IF(AND(F248="能力",AL248="能力持续"),参数!$B$2,1)+R248*参数!$B$7*IF(AND(F248="能力",AL248="能力持续"),参数!$B$2,1)+V248*参数!$B$8+IF(X248&lt;0,X248*参数!$B$13,X248*参数!$B$39)+IF(AE248&lt;0,AE248*参数!$B$13,AE248*参数!$B$12)*参数!$B$2+AQ248*参数!$B$15+AB248*参数!$B$11+AF248*参数!$B$40*参数!$B$2+AG248*参数!$B$44*参数!$B$2+AH248*参数!$B$6*参数!$B$2+AI248*参数!$B$39*参数!$B$2+AJ248*参数!$B$6*参数!$B$2+Z248*参数!$B$13-T248*参数!$B$14-AD248*参数!$B$13+IF(ISNUMBER(AU248),AU248*参数!$B$38,0)-AV248*参数!$B$41-AW248*参数!$B$14&gt;参数!$B$17,参数!$B$17+SQRT(IF(AND(F248="能力",AL248="能力持续"),(参数!$B$2-1)*参数!$B$3,0)+M248*O248*参数!$B$5*IF(AND(F248="能力",AL248="能力持续"),参数!$B$2,1)+P248*参数!$B$6*IF(AND(F248="能力",AL248="能力持续"),参数!$B$2,1)+R248*参数!$B$7*IF(AND(F248="能力",AL248="能力持续"),参数!$B$2,1)+V248*参数!$B$8+IF(X248&lt;0,X248*参数!$B$13,X248*参数!$B$39)+IF(AE248&lt;0,AE248*参数!$B$13,AE248*参数!$B$12)*参数!$B$2+AQ248*参数!$B$15+AB248*参数!$B$11+AF248*参数!$B$40*参数!$B$2+AG248*参数!$B$44*参数!$B$2+AH248*参数!$B$6*参数!$B$2+AI248*参数!$B$39*参数!$B$2+AJ248*参数!$B$6*参数!$B$2+Z248*参数!$B$13-T248*参数!$B$14-AD248*参数!$B$13+IF(ISNUMBER(AU248),AU248*参数!$B$38,0)-AV248*参数!$B$41-AW248*参数!$B$14-参数!$B$17)*参数!$B$18,IF(AND(F248="能力",AL248="能力持续"),(参数!$B$2-1)*参数!$B$3,0)+M248*O248*参数!$B$5*IF(AND(F248="能力",AL248="能力持续"),参数!$B$2,1)+P248*参数!$B$6*IF(AND(F248="能力",AL248="能力持续"),参数!$B$2,1)+R248*参数!$B$7*IF(AND(F248="能力",AL248="能力持续"),参数!$B$2,1)+V248*参数!$B$8+IF(X248&lt;0,X248*参数!$B$13,X248*参数!$B$39)+IF(AE248&lt;0,AE248*参数!$B$13,AE248*参数!$B$12)*参数!$B$2+AQ248*参数!$B$15+AB248*参数!$B$11+AF248*参数!$B$40*参数!$B$2+AG248*参数!$B$44*参数!$B$2+AH248*参数!$B$6*参数!$B$2+AI248*参数!$B$39*参数!$B$2+AJ248*参数!$B$6*参数!$B$2+Z248*参数!$B$13-T248*参数!$B$14-AD248*参数!$B$13+IF(ISNUMBER(AU248),AU248*参数!$B$38,0)-AV248*参数!$B$41-AW248*参数!$B$14),0),0)</f>
        <v>13.549647869859768</v>
      </c>
      <c r="AZ248">
        <f>AY248-MAX(AP248,0)*参数!$B$10</f>
        <v>10.549647869859768</v>
      </c>
      <c r="BA248">
        <f t="shared" si="7"/>
        <v>13.549647869859768</v>
      </c>
    </row>
    <row r="249" spans="1:53" x14ac:dyDescent="0.3">
      <c r="A249">
        <v>248</v>
      </c>
      <c r="B249" t="s">
        <v>1111</v>
      </c>
      <c r="C249" t="s">
        <v>1083</v>
      </c>
      <c r="D249" t="s">
        <v>1112</v>
      </c>
      <c r="E249" t="s">
        <v>1113</v>
      </c>
      <c r="F249" t="s">
        <v>108</v>
      </c>
      <c r="G249" t="s">
        <v>14</v>
      </c>
      <c r="H249">
        <v>3</v>
      </c>
      <c r="I249">
        <v>3</v>
      </c>
      <c r="J249" t="s">
        <v>1114</v>
      </c>
      <c r="K249" t="s">
        <v>182</v>
      </c>
      <c r="L249" t="s">
        <v>111</v>
      </c>
      <c r="M249">
        <v>18</v>
      </c>
      <c r="N249">
        <v>24</v>
      </c>
      <c r="O249">
        <f>参数!$B$2-2</f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112</v>
      </c>
      <c r="AO249" t="s">
        <v>182</v>
      </c>
      <c r="AP249">
        <f t="shared" si="6"/>
        <v>3</v>
      </c>
      <c r="AQ249">
        <v>0</v>
      </c>
      <c r="AR249">
        <v>0</v>
      </c>
      <c r="AT249" t="s">
        <v>113</v>
      </c>
      <c r="AU249">
        <v>0</v>
      </c>
      <c r="AY249">
        <f>IFERROR(MAX(IF(IF(AND(F249="能力",AL249="能力持续"),(参数!$B$2-1)*参数!$B$3,0)+M249*O249*参数!$B$5*IF(AND(F249="能力",AL249="能力持续"),参数!$B$2,1)+P249*参数!$B$6*IF(AND(F249="能力",AL249="能力持续"),参数!$B$2,1)+R249*参数!$B$7*IF(AND(F249="能力",AL249="能力持续"),参数!$B$2,1)+V249*参数!$B$8+IF(X249&lt;0,X249*参数!$B$13,X249*参数!$B$39)+IF(AE249&lt;0,AE249*参数!$B$13,AE249*参数!$B$12)*参数!$B$2+AQ249*参数!$B$15+AB249*参数!$B$11+AF249*参数!$B$40*参数!$B$2+AG249*参数!$B$44*参数!$B$2+AH249*参数!$B$6*参数!$B$2+AI249*参数!$B$39*参数!$B$2+AJ249*参数!$B$6*参数!$B$2+Z249*参数!$B$13-T249*参数!$B$14-AD249*参数!$B$13+IF(ISNUMBER(AU249),AU249*参数!$B$38,0)-AV249*参数!$B$41-AW249*参数!$B$14&gt;参数!$B$17,参数!$B$17+SQRT(IF(AND(F249="能力",AL249="能力持续"),(参数!$B$2-1)*参数!$B$3,0)+M249*O249*参数!$B$5*IF(AND(F249="能力",AL249="能力持续"),参数!$B$2,1)+P249*参数!$B$6*IF(AND(F249="能力",AL249="能力持续"),参数!$B$2,1)+R249*参数!$B$7*IF(AND(F249="能力",AL249="能力持续"),参数!$B$2,1)+V249*参数!$B$8+IF(X249&lt;0,X249*参数!$B$13,X249*参数!$B$39)+IF(AE249&lt;0,AE249*参数!$B$13,AE249*参数!$B$12)*参数!$B$2+AQ249*参数!$B$15+AB249*参数!$B$11+AF249*参数!$B$40*参数!$B$2+AG249*参数!$B$44*参数!$B$2+AH249*参数!$B$6*参数!$B$2+AI249*参数!$B$39*参数!$B$2+AJ249*参数!$B$6*参数!$B$2+Z249*参数!$B$13-T249*参数!$B$14-AD249*参数!$B$13+IF(ISNUMBER(AU249),AU249*参数!$B$38,0)-AV249*参数!$B$41-AW249*参数!$B$14-参数!$B$17)*参数!$B$18,IF(AND(F249="能力",AL249="能力持续"),(参数!$B$2-1)*参数!$B$3,0)+M249*O249*参数!$B$5*IF(AND(F249="能力",AL249="能力持续"),参数!$B$2,1)+P249*参数!$B$6*IF(AND(F249="能力",AL249="能力持续"),参数!$B$2,1)+R249*参数!$B$7*IF(AND(F249="能力",AL249="能力持续"),参数!$B$2,1)+V249*参数!$B$8+IF(X249&lt;0,X249*参数!$B$13,X249*参数!$B$39)+IF(AE249&lt;0,AE249*参数!$B$13,AE249*参数!$B$12)*参数!$B$2+AQ249*参数!$B$15+AB249*参数!$B$11+AF249*参数!$B$40*参数!$B$2+AG249*参数!$B$44*参数!$B$2+AH249*参数!$B$6*参数!$B$2+AI249*参数!$B$39*参数!$B$2+AJ249*参数!$B$6*参数!$B$2+Z249*参数!$B$13-T249*参数!$B$14-AD249*参数!$B$13+IF(ISNUMBER(AU249),AU249*参数!$B$38,0)-AV249*参数!$B$41-AW249*参数!$B$14),0),0)</f>
        <v>17.648529270389176</v>
      </c>
      <c r="AZ249">
        <f>AY249-MAX(AP249,0)*参数!$B$10</f>
        <v>8.6485292703891758</v>
      </c>
      <c r="BA249">
        <f t="shared" si="7"/>
        <v>5.8828430901297253</v>
      </c>
    </row>
    <row r="250" spans="1:53" x14ac:dyDescent="0.3">
      <c r="A250">
        <v>249</v>
      </c>
      <c r="B250" t="s">
        <v>1115</v>
      </c>
      <c r="C250" t="s">
        <v>1083</v>
      </c>
      <c r="D250" t="s">
        <v>148</v>
      </c>
      <c r="E250" t="s">
        <v>1116</v>
      </c>
      <c r="F250" t="s">
        <v>117</v>
      </c>
      <c r="G250" t="s">
        <v>12</v>
      </c>
      <c r="H250">
        <v>2</v>
      </c>
      <c r="I250">
        <v>2</v>
      </c>
      <c r="J250" t="s">
        <v>1117</v>
      </c>
      <c r="L250" t="s">
        <v>120</v>
      </c>
      <c r="M250">
        <v>0</v>
      </c>
      <c r="N250">
        <v>0</v>
      </c>
      <c r="O250">
        <v>1</v>
      </c>
      <c r="P250">
        <v>12</v>
      </c>
      <c r="Q250">
        <v>15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 t="s">
        <v>112</v>
      </c>
      <c r="AP250">
        <f t="shared" si="6"/>
        <v>2</v>
      </c>
      <c r="AQ250">
        <v>0</v>
      </c>
      <c r="AR250">
        <v>0</v>
      </c>
      <c r="AT250" t="s">
        <v>113</v>
      </c>
      <c r="AU250">
        <v>0</v>
      </c>
      <c r="AY250">
        <f>IFERROR(MAX(IF(IF(AND(F250="能力",AL250="能力持续"),(参数!$B$2-1)*参数!$B$3,0)+M250*O250*参数!$B$5*IF(AND(F250="能力",AL250="能力持续"),参数!$B$2,1)+P250*参数!$B$6*IF(AND(F250="能力",AL250="能力持续"),参数!$B$2,1)+R250*参数!$B$7*IF(AND(F250="能力",AL250="能力持续"),参数!$B$2,1)+V250*参数!$B$8+IF(X250&lt;0,X250*参数!$B$13,X250*参数!$B$39)+IF(AE250&lt;0,AE250*参数!$B$13,AE250*参数!$B$12)*参数!$B$2+AQ250*参数!$B$15+AB250*参数!$B$11+AF250*参数!$B$40*参数!$B$2+AG250*参数!$B$44*参数!$B$2+AH250*参数!$B$6*参数!$B$2+AI250*参数!$B$39*参数!$B$2+AJ250*参数!$B$6*参数!$B$2+Z250*参数!$B$13-T250*参数!$B$14-AD250*参数!$B$13+IF(ISNUMBER(AU250),AU250*参数!$B$38,0)-AV250*参数!$B$41-AW250*参数!$B$14&gt;参数!$B$17,参数!$B$17+SQRT(IF(AND(F250="能力",AL250="能力持续"),(参数!$B$2-1)*参数!$B$3,0)+M250*O250*参数!$B$5*IF(AND(F250="能力",AL250="能力持续"),参数!$B$2,1)+P250*参数!$B$6*IF(AND(F250="能力",AL250="能力持续"),参数!$B$2,1)+R250*参数!$B$7*IF(AND(F250="能力",AL250="能力持续"),参数!$B$2,1)+V250*参数!$B$8+IF(X250&lt;0,X250*参数!$B$13,X250*参数!$B$39)+IF(AE250&lt;0,AE250*参数!$B$13,AE250*参数!$B$12)*参数!$B$2+AQ250*参数!$B$15+AB250*参数!$B$11+AF250*参数!$B$40*参数!$B$2+AG250*参数!$B$44*参数!$B$2+AH250*参数!$B$6*参数!$B$2+AI250*参数!$B$39*参数!$B$2+AJ250*参数!$B$6*参数!$B$2+Z250*参数!$B$13-T250*参数!$B$14-AD250*参数!$B$13+IF(ISNUMBER(AU250),AU250*参数!$B$38,0)-AV250*参数!$B$41-AW250*参数!$B$14-参数!$B$17)*参数!$B$18,IF(AND(F250="能力",AL250="能力持续"),(参数!$B$2-1)*参数!$B$3,0)+M250*O250*参数!$B$5*IF(AND(F250="能力",AL250="能力持续"),参数!$B$2,1)+P250*参数!$B$6*IF(AND(F250="能力",AL250="能力持续"),参数!$B$2,1)+R250*参数!$B$7*IF(AND(F250="能力",AL250="能力持续"),参数!$B$2,1)+V250*参数!$B$8+IF(X250&lt;0,X250*参数!$B$13,X250*参数!$B$39)+IF(AE250&lt;0,AE250*参数!$B$13,AE250*参数!$B$12)*参数!$B$2+AQ250*参数!$B$15+AB250*参数!$B$11+AF250*参数!$B$40*参数!$B$2+AG250*参数!$B$44*参数!$B$2+AH250*参数!$B$6*参数!$B$2+AI250*参数!$B$39*参数!$B$2+AJ250*参数!$B$6*参数!$B$2+Z250*参数!$B$13-T250*参数!$B$14-AD250*参数!$B$13+IF(ISNUMBER(AU250),AU250*参数!$B$38,0)-AV250*参数!$B$41-AW250*参数!$B$14),0),0)</f>
        <v>12.683281572999748</v>
      </c>
      <c r="AZ250">
        <f>AY250-MAX(AP250,0)*参数!$B$10</f>
        <v>6.6832815729997481</v>
      </c>
      <c r="BA250">
        <f t="shared" si="7"/>
        <v>6.3416407864998741</v>
      </c>
    </row>
    <row r="251" spans="1:53" x14ac:dyDescent="0.3">
      <c r="A251">
        <v>250</v>
      </c>
      <c r="B251" t="s">
        <v>1118</v>
      </c>
      <c r="C251" t="s">
        <v>1083</v>
      </c>
      <c r="D251" t="s">
        <v>1119</v>
      </c>
      <c r="E251" t="s">
        <v>1120</v>
      </c>
      <c r="F251" t="s">
        <v>117</v>
      </c>
      <c r="G251" t="s">
        <v>14</v>
      </c>
      <c r="H251">
        <v>1</v>
      </c>
      <c r="I251">
        <v>1</v>
      </c>
      <c r="J251" t="s">
        <v>1121</v>
      </c>
      <c r="L251" t="s">
        <v>120</v>
      </c>
      <c r="M251">
        <f>3*参数!$B$47</f>
        <v>24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 t="s">
        <v>112</v>
      </c>
      <c r="AP251">
        <f t="shared" si="6"/>
        <v>1</v>
      </c>
      <c r="AQ251">
        <v>0</v>
      </c>
      <c r="AR251">
        <v>0</v>
      </c>
      <c r="AT251" t="s">
        <v>113</v>
      </c>
      <c r="AU251">
        <v>0</v>
      </c>
      <c r="AY251">
        <f>IFERROR(MAX(IF(IF(AND(F251="能力",AL251="能力持续"),(参数!$B$2-1)*参数!$B$3,0)+M251*O251*参数!$B$5*IF(AND(F251="能力",AL251="能力持续"),参数!$B$2,1)+P251*参数!$B$6*IF(AND(F251="能力",AL251="能力持续"),参数!$B$2,1)+R251*参数!$B$7*IF(AND(F251="能力",AL251="能力持续"),参数!$B$2,1)+V251*参数!$B$8+IF(X251&lt;0,X251*参数!$B$13,X251*参数!$B$39)+IF(AE251&lt;0,AE251*参数!$B$13,AE251*参数!$B$12)*参数!$B$2+AQ251*参数!$B$15+AB251*参数!$B$11+AF251*参数!$B$40*参数!$B$2+AG251*参数!$B$44*参数!$B$2+AH251*参数!$B$6*参数!$B$2+AI251*参数!$B$39*参数!$B$2+AJ251*参数!$B$6*参数!$B$2+Z251*参数!$B$13-T251*参数!$B$14-AD251*参数!$B$13+IF(ISNUMBER(AU251),AU251*参数!$B$38,0)-AV251*参数!$B$41-AW251*参数!$B$14&gt;参数!$B$17,参数!$B$17+SQRT(IF(AND(F251="能力",AL251="能力持续"),(参数!$B$2-1)*参数!$B$3,0)+M251*O251*参数!$B$5*IF(AND(F251="能力",AL251="能力持续"),参数!$B$2,1)+P251*参数!$B$6*IF(AND(F251="能力",AL251="能力持续"),参数!$B$2,1)+R251*参数!$B$7*IF(AND(F251="能力",AL251="能力持续"),参数!$B$2,1)+V251*参数!$B$8+IF(X251&lt;0,X251*参数!$B$13,X251*参数!$B$39)+IF(AE251&lt;0,AE251*参数!$B$13,AE251*参数!$B$12)*参数!$B$2+AQ251*参数!$B$15+AB251*参数!$B$11+AF251*参数!$B$40*参数!$B$2+AG251*参数!$B$44*参数!$B$2+AH251*参数!$B$6*参数!$B$2+AI251*参数!$B$39*参数!$B$2+AJ251*参数!$B$6*参数!$B$2+Z251*参数!$B$13-T251*参数!$B$14-AD251*参数!$B$13+IF(ISNUMBER(AU251),AU251*参数!$B$38,0)-AV251*参数!$B$41-AW251*参数!$B$14-参数!$B$17)*参数!$B$18,IF(AND(F251="能力",AL251="能力持续"),(参数!$B$2-1)*参数!$B$3,0)+M251*O251*参数!$B$5*IF(AND(F251="能力",AL251="能力持续"),参数!$B$2,1)+P251*参数!$B$6*IF(AND(F251="能力",AL251="能力持续"),参数!$B$2,1)+R251*参数!$B$7*IF(AND(F251="能力",AL251="能力持续"),参数!$B$2,1)+V251*参数!$B$8+IF(X251&lt;0,X251*参数!$B$13,X251*参数!$B$39)+IF(AE251&lt;0,AE251*参数!$B$13,AE251*参数!$B$12)*参数!$B$2+AQ251*参数!$B$15+AB251*参数!$B$11+AF251*参数!$B$40*参数!$B$2+AG251*参数!$B$44*参数!$B$2+AH251*参数!$B$6*参数!$B$2+AI251*参数!$B$39*参数!$B$2+AJ251*参数!$B$6*参数!$B$2+Z251*参数!$B$13-T251*参数!$B$14-AD251*参数!$B$13+IF(ISNUMBER(AU251),AU251*参数!$B$38,0)-AV251*参数!$B$41-AW251*参数!$B$14),0),0)</f>
        <v>15.612486080160913</v>
      </c>
      <c r="AZ251">
        <f>AY251-MAX(AP251,0)*参数!$B$10</f>
        <v>12.612486080160913</v>
      </c>
      <c r="BA251">
        <f t="shared" si="7"/>
        <v>15.612486080160913</v>
      </c>
    </row>
    <row r="252" spans="1:53" x14ac:dyDescent="0.3">
      <c r="A252">
        <v>251</v>
      </c>
      <c r="B252" t="s">
        <v>1122</v>
      </c>
      <c r="C252" t="s">
        <v>1083</v>
      </c>
      <c r="D252" t="s">
        <v>1123</v>
      </c>
      <c r="E252" t="s">
        <v>1124</v>
      </c>
      <c r="F252" t="s">
        <v>108</v>
      </c>
      <c r="G252" t="s">
        <v>10</v>
      </c>
      <c r="H252">
        <v>2</v>
      </c>
      <c r="I252">
        <v>2</v>
      </c>
      <c r="J252" t="s">
        <v>1125</v>
      </c>
      <c r="L252" t="s">
        <v>111</v>
      </c>
      <c r="M252">
        <v>6</v>
      </c>
      <c r="N252">
        <v>6</v>
      </c>
      <c r="O252">
        <v>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 t="s">
        <v>112</v>
      </c>
      <c r="AP252">
        <f t="shared" si="6"/>
        <v>2</v>
      </c>
      <c r="AQ252">
        <v>0</v>
      </c>
      <c r="AR252">
        <v>0</v>
      </c>
      <c r="AT252" t="s">
        <v>113</v>
      </c>
      <c r="AU252">
        <v>0</v>
      </c>
      <c r="AY252">
        <f>IFERROR(MAX(IF(IF(AND(F252="能力",AL252="能力持续"),(参数!$B$2-1)*参数!$B$3,0)+M252*O252*参数!$B$5*IF(AND(F252="能力",AL252="能力持续"),参数!$B$2,1)+P252*参数!$B$6*IF(AND(F252="能力",AL252="能力持续"),参数!$B$2,1)+R252*参数!$B$7*IF(AND(F252="能力",AL252="能力持续"),参数!$B$2,1)+V252*参数!$B$8+IF(X252&lt;0,X252*参数!$B$13,X252*参数!$B$39)+IF(AE252&lt;0,AE252*参数!$B$13,AE252*参数!$B$12)*参数!$B$2+AQ252*参数!$B$15+AB252*参数!$B$11+AF252*参数!$B$40*参数!$B$2+AG252*参数!$B$44*参数!$B$2+AH252*参数!$B$6*参数!$B$2+AI252*参数!$B$39*参数!$B$2+AJ252*参数!$B$6*参数!$B$2+Z252*参数!$B$13-T252*参数!$B$14-AD252*参数!$B$13+IF(ISNUMBER(AU252),AU252*参数!$B$38,0)-AV252*参数!$B$41-AW252*参数!$B$14&gt;参数!$B$17,参数!$B$17+SQRT(IF(AND(F252="能力",AL252="能力持续"),(参数!$B$2-1)*参数!$B$3,0)+M252*O252*参数!$B$5*IF(AND(F252="能力",AL252="能力持续"),参数!$B$2,1)+P252*参数!$B$6*IF(AND(F252="能力",AL252="能力持续"),参数!$B$2,1)+R252*参数!$B$7*IF(AND(F252="能力",AL252="能力持续"),参数!$B$2,1)+V252*参数!$B$8+IF(X252&lt;0,X252*参数!$B$13,X252*参数!$B$39)+IF(AE252&lt;0,AE252*参数!$B$13,AE252*参数!$B$12)*参数!$B$2+AQ252*参数!$B$15+AB252*参数!$B$11+AF252*参数!$B$40*参数!$B$2+AG252*参数!$B$44*参数!$B$2+AH252*参数!$B$6*参数!$B$2+AI252*参数!$B$39*参数!$B$2+AJ252*参数!$B$6*参数!$B$2+Z252*参数!$B$13-T252*参数!$B$14-AD252*参数!$B$13+IF(ISNUMBER(AU252),AU252*参数!$B$38,0)-AV252*参数!$B$41-AW252*参数!$B$14-参数!$B$17)*参数!$B$18,IF(AND(F252="能力",AL252="能力持续"),(参数!$B$2-1)*参数!$B$3,0)+M252*O252*参数!$B$5*IF(AND(F252="能力",AL252="能力持续"),参数!$B$2,1)+P252*参数!$B$6*IF(AND(F252="能力",AL252="能力持续"),参数!$B$2,1)+R252*参数!$B$7*IF(AND(F252="能力",AL252="能力持续"),参数!$B$2,1)+V252*参数!$B$8+IF(X252&lt;0,X252*参数!$B$13,X252*参数!$B$39)+IF(AE252&lt;0,AE252*参数!$B$13,AE252*参数!$B$12)*参数!$B$2+AQ252*参数!$B$15+AB252*参数!$B$11+AF252*参数!$B$40*参数!$B$2+AG252*参数!$B$44*参数!$B$2+AH252*参数!$B$6*参数!$B$2+AI252*参数!$B$39*参数!$B$2+AJ252*参数!$B$6*参数!$B$2+Z252*参数!$B$13-T252*参数!$B$14-AD252*参数!$B$13+IF(ISNUMBER(AU252),AU252*参数!$B$38,0)-AV252*参数!$B$41-AW252*参数!$B$14),0),0)</f>
        <v>14.242640687119286</v>
      </c>
      <c r="AZ252">
        <f>AY252-MAX(AP252,0)*参数!$B$10</f>
        <v>8.2426406871192857</v>
      </c>
      <c r="BA252">
        <f t="shared" si="7"/>
        <v>7.1213203435596428</v>
      </c>
    </row>
    <row r="253" spans="1:53" x14ac:dyDescent="0.3">
      <c r="A253">
        <v>252</v>
      </c>
      <c r="B253" t="s">
        <v>1126</v>
      </c>
      <c r="C253" t="s">
        <v>1083</v>
      </c>
      <c r="D253" t="s">
        <v>1127</v>
      </c>
      <c r="E253" t="s">
        <v>1128</v>
      </c>
      <c r="F253" t="s">
        <v>117</v>
      </c>
      <c r="G253" t="s">
        <v>12</v>
      </c>
      <c r="H253">
        <v>1</v>
      </c>
      <c r="I253">
        <v>1</v>
      </c>
      <c r="J253" t="s">
        <v>1129</v>
      </c>
      <c r="L253" t="s">
        <v>111</v>
      </c>
      <c r="M253">
        <f>2*参数!$B$47</f>
        <v>16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 t="s">
        <v>112</v>
      </c>
      <c r="AP253">
        <f t="shared" si="6"/>
        <v>1</v>
      </c>
      <c r="AQ253">
        <v>0</v>
      </c>
      <c r="AR253">
        <v>0</v>
      </c>
      <c r="AT253" t="s">
        <v>113</v>
      </c>
      <c r="AU253">
        <v>0</v>
      </c>
      <c r="AY253">
        <f>IFERROR(MAX(IF(IF(AND(F253="能力",AL253="能力持续"),(参数!$B$2-1)*参数!$B$3,0)+M253*O253*参数!$B$5*IF(AND(F253="能力",AL253="能力持续"),参数!$B$2,1)+P253*参数!$B$6*IF(AND(F253="能力",AL253="能力持续"),参数!$B$2,1)+R253*参数!$B$7*IF(AND(F253="能力",AL253="能力持续"),参数!$B$2,1)+V253*参数!$B$8+IF(X253&lt;0,X253*参数!$B$13,X253*参数!$B$39)+IF(AE253&lt;0,AE253*参数!$B$13,AE253*参数!$B$12)*参数!$B$2+AQ253*参数!$B$15+AB253*参数!$B$11+AF253*参数!$B$40*参数!$B$2+AG253*参数!$B$44*参数!$B$2+AH253*参数!$B$6*参数!$B$2+AI253*参数!$B$39*参数!$B$2+AJ253*参数!$B$6*参数!$B$2+Z253*参数!$B$13-T253*参数!$B$14-AD253*参数!$B$13+IF(ISNUMBER(AU253),AU253*参数!$B$38,0)-AV253*参数!$B$41-AW253*参数!$B$14&gt;参数!$B$17,参数!$B$17+SQRT(IF(AND(F253="能力",AL253="能力持续"),(参数!$B$2-1)*参数!$B$3,0)+M253*O253*参数!$B$5*IF(AND(F253="能力",AL253="能力持续"),参数!$B$2,1)+P253*参数!$B$6*IF(AND(F253="能力",AL253="能力持续"),参数!$B$2,1)+R253*参数!$B$7*IF(AND(F253="能力",AL253="能力持续"),参数!$B$2,1)+V253*参数!$B$8+IF(X253&lt;0,X253*参数!$B$13,X253*参数!$B$39)+IF(AE253&lt;0,AE253*参数!$B$13,AE253*参数!$B$12)*参数!$B$2+AQ253*参数!$B$15+AB253*参数!$B$11+AF253*参数!$B$40*参数!$B$2+AG253*参数!$B$44*参数!$B$2+AH253*参数!$B$6*参数!$B$2+AI253*参数!$B$39*参数!$B$2+AJ253*参数!$B$6*参数!$B$2+Z253*参数!$B$13-T253*参数!$B$14-AD253*参数!$B$13+IF(ISNUMBER(AU253),AU253*参数!$B$38,0)-AV253*参数!$B$41-AW253*参数!$B$14-参数!$B$17)*参数!$B$18,IF(AND(F253="能力",AL253="能力持续"),(参数!$B$2-1)*参数!$B$3,0)+M253*O253*参数!$B$5*IF(AND(F253="能力",AL253="能力持续"),参数!$B$2,1)+P253*参数!$B$6*IF(AND(F253="能力",AL253="能力持续"),参数!$B$2,1)+R253*参数!$B$7*IF(AND(F253="能力",AL253="能力持续"),参数!$B$2,1)+V253*参数!$B$8+IF(X253&lt;0,X253*参数!$B$13,X253*参数!$B$39)+IF(AE253&lt;0,AE253*参数!$B$13,AE253*参数!$B$12)*参数!$B$2+AQ253*参数!$B$15+AB253*参数!$B$11+AF253*参数!$B$40*参数!$B$2+AG253*参数!$B$44*参数!$B$2+AH253*参数!$B$6*参数!$B$2+AI253*参数!$B$39*参数!$B$2+AJ253*参数!$B$6*参数!$B$2+Z253*参数!$B$13-T253*参数!$B$14-AD253*参数!$B$13+IF(ISNUMBER(AU253),AU253*参数!$B$38,0)-AV253*参数!$B$41-AW253*参数!$B$14),0),0)</f>
        <v>13.674234614174766</v>
      </c>
      <c r="AZ253">
        <f>AY253-MAX(AP253,0)*参数!$B$10</f>
        <v>10.674234614174766</v>
      </c>
      <c r="BA253">
        <f t="shared" si="7"/>
        <v>13.674234614174766</v>
      </c>
    </row>
    <row r="254" spans="1:53" x14ac:dyDescent="0.3">
      <c r="A254">
        <v>253</v>
      </c>
      <c r="B254" t="s">
        <v>1130</v>
      </c>
      <c r="C254" t="s">
        <v>1083</v>
      </c>
      <c r="D254" t="s">
        <v>1131</v>
      </c>
      <c r="E254" t="s">
        <v>1132</v>
      </c>
      <c r="F254" t="s">
        <v>124</v>
      </c>
      <c r="G254" t="s">
        <v>12</v>
      </c>
      <c r="H254">
        <v>1</v>
      </c>
      <c r="I254">
        <v>1</v>
      </c>
      <c r="J254" t="s">
        <v>1133</v>
      </c>
      <c r="L254" t="s">
        <v>120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 t="s">
        <v>112</v>
      </c>
      <c r="AL254" t="s">
        <v>127</v>
      </c>
      <c r="AN254" t="s">
        <v>124</v>
      </c>
      <c r="AP254">
        <f t="shared" si="6"/>
        <v>1</v>
      </c>
      <c r="AQ254">
        <v>0</v>
      </c>
      <c r="AR254">
        <v>0</v>
      </c>
      <c r="AT254" t="s">
        <v>113</v>
      </c>
      <c r="AU254">
        <v>0</v>
      </c>
      <c r="AY254">
        <f>IFERROR(MAX(IF(IF(AND(F254="能力",AL254="能力持续"),(参数!$B$2-1)*参数!$B$3,0)+M254*O254*参数!$B$5*IF(AND(F254="能力",AL254="能力持续"),参数!$B$2,1)+P254*参数!$B$6*IF(AND(F254="能力",AL254="能力持续"),参数!$B$2,1)+R254*参数!$B$7*IF(AND(F254="能力",AL254="能力持续"),参数!$B$2,1)+V254*参数!$B$8+IF(X254&lt;0,X254*参数!$B$13,X254*参数!$B$39)+IF(AE254&lt;0,AE254*参数!$B$13,AE254*参数!$B$12)*参数!$B$2+AQ254*参数!$B$15+AB254*参数!$B$11+AF254*参数!$B$40*参数!$B$2+AG254*参数!$B$44*参数!$B$2+AH254*参数!$B$6*参数!$B$2+AI254*参数!$B$39*参数!$B$2+AJ254*参数!$B$6*参数!$B$2+Z254*参数!$B$13-T254*参数!$B$14-AD254*参数!$B$13+IF(ISNUMBER(AU254),AU254*参数!$B$38,0)-AV254*参数!$B$41-AW254*参数!$B$14&gt;参数!$B$17,参数!$B$17+SQRT(IF(AND(F254="能力",AL254="能力持续"),(参数!$B$2-1)*参数!$B$3,0)+M254*O254*参数!$B$5*IF(AND(F254="能力",AL254="能力持续"),参数!$B$2,1)+P254*参数!$B$6*IF(AND(F254="能力",AL254="能力持续"),参数!$B$2,1)+R254*参数!$B$7*IF(AND(F254="能力",AL254="能力持续"),参数!$B$2,1)+V254*参数!$B$8+IF(X254&lt;0,X254*参数!$B$13,X254*参数!$B$39)+IF(AE254&lt;0,AE254*参数!$B$13,AE254*参数!$B$12)*参数!$B$2+AQ254*参数!$B$15+AB254*参数!$B$11+AF254*参数!$B$40*参数!$B$2+AG254*参数!$B$44*参数!$B$2+AH254*参数!$B$6*参数!$B$2+AI254*参数!$B$39*参数!$B$2+AJ254*参数!$B$6*参数!$B$2+Z254*参数!$B$13-T254*参数!$B$14-AD254*参数!$B$13+IF(ISNUMBER(AU254),AU254*参数!$B$38,0)-AV254*参数!$B$41-AW254*参数!$B$14-参数!$B$17)*参数!$B$18,IF(AND(F254="能力",AL254="能力持续"),(参数!$B$2-1)*参数!$B$3,0)+M254*O254*参数!$B$5*IF(AND(F254="能力",AL254="能力持续"),参数!$B$2,1)+P254*参数!$B$6*IF(AND(F254="能力",AL254="能力持续"),参数!$B$2,1)+R254*参数!$B$7*IF(AND(F254="能力",AL254="能力持续"),参数!$B$2,1)+V254*参数!$B$8+IF(X254&lt;0,X254*参数!$B$13,X254*参数!$B$39)+IF(AE254&lt;0,AE254*参数!$B$13,AE254*参数!$B$12)*参数!$B$2+AQ254*参数!$B$15+AB254*参数!$B$11+AF254*参数!$B$40*参数!$B$2+AG254*参数!$B$44*参数!$B$2+AH254*参数!$B$6*参数!$B$2+AI254*参数!$B$39*参数!$B$2+AJ254*参数!$B$6*参数!$B$2+Z254*参数!$B$13-T254*参数!$B$14-AD254*参数!$B$13+IF(ISNUMBER(AU254),AU254*参数!$B$38,0)-AV254*参数!$B$41-AW254*参数!$B$14),0),0)</f>
        <v>3.5999999999999996</v>
      </c>
      <c r="AZ254">
        <f>AY254-MAX(AP254,0)*参数!$B$10</f>
        <v>0.59999999999999964</v>
      </c>
      <c r="BA254">
        <f t="shared" si="7"/>
        <v>3.5999999999999996</v>
      </c>
    </row>
    <row r="255" spans="1:53" x14ac:dyDescent="0.3">
      <c r="A255">
        <v>254</v>
      </c>
      <c r="B255" t="s">
        <v>1134</v>
      </c>
      <c r="C255" t="s">
        <v>1083</v>
      </c>
      <c r="D255" t="s">
        <v>1135</v>
      </c>
      <c r="E255" t="s">
        <v>1136</v>
      </c>
      <c r="F255" t="s">
        <v>117</v>
      </c>
      <c r="G255" t="s">
        <v>10</v>
      </c>
      <c r="H255">
        <v>0</v>
      </c>
      <c r="I255">
        <v>0</v>
      </c>
      <c r="J255" t="s">
        <v>1137</v>
      </c>
      <c r="L255" t="s">
        <v>120</v>
      </c>
      <c r="M255">
        <v>0</v>
      </c>
      <c r="N255">
        <v>0</v>
      </c>
      <c r="O255">
        <v>1</v>
      </c>
      <c r="P255">
        <v>7</v>
      </c>
      <c r="Q255">
        <v>10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-1</v>
      </c>
      <c r="Y255">
        <v>-1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t="s">
        <v>112</v>
      </c>
      <c r="AP255">
        <f t="shared" si="6"/>
        <v>0.4</v>
      </c>
      <c r="AQ255">
        <v>0</v>
      </c>
      <c r="AR255">
        <v>0</v>
      </c>
      <c r="AT255" t="s">
        <v>113</v>
      </c>
      <c r="AU255">
        <v>0</v>
      </c>
      <c r="AY255">
        <f>IFERROR(MAX(IF(IF(AND(F255="能力",AL255="能力持续"),(参数!$B$2-1)*参数!$B$3,0)+M255*O255*参数!$B$5*IF(AND(F255="能力",AL255="能力持续"),参数!$B$2,1)+P255*参数!$B$6*IF(AND(F255="能力",AL255="能力持续"),参数!$B$2,1)+R255*参数!$B$7*IF(AND(F255="能力",AL255="能力持续"),参数!$B$2,1)+V255*参数!$B$8+IF(X255&lt;0,X255*参数!$B$13,X255*参数!$B$39)+IF(AE255&lt;0,AE255*参数!$B$13,AE255*参数!$B$12)*参数!$B$2+AQ255*参数!$B$15+AB255*参数!$B$11+AF255*参数!$B$40*参数!$B$2+AG255*参数!$B$44*参数!$B$2+AH255*参数!$B$6*参数!$B$2+AI255*参数!$B$39*参数!$B$2+AJ255*参数!$B$6*参数!$B$2+Z255*参数!$B$13-T255*参数!$B$14-AD255*参数!$B$13+IF(ISNUMBER(AU255),AU255*参数!$B$38,0)-AV255*参数!$B$41-AW255*参数!$B$14&gt;参数!$B$17,参数!$B$17+SQRT(IF(AND(F255="能力",AL255="能力持续"),(参数!$B$2-1)*参数!$B$3,0)+M255*O255*参数!$B$5*IF(AND(F255="能力",AL255="能力持续"),参数!$B$2,1)+P255*参数!$B$6*IF(AND(F255="能力",AL255="能力持续"),参数!$B$2,1)+R255*参数!$B$7*IF(AND(F255="能力",AL255="能力持续"),参数!$B$2,1)+V255*参数!$B$8+IF(X255&lt;0,X255*参数!$B$13,X255*参数!$B$39)+IF(AE255&lt;0,AE255*参数!$B$13,AE255*参数!$B$12)*参数!$B$2+AQ255*参数!$B$15+AB255*参数!$B$11+AF255*参数!$B$40*参数!$B$2+AG255*参数!$B$44*参数!$B$2+AH255*参数!$B$6*参数!$B$2+AI255*参数!$B$39*参数!$B$2+AJ255*参数!$B$6*参数!$B$2+Z255*参数!$B$13-T255*参数!$B$14-AD255*参数!$B$13+IF(ISNUMBER(AU255),AU255*参数!$B$38,0)-AV255*参数!$B$41-AW255*参数!$B$14-参数!$B$17)*参数!$B$18,IF(AND(F255="能力",AL255="能力持续"),(参数!$B$2-1)*参数!$B$3,0)+M255*O255*参数!$B$5*IF(AND(F255="能力",AL255="能力持续"),参数!$B$2,1)+P255*参数!$B$6*IF(AND(F255="能力",AL255="能力持续"),参数!$B$2,1)+R255*参数!$B$7*IF(AND(F255="能力",AL255="能力持续"),参数!$B$2,1)+V255*参数!$B$8+IF(X255&lt;0,X255*参数!$B$13,X255*参数!$B$39)+IF(AE255&lt;0,AE255*参数!$B$13,AE255*参数!$B$12)*参数!$B$2+AQ255*参数!$B$15+AB255*参数!$B$11+AF255*参数!$B$40*参数!$B$2+AG255*参数!$B$44*参数!$B$2+AH255*参数!$B$6*参数!$B$2+AI255*参数!$B$39*参数!$B$2+AJ255*参数!$B$6*参数!$B$2+Z255*参数!$B$13-T255*参数!$B$14-AD255*参数!$B$13+IF(ISNUMBER(AU255),AU255*参数!$B$38,0)-AV255*参数!$B$41-AW255*参数!$B$14),0),0)</f>
        <v>6.2000000000000011</v>
      </c>
      <c r="AZ255">
        <f>AY255-MAX(AP255,0)*参数!$B$10</f>
        <v>5.0000000000000009</v>
      </c>
      <c r="BA255">
        <f t="shared" si="7"/>
        <v>15.500000000000002</v>
      </c>
    </row>
    <row r="256" spans="1:53" x14ac:dyDescent="0.3">
      <c r="A256">
        <v>255</v>
      </c>
      <c r="B256" t="s">
        <v>1138</v>
      </c>
      <c r="C256" t="s">
        <v>1083</v>
      </c>
      <c r="D256" t="s">
        <v>1139</v>
      </c>
      <c r="E256" t="s">
        <v>1140</v>
      </c>
      <c r="F256" t="s">
        <v>108</v>
      </c>
      <c r="G256" t="s">
        <v>10</v>
      </c>
      <c r="H256">
        <v>0</v>
      </c>
      <c r="I256">
        <v>0</v>
      </c>
      <c r="J256" t="s">
        <v>1141</v>
      </c>
      <c r="L256" t="s">
        <v>111</v>
      </c>
      <c r="M256">
        <v>11</v>
      </c>
      <c r="N256">
        <v>15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t="s">
        <v>112</v>
      </c>
      <c r="AP256">
        <f t="shared" si="6"/>
        <v>0.4</v>
      </c>
      <c r="AQ256">
        <v>0</v>
      </c>
      <c r="AR256">
        <v>0</v>
      </c>
      <c r="AT256" t="s">
        <v>113</v>
      </c>
      <c r="AU256">
        <v>0</v>
      </c>
      <c r="AY256">
        <f>IFERROR(MAX(IF(IF(AND(F256="能力",AL256="能力持续"),(参数!$B$2-1)*参数!$B$3,0)+M256*O256*参数!$B$5*IF(AND(F256="能力",AL256="能力持续"),参数!$B$2,1)+P256*参数!$B$6*IF(AND(F256="能力",AL256="能力持续"),参数!$B$2,1)+R256*参数!$B$7*IF(AND(F256="能力",AL256="能力持续"),参数!$B$2,1)+V256*参数!$B$8+IF(X256&lt;0,X256*参数!$B$13,X256*参数!$B$39)+IF(AE256&lt;0,AE256*参数!$B$13,AE256*参数!$B$12)*参数!$B$2+AQ256*参数!$B$15+AB256*参数!$B$11+AF256*参数!$B$40*参数!$B$2+AG256*参数!$B$44*参数!$B$2+AH256*参数!$B$6*参数!$B$2+AI256*参数!$B$39*参数!$B$2+AJ256*参数!$B$6*参数!$B$2+Z256*参数!$B$13-T256*参数!$B$14-AD256*参数!$B$13+IF(ISNUMBER(AU256),AU256*参数!$B$38,0)-AV256*参数!$B$41-AW256*参数!$B$14&gt;参数!$B$17,参数!$B$17+SQRT(IF(AND(F256="能力",AL256="能力持续"),(参数!$B$2-1)*参数!$B$3,0)+M256*O256*参数!$B$5*IF(AND(F256="能力",AL256="能力持续"),参数!$B$2,1)+P256*参数!$B$6*IF(AND(F256="能力",AL256="能力持续"),参数!$B$2,1)+R256*参数!$B$7*IF(AND(F256="能力",AL256="能力持续"),参数!$B$2,1)+V256*参数!$B$8+IF(X256&lt;0,X256*参数!$B$13,X256*参数!$B$39)+IF(AE256&lt;0,AE256*参数!$B$13,AE256*参数!$B$12)*参数!$B$2+AQ256*参数!$B$15+AB256*参数!$B$11+AF256*参数!$B$40*参数!$B$2+AG256*参数!$B$44*参数!$B$2+AH256*参数!$B$6*参数!$B$2+AI256*参数!$B$39*参数!$B$2+AJ256*参数!$B$6*参数!$B$2+Z256*参数!$B$13-T256*参数!$B$14-AD256*参数!$B$13+IF(ISNUMBER(AU256),AU256*参数!$B$38,0)-AV256*参数!$B$41-AW256*参数!$B$14-参数!$B$17)*参数!$B$18,IF(AND(F256="能力",AL256="能力持续"),(参数!$B$2-1)*参数!$B$3,0)+M256*O256*参数!$B$5*IF(AND(F256="能力",AL256="能力持续"),参数!$B$2,1)+P256*参数!$B$6*IF(AND(F256="能力",AL256="能力持续"),参数!$B$2,1)+R256*参数!$B$7*IF(AND(F256="能力",AL256="能力持续"),参数!$B$2,1)+V256*参数!$B$8+IF(X256&lt;0,X256*参数!$B$13,X256*参数!$B$39)+IF(AE256&lt;0,AE256*参数!$B$13,AE256*参数!$B$12)*参数!$B$2+AQ256*参数!$B$15+AB256*参数!$B$11+AF256*参数!$B$40*参数!$B$2+AG256*参数!$B$44*参数!$B$2+AH256*参数!$B$6*参数!$B$2+AI256*参数!$B$39*参数!$B$2+AJ256*参数!$B$6*参数!$B$2+Z256*参数!$B$13-T256*参数!$B$14-AD256*参数!$B$13+IF(ISNUMBER(AU256),AU256*参数!$B$38,0)-AV256*参数!$B$41-AW256*参数!$B$14),0),0)</f>
        <v>11.5</v>
      </c>
      <c r="AZ256">
        <f>AY256-MAX(AP256,0)*参数!$B$10</f>
        <v>10.3</v>
      </c>
      <c r="BA256">
        <f t="shared" si="7"/>
        <v>28.75</v>
      </c>
    </row>
    <row r="257" spans="1:53" x14ac:dyDescent="0.3">
      <c r="A257">
        <v>256</v>
      </c>
      <c r="B257" t="s">
        <v>1142</v>
      </c>
      <c r="C257" t="s">
        <v>1083</v>
      </c>
      <c r="D257" t="s">
        <v>1143</v>
      </c>
      <c r="E257" t="s">
        <v>1144</v>
      </c>
      <c r="F257" t="s">
        <v>108</v>
      </c>
      <c r="G257" t="s">
        <v>14</v>
      </c>
      <c r="H257">
        <v>0</v>
      </c>
      <c r="I257">
        <v>0</v>
      </c>
      <c r="J257" t="s">
        <v>1145</v>
      </c>
      <c r="L257" t="s">
        <v>111</v>
      </c>
      <c r="M257">
        <v>33</v>
      </c>
      <c r="N257">
        <v>44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-5</v>
      </c>
      <c r="Y257">
        <v>-5</v>
      </c>
      <c r="Z257">
        <v>3</v>
      </c>
      <c r="AA257">
        <v>3</v>
      </c>
      <c r="AB257">
        <v>3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 t="s">
        <v>112</v>
      </c>
      <c r="AP257">
        <f t="shared" si="6"/>
        <v>0.4</v>
      </c>
      <c r="AQ257">
        <v>0</v>
      </c>
      <c r="AR257">
        <v>0</v>
      </c>
      <c r="AT257" t="s">
        <v>113</v>
      </c>
      <c r="AU257">
        <v>0</v>
      </c>
      <c r="AY257">
        <f>IFERROR(MAX(IF(IF(AND(F257="能力",AL257="能力持续"),(参数!$B$2-1)*参数!$B$3,0)+M257*O257*参数!$B$5*IF(AND(F257="能力",AL257="能力持续"),参数!$B$2,1)+P257*参数!$B$6*IF(AND(F257="能力",AL257="能力持续"),参数!$B$2,1)+R257*参数!$B$7*IF(AND(F257="能力",AL257="能力持续"),参数!$B$2,1)+V257*参数!$B$8+IF(X257&lt;0,X257*参数!$B$13,X257*参数!$B$39)+IF(AE257&lt;0,AE257*参数!$B$13,AE257*参数!$B$12)*参数!$B$2+AQ257*参数!$B$15+AB257*参数!$B$11+AF257*参数!$B$40*参数!$B$2+AG257*参数!$B$44*参数!$B$2+AH257*参数!$B$6*参数!$B$2+AI257*参数!$B$39*参数!$B$2+AJ257*参数!$B$6*参数!$B$2+Z257*参数!$B$13-T257*参数!$B$14-AD257*参数!$B$13+IF(ISNUMBER(AU257),AU257*参数!$B$38,0)-AV257*参数!$B$41-AW257*参数!$B$14&gt;参数!$B$17,参数!$B$17+SQRT(IF(AND(F257="能力",AL257="能力持续"),(参数!$B$2-1)*参数!$B$3,0)+M257*O257*参数!$B$5*IF(AND(F257="能力",AL257="能力持续"),参数!$B$2,1)+P257*参数!$B$6*IF(AND(F257="能力",AL257="能力持续"),参数!$B$2,1)+R257*参数!$B$7*IF(AND(F257="能力",AL257="能力持续"),参数!$B$2,1)+V257*参数!$B$8+IF(X257&lt;0,X257*参数!$B$13,X257*参数!$B$39)+IF(AE257&lt;0,AE257*参数!$B$13,AE257*参数!$B$12)*参数!$B$2+AQ257*参数!$B$15+AB257*参数!$B$11+AF257*参数!$B$40*参数!$B$2+AG257*参数!$B$44*参数!$B$2+AH257*参数!$B$6*参数!$B$2+AI257*参数!$B$39*参数!$B$2+AJ257*参数!$B$6*参数!$B$2+Z257*参数!$B$13-T257*参数!$B$14-AD257*参数!$B$13+IF(ISNUMBER(AU257),AU257*参数!$B$38,0)-AV257*参数!$B$41-AW257*参数!$B$14-参数!$B$17)*参数!$B$18,IF(AND(F257="能力",AL257="能力持续"),(参数!$B$2-1)*参数!$B$3,0)+M257*O257*参数!$B$5*IF(AND(F257="能力",AL257="能力持续"),参数!$B$2,1)+P257*参数!$B$6*IF(AND(F257="能力",AL257="能力持续"),参数!$B$2,1)+R257*参数!$B$7*IF(AND(F257="能力",AL257="能力持续"),参数!$B$2,1)+V257*参数!$B$8+IF(X257&lt;0,X257*参数!$B$13,X257*参数!$B$39)+IF(AE257&lt;0,AE257*参数!$B$13,AE257*参数!$B$12)*参数!$B$2+AQ257*参数!$B$15+AB257*参数!$B$11+AF257*参数!$B$40*参数!$B$2+AG257*参数!$B$44*参数!$B$2+AH257*参数!$B$6*参数!$B$2+AI257*参数!$B$39*参数!$B$2+AJ257*参数!$B$6*参数!$B$2+Z257*参数!$B$13-T257*参数!$B$14-AD257*参数!$B$13+IF(ISNUMBER(AU257),AU257*参数!$B$38,0)-AV257*参数!$B$41-AW257*参数!$B$14),0),0)</f>
        <v>17.33314393694819</v>
      </c>
      <c r="AZ257">
        <f>AY257-MAX(AP257,0)*参数!$B$10</f>
        <v>16.133143936948191</v>
      </c>
      <c r="BA257">
        <f t="shared" si="7"/>
        <v>43.332859842370475</v>
      </c>
    </row>
    <row r="258" spans="1:53" x14ac:dyDescent="0.3">
      <c r="A258">
        <v>257</v>
      </c>
      <c r="B258" t="s">
        <v>1146</v>
      </c>
      <c r="C258" t="s">
        <v>1083</v>
      </c>
      <c r="D258" t="s">
        <v>1147</v>
      </c>
      <c r="E258" t="s">
        <v>1148</v>
      </c>
      <c r="F258" t="s">
        <v>117</v>
      </c>
      <c r="G258" t="s">
        <v>12</v>
      </c>
      <c r="H258">
        <v>1</v>
      </c>
      <c r="I258">
        <v>1</v>
      </c>
      <c r="J258" t="s">
        <v>1149</v>
      </c>
      <c r="L258" t="s">
        <v>111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 t="s">
        <v>112</v>
      </c>
      <c r="AN258" t="s">
        <v>161</v>
      </c>
      <c r="AP258">
        <f t="shared" ref="AP258:AP321" si="8">IF(ISNUMBER(H258),IF(AND(H258=0,V258=0,AK258="none"),0.4,IF(AK258="exhaust",MAX(H258-V258,0.4),IF(AK258="ethereal",MAX(H258-V258,0.4),MAX(H258-V258,0.4)))),IF(AND(AK258="exhaust",OR(H258="X",H258="∞")),0.4,IF(OR(H258="X",H258="∞"),0.4,0.4)))</f>
        <v>1</v>
      </c>
      <c r="AQ258">
        <f>3*参数!$B$46</f>
        <v>2.4000000000000004</v>
      </c>
      <c r="AR258">
        <v>0</v>
      </c>
      <c r="AT258" t="s">
        <v>113</v>
      </c>
      <c r="AU258">
        <v>0</v>
      </c>
      <c r="AY258">
        <f>IFERROR(MAX(IF(IF(AND(F258="能力",AL258="能力持续"),(参数!$B$2-1)*参数!$B$3,0)+M258*O258*参数!$B$5*IF(AND(F258="能力",AL258="能力持续"),参数!$B$2,1)+P258*参数!$B$6*IF(AND(F258="能力",AL258="能力持续"),参数!$B$2,1)+R258*参数!$B$7*IF(AND(F258="能力",AL258="能力持续"),参数!$B$2,1)+V258*参数!$B$8+IF(X258&lt;0,X258*参数!$B$13,X258*参数!$B$39)+IF(AE258&lt;0,AE258*参数!$B$13,AE258*参数!$B$12)*参数!$B$2+AQ258*参数!$B$15+AB258*参数!$B$11+AF258*参数!$B$40*参数!$B$2+AG258*参数!$B$44*参数!$B$2+AH258*参数!$B$6*参数!$B$2+AI258*参数!$B$39*参数!$B$2+AJ258*参数!$B$6*参数!$B$2+Z258*参数!$B$13-T258*参数!$B$14-AD258*参数!$B$13+IF(ISNUMBER(AU258),AU258*参数!$B$38,0)-AV258*参数!$B$41-AW258*参数!$B$14&gt;参数!$B$17,参数!$B$17+SQRT(IF(AND(F258="能力",AL258="能力持续"),(参数!$B$2-1)*参数!$B$3,0)+M258*O258*参数!$B$5*IF(AND(F258="能力",AL258="能力持续"),参数!$B$2,1)+P258*参数!$B$6*IF(AND(F258="能力",AL258="能力持续"),参数!$B$2,1)+R258*参数!$B$7*IF(AND(F258="能力",AL258="能力持续"),参数!$B$2,1)+V258*参数!$B$8+IF(X258&lt;0,X258*参数!$B$13,X258*参数!$B$39)+IF(AE258&lt;0,AE258*参数!$B$13,AE258*参数!$B$12)*参数!$B$2+AQ258*参数!$B$15+AB258*参数!$B$11+AF258*参数!$B$40*参数!$B$2+AG258*参数!$B$44*参数!$B$2+AH258*参数!$B$6*参数!$B$2+AI258*参数!$B$39*参数!$B$2+AJ258*参数!$B$6*参数!$B$2+Z258*参数!$B$13-T258*参数!$B$14-AD258*参数!$B$13+IF(ISNUMBER(AU258),AU258*参数!$B$38,0)-AV258*参数!$B$41-AW258*参数!$B$14-参数!$B$17)*参数!$B$18,IF(AND(F258="能力",AL258="能力持续"),(参数!$B$2-1)*参数!$B$3,0)+M258*O258*参数!$B$5*IF(AND(F258="能力",AL258="能力持续"),参数!$B$2,1)+P258*参数!$B$6*IF(AND(F258="能力",AL258="能力持续"),参数!$B$2,1)+R258*参数!$B$7*IF(AND(F258="能力",AL258="能力持续"),参数!$B$2,1)+V258*参数!$B$8+IF(X258&lt;0,X258*参数!$B$13,X258*参数!$B$39)+IF(AE258&lt;0,AE258*参数!$B$13,AE258*参数!$B$12)*参数!$B$2+AQ258*参数!$B$15+AB258*参数!$B$11+AF258*参数!$B$40*参数!$B$2+AG258*参数!$B$44*参数!$B$2+AH258*参数!$B$6*参数!$B$2+AI258*参数!$B$39*参数!$B$2+AJ258*参数!$B$6*参数!$B$2+Z258*参数!$B$13-T258*参数!$B$14-AD258*参数!$B$13+IF(ISNUMBER(AU258),AU258*参数!$B$38,0)-AV258*参数!$B$41-AW258*参数!$B$14),0),0)</f>
        <v>7.2000000000000011</v>
      </c>
      <c r="AZ258">
        <f>AY258-MAX(AP258,0)*参数!$B$10</f>
        <v>4.2000000000000011</v>
      </c>
      <c r="BA258">
        <f t="shared" ref="BA258:BA321" si="9">IF(MAX(AP258,0)=0,AY258,AY258/MAX(AP258,0))</f>
        <v>7.2000000000000011</v>
      </c>
    </row>
    <row r="259" spans="1:53" x14ac:dyDescent="0.3">
      <c r="A259">
        <v>258</v>
      </c>
      <c r="B259" t="s">
        <v>1150</v>
      </c>
      <c r="C259" t="s">
        <v>1083</v>
      </c>
      <c r="D259" t="s">
        <v>1151</v>
      </c>
      <c r="E259" t="s">
        <v>1152</v>
      </c>
      <c r="F259" t="s">
        <v>117</v>
      </c>
      <c r="G259" t="s">
        <v>12</v>
      </c>
      <c r="H259">
        <v>1</v>
      </c>
      <c r="I259">
        <v>1</v>
      </c>
      <c r="J259" t="s">
        <v>1153</v>
      </c>
      <c r="L259" t="s">
        <v>111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 t="s">
        <v>112</v>
      </c>
      <c r="AN259" t="s">
        <v>161</v>
      </c>
      <c r="AP259">
        <f t="shared" si="8"/>
        <v>0.4</v>
      </c>
      <c r="AQ259">
        <v>0</v>
      </c>
      <c r="AR259">
        <v>0</v>
      </c>
      <c r="AT259" t="s">
        <v>113</v>
      </c>
      <c r="AU259">
        <v>0</v>
      </c>
      <c r="AY259">
        <f>IFERROR(MAX(IF(IF(AND(F259="能力",AL259="能力持续"),(参数!$B$2-1)*参数!$B$3,0)+M259*O259*参数!$B$5*IF(AND(F259="能力",AL259="能力持续"),参数!$B$2,1)+P259*参数!$B$6*IF(AND(F259="能力",AL259="能力持续"),参数!$B$2,1)+R259*参数!$B$7*IF(AND(F259="能力",AL259="能力持续"),参数!$B$2,1)+V259*参数!$B$8+IF(X259&lt;0,X259*参数!$B$13,X259*参数!$B$39)+IF(AE259&lt;0,AE259*参数!$B$13,AE259*参数!$B$12)*参数!$B$2+AQ259*参数!$B$15+AB259*参数!$B$11+AF259*参数!$B$40*参数!$B$2+AG259*参数!$B$44*参数!$B$2+AH259*参数!$B$6*参数!$B$2+AI259*参数!$B$39*参数!$B$2+AJ259*参数!$B$6*参数!$B$2+Z259*参数!$B$13-T259*参数!$B$14-AD259*参数!$B$13+IF(ISNUMBER(AU259),AU259*参数!$B$38,0)-AV259*参数!$B$41-AW259*参数!$B$14&gt;参数!$B$17,参数!$B$17+SQRT(IF(AND(F259="能力",AL259="能力持续"),(参数!$B$2-1)*参数!$B$3,0)+M259*O259*参数!$B$5*IF(AND(F259="能力",AL259="能力持续"),参数!$B$2,1)+P259*参数!$B$6*IF(AND(F259="能力",AL259="能力持续"),参数!$B$2,1)+R259*参数!$B$7*IF(AND(F259="能力",AL259="能力持续"),参数!$B$2,1)+V259*参数!$B$8+IF(X259&lt;0,X259*参数!$B$13,X259*参数!$B$39)+IF(AE259&lt;0,AE259*参数!$B$13,AE259*参数!$B$12)*参数!$B$2+AQ259*参数!$B$15+AB259*参数!$B$11+AF259*参数!$B$40*参数!$B$2+AG259*参数!$B$44*参数!$B$2+AH259*参数!$B$6*参数!$B$2+AI259*参数!$B$39*参数!$B$2+AJ259*参数!$B$6*参数!$B$2+Z259*参数!$B$13-T259*参数!$B$14-AD259*参数!$B$13+IF(ISNUMBER(AU259),AU259*参数!$B$38,0)-AV259*参数!$B$41-AW259*参数!$B$14-参数!$B$17)*参数!$B$18,IF(AND(F259="能力",AL259="能力持续"),(参数!$B$2-1)*参数!$B$3,0)+M259*O259*参数!$B$5*IF(AND(F259="能力",AL259="能力持续"),参数!$B$2,1)+P259*参数!$B$6*IF(AND(F259="能力",AL259="能力持续"),参数!$B$2,1)+R259*参数!$B$7*IF(AND(F259="能力",AL259="能力持续"),参数!$B$2,1)+V259*参数!$B$8+IF(X259&lt;0,X259*参数!$B$13,X259*参数!$B$39)+IF(AE259&lt;0,AE259*参数!$B$13,AE259*参数!$B$12)*参数!$B$2+AQ259*参数!$B$15+AB259*参数!$B$11+AF259*参数!$B$40*参数!$B$2+AG259*参数!$B$44*参数!$B$2+AH259*参数!$B$6*参数!$B$2+AI259*参数!$B$39*参数!$B$2+AJ259*参数!$B$6*参数!$B$2+Z259*参数!$B$13-T259*参数!$B$14-AD259*参数!$B$13+IF(ISNUMBER(AU259),AU259*参数!$B$38,0)-AV259*参数!$B$41-AW259*参数!$B$14),0),0)</f>
        <v>4.3</v>
      </c>
      <c r="AZ259">
        <f>AY259-MAX(AP259,0)*参数!$B$10</f>
        <v>3.0999999999999996</v>
      </c>
      <c r="BA259">
        <f t="shared" si="9"/>
        <v>10.749999999999998</v>
      </c>
    </row>
    <row r="260" spans="1:53" x14ac:dyDescent="0.3">
      <c r="A260">
        <v>259</v>
      </c>
      <c r="B260" t="s">
        <v>1154</v>
      </c>
      <c r="C260" t="s">
        <v>1083</v>
      </c>
      <c r="D260" t="s">
        <v>1155</v>
      </c>
      <c r="E260" t="s">
        <v>1156</v>
      </c>
      <c r="F260" t="s">
        <v>117</v>
      </c>
      <c r="G260" t="s">
        <v>10</v>
      </c>
      <c r="H260">
        <v>1</v>
      </c>
      <c r="I260">
        <v>1</v>
      </c>
      <c r="J260" t="s">
        <v>1157</v>
      </c>
      <c r="L260" t="s">
        <v>120</v>
      </c>
      <c r="M260">
        <v>0</v>
      </c>
      <c r="N260">
        <v>0</v>
      </c>
      <c r="O260">
        <v>1</v>
      </c>
      <c r="P260">
        <v>6</v>
      </c>
      <c r="Q260">
        <v>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t="s">
        <v>112</v>
      </c>
      <c r="AP260">
        <f t="shared" si="8"/>
        <v>1</v>
      </c>
      <c r="AQ260">
        <v>0</v>
      </c>
      <c r="AR260">
        <v>0</v>
      </c>
      <c r="AT260" t="s">
        <v>113</v>
      </c>
      <c r="AU260">
        <v>0</v>
      </c>
      <c r="AY260">
        <f>IFERROR(MAX(IF(IF(AND(F260="能力",AL260="能力持续"),(参数!$B$2-1)*参数!$B$3,0)+M260*O260*参数!$B$5*IF(AND(F260="能力",AL260="能力持续"),参数!$B$2,1)+P260*参数!$B$6*IF(AND(F260="能力",AL260="能力持续"),参数!$B$2,1)+R260*参数!$B$7*IF(AND(F260="能力",AL260="能力持续"),参数!$B$2,1)+V260*参数!$B$8+IF(X260&lt;0,X260*参数!$B$13,X260*参数!$B$39)+IF(AE260&lt;0,AE260*参数!$B$13,AE260*参数!$B$12)*参数!$B$2+AQ260*参数!$B$15+AB260*参数!$B$11+AF260*参数!$B$40*参数!$B$2+AG260*参数!$B$44*参数!$B$2+AH260*参数!$B$6*参数!$B$2+AI260*参数!$B$39*参数!$B$2+AJ260*参数!$B$6*参数!$B$2+Z260*参数!$B$13-T260*参数!$B$14-AD260*参数!$B$13+IF(ISNUMBER(AU260),AU260*参数!$B$38,0)-AV260*参数!$B$41-AW260*参数!$B$14&gt;参数!$B$17,参数!$B$17+SQRT(IF(AND(F260="能力",AL260="能力持续"),(参数!$B$2-1)*参数!$B$3,0)+M260*O260*参数!$B$5*IF(AND(F260="能力",AL260="能力持续"),参数!$B$2,1)+P260*参数!$B$6*IF(AND(F260="能力",AL260="能力持续"),参数!$B$2,1)+R260*参数!$B$7*IF(AND(F260="能力",AL260="能力持续"),参数!$B$2,1)+V260*参数!$B$8+IF(X260&lt;0,X260*参数!$B$13,X260*参数!$B$39)+IF(AE260&lt;0,AE260*参数!$B$13,AE260*参数!$B$12)*参数!$B$2+AQ260*参数!$B$15+AB260*参数!$B$11+AF260*参数!$B$40*参数!$B$2+AG260*参数!$B$44*参数!$B$2+AH260*参数!$B$6*参数!$B$2+AI260*参数!$B$39*参数!$B$2+AJ260*参数!$B$6*参数!$B$2+Z260*参数!$B$13-T260*参数!$B$14-AD260*参数!$B$13+IF(ISNUMBER(AU260),AU260*参数!$B$38,0)-AV260*参数!$B$41-AW260*参数!$B$14-参数!$B$17)*参数!$B$18,IF(AND(F260="能力",AL260="能力持续"),(参数!$B$2-1)*参数!$B$3,0)+M260*O260*参数!$B$5*IF(AND(F260="能力",AL260="能力持续"),参数!$B$2,1)+P260*参数!$B$6*IF(AND(F260="能力",AL260="能力持续"),参数!$B$2,1)+R260*参数!$B$7*IF(AND(F260="能力",AL260="能力持续"),参数!$B$2,1)+V260*参数!$B$8+IF(X260&lt;0,X260*参数!$B$13,X260*参数!$B$39)+IF(AE260&lt;0,AE260*参数!$B$13,AE260*参数!$B$12)*参数!$B$2+AQ260*参数!$B$15+AB260*参数!$B$11+AF260*参数!$B$40*参数!$B$2+AG260*参数!$B$44*参数!$B$2+AH260*参数!$B$6*参数!$B$2+AI260*参数!$B$39*参数!$B$2+AJ260*参数!$B$6*参数!$B$2+Z260*参数!$B$13-T260*参数!$B$14-AD260*参数!$B$13+IF(ISNUMBER(AU260),AU260*参数!$B$38,0)-AV260*参数!$B$41-AW260*参数!$B$14),0),0)</f>
        <v>6.6000000000000005</v>
      </c>
      <c r="AZ260">
        <f>AY260-MAX(AP260,0)*参数!$B$10</f>
        <v>3.6000000000000005</v>
      </c>
      <c r="BA260">
        <f t="shared" si="9"/>
        <v>6.6000000000000005</v>
      </c>
    </row>
    <row r="261" spans="1:53" x14ac:dyDescent="0.3">
      <c r="A261">
        <v>260</v>
      </c>
      <c r="B261" t="s">
        <v>1158</v>
      </c>
      <c r="C261" t="s">
        <v>1083</v>
      </c>
      <c r="D261" t="s">
        <v>1159</v>
      </c>
      <c r="E261" t="s">
        <v>1160</v>
      </c>
      <c r="F261" t="s">
        <v>108</v>
      </c>
      <c r="G261" t="s">
        <v>14</v>
      </c>
      <c r="H261">
        <v>1</v>
      </c>
      <c r="I261">
        <v>1</v>
      </c>
      <c r="J261" t="s">
        <v>1161</v>
      </c>
      <c r="L261" t="s">
        <v>191</v>
      </c>
      <c r="M261">
        <v>21</v>
      </c>
      <c r="N261">
        <v>26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f>参数!$B$19</f>
        <v>5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 t="s">
        <v>112</v>
      </c>
      <c r="AN261" t="s">
        <v>192</v>
      </c>
      <c r="AP261">
        <f t="shared" si="8"/>
        <v>1</v>
      </c>
      <c r="AQ261">
        <v>0</v>
      </c>
      <c r="AR261">
        <v>0</v>
      </c>
      <c r="AT261" t="s">
        <v>113</v>
      </c>
      <c r="AU261">
        <v>0</v>
      </c>
      <c r="AY261">
        <f>IFERROR(MAX(IF(IF(AND(F261="能力",AL261="能力持续"),(参数!$B$2-1)*参数!$B$3,0)+M261*O261*参数!$B$5*IF(AND(F261="能力",AL261="能力持续"),参数!$B$2,1)+P261*参数!$B$6*IF(AND(F261="能力",AL261="能力持续"),参数!$B$2,1)+R261*参数!$B$7*IF(AND(F261="能力",AL261="能力持续"),参数!$B$2,1)+V261*参数!$B$8+IF(X261&lt;0,X261*参数!$B$13,X261*参数!$B$39)+IF(AE261&lt;0,AE261*参数!$B$13,AE261*参数!$B$12)*参数!$B$2+AQ261*参数!$B$15+AB261*参数!$B$11+AF261*参数!$B$40*参数!$B$2+AG261*参数!$B$44*参数!$B$2+AH261*参数!$B$6*参数!$B$2+AI261*参数!$B$39*参数!$B$2+AJ261*参数!$B$6*参数!$B$2+Z261*参数!$B$13-T261*参数!$B$14-AD261*参数!$B$13+IF(ISNUMBER(AU261),AU261*参数!$B$38,0)-AV261*参数!$B$41-AW261*参数!$B$14&gt;参数!$B$17,参数!$B$17+SQRT(IF(AND(F261="能力",AL261="能力持续"),(参数!$B$2-1)*参数!$B$3,0)+M261*O261*参数!$B$5*IF(AND(F261="能力",AL261="能力持续"),参数!$B$2,1)+P261*参数!$B$6*IF(AND(F261="能力",AL261="能力持续"),参数!$B$2,1)+R261*参数!$B$7*IF(AND(F261="能力",AL261="能力持续"),参数!$B$2,1)+V261*参数!$B$8+IF(X261&lt;0,X261*参数!$B$13,X261*参数!$B$39)+IF(AE261&lt;0,AE261*参数!$B$13,AE261*参数!$B$12)*参数!$B$2+AQ261*参数!$B$15+AB261*参数!$B$11+AF261*参数!$B$40*参数!$B$2+AG261*参数!$B$44*参数!$B$2+AH261*参数!$B$6*参数!$B$2+AI261*参数!$B$39*参数!$B$2+AJ261*参数!$B$6*参数!$B$2+Z261*参数!$B$13-T261*参数!$B$14-AD261*参数!$B$13+IF(ISNUMBER(AU261),AU261*参数!$B$38,0)-AV261*参数!$B$41-AW261*参数!$B$14-参数!$B$17)*参数!$B$18,IF(AND(F261="能力",AL261="能力持续"),(参数!$B$2-1)*参数!$B$3,0)+M261*O261*参数!$B$5*IF(AND(F261="能力",AL261="能力持续"),参数!$B$2,1)+P261*参数!$B$6*IF(AND(F261="能力",AL261="能力持续"),参数!$B$2,1)+R261*参数!$B$7*IF(AND(F261="能力",AL261="能力持续"),参数!$B$2,1)+V261*参数!$B$8+IF(X261&lt;0,X261*参数!$B$13,X261*参数!$B$39)+IF(AE261&lt;0,AE261*参数!$B$13,AE261*参数!$B$12)*参数!$B$2+AQ261*参数!$B$15+AB261*参数!$B$11+AF261*参数!$B$40*参数!$B$2+AG261*参数!$B$44*参数!$B$2+AH261*参数!$B$6*参数!$B$2+AI261*参数!$B$39*参数!$B$2+AJ261*参数!$B$6*参数!$B$2+Z261*参数!$B$13-T261*参数!$B$14-AD261*参数!$B$13+IF(ISNUMBER(AU261),AU261*参数!$B$38,0)-AV261*参数!$B$41-AW261*参数!$B$14),0),0)</f>
        <v>12.806243040080457</v>
      </c>
      <c r="AZ261">
        <f>AY261-MAX(AP261,0)*参数!$B$10</f>
        <v>9.8062430400804566</v>
      </c>
      <c r="BA261">
        <f t="shared" si="9"/>
        <v>12.806243040080457</v>
      </c>
    </row>
    <row r="262" spans="1:53" x14ac:dyDescent="0.3">
      <c r="A262">
        <v>261</v>
      </c>
      <c r="B262" t="s">
        <v>1162</v>
      </c>
      <c r="C262" t="s">
        <v>1083</v>
      </c>
      <c r="D262" t="s">
        <v>1163</v>
      </c>
      <c r="E262" t="s">
        <v>1164</v>
      </c>
      <c r="F262" t="s">
        <v>108</v>
      </c>
      <c r="G262" t="s">
        <v>10</v>
      </c>
      <c r="H262">
        <v>1</v>
      </c>
      <c r="I262">
        <v>1</v>
      </c>
      <c r="J262" t="s">
        <v>1165</v>
      </c>
      <c r="L262" t="s">
        <v>111</v>
      </c>
      <c r="M262">
        <f>参数!$B$20*2+8</f>
        <v>14</v>
      </c>
      <c r="N262">
        <f>参数!$B$20*3+8</f>
        <v>17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-1</v>
      </c>
      <c r="Y262">
        <v>-1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112</v>
      </c>
      <c r="AP262">
        <f t="shared" si="8"/>
        <v>1</v>
      </c>
      <c r="AQ262">
        <v>0</v>
      </c>
      <c r="AR262">
        <v>0</v>
      </c>
      <c r="AT262" t="s">
        <v>113</v>
      </c>
      <c r="AU262">
        <v>0</v>
      </c>
      <c r="AY262">
        <f>IFERROR(MAX(IF(IF(AND(F262="能力",AL262="能力持续"),(参数!$B$2-1)*参数!$B$3,0)+M262*O262*参数!$B$5*IF(AND(F262="能力",AL262="能力持续"),参数!$B$2,1)+P262*参数!$B$6*IF(AND(F262="能力",AL262="能力持续"),参数!$B$2,1)+R262*参数!$B$7*IF(AND(F262="能力",AL262="能力持续"),参数!$B$2,1)+V262*参数!$B$8+IF(X262&lt;0,X262*参数!$B$13,X262*参数!$B$39)+IF(AE262&lt;0,AE262*参数!$B$13,AE262*参数!$B$12)*参数!$B$2+AQ262*参数!$B$15+AB262*参数!$B$11+AF262*参数!$B$40*参数!$B$2+AG262*参数!$B$44*参数!$B$2+AH262*参数!$B$6*参数!$B$2+AI262*参数!$B$39*参数!$B$2+AJ262*参数!$B$6*参数!$B$2+Z262*参数!$B$13-T262*参数!$B$14-AD262*参数!$B$13+IF(ISNUMBER(AU262),AU262*参数!$B$38,0)-AV262*参数!$B$41-AW262*参数!$B$14&gt;参数!$B$17,参数!$B$17+SQRT(IF(AND(F262="能力",AL262="能力持续"),(参数!$B$2-1)*参数!$B$3,0)+M262*O262*参数!$B$5*IF(AND(F262="能力",AL262="能力持续"),参数!$B$2,1)+P262*参数!$B$6*IF(AND(F262="能力",AL262="能力持续"),参数!$B$2,1)+R262*参数!$B$7*IF(AND(F262="能力",AL262="能力持续"),参数!$B$2,1)+V262*参数!$B$8+IF(X262&lt;0,X262*参数!$B$13,X262*参数!$B$39)+IF(AE262&lt;0,AE262*参数!$B$13,AE262*参数!$B$12)*参数!$B$2+AQ262*参数!$B$15+AB262*参数!$B$11+AF262*参数!$B$40*参数!$B$2+AG262*参数!$B$44*参数!$B$2+AH262*参数!$B$6*参数!$B$2+AI262*参数!$B$39*参数!$B$2+AJ262*参数!$B$6*参数!$B$2+Z262*参数!$B$13-T262*参数!$B$14-AD262*参数!$B$13+IF(ISNUMBER(AU262),AU262*参数!$B$38,0)-AV262*参数!$B$41-AW262*参数!$B$14-参数!$B$17)*参数!$B$18,IF(AND(F262="能力",AL262="能力持续"),(参数!$B$2-1)*参数!$B$3,0)+M262*O262*参数!$B$5*IF(AND(F262="能力",AL262="能力持续"),参数!$B$2,1)+P262*参数!$B$6*IF(AND(F262="能力",AL262="能力持续"),参数!$B$2,1)+R262*参数!$B$7*IF(AND(F262="能力",AL262="能力持续"),参数!$B$2,1)+V262*参数!$B$8+IF(X262&lt;0,X262*参数!$B$13,X262*参数!$B$39)+IF(AE262&lt;0,AE262*参数!$B$13,AE262*参数!$B$12)*参数!$B$2+AQ262*参数!$B$15+AB262*参数!$B$11+AF262*参数!$B$40*参数!$B$2+AG262*参数!$B$44*参数!$B$2+AH262*参数!$B$6*参数!$B$2+AI262*参数!$B$39*参数!$B$2+AJ262*参数!$B$6*参数!$B$2+Z262*参数!$B$13-T262*参数!$B$14-AD262*参数!$B$13+IF(ISNUMBER(AU262),AU262*参数!$B$38,0)-AV262*参数!$B$41-AW262*参数!$B$14),0),0)</f>
        <v>12.371708245126285</v>
      </c>
      <c r="AZ262">
        <f>AY262-MAX(AP262,0)*参数!$B$10</f>
        <v>9.3717082451262854</v>
      </c>
      <c r="BA262">
        <f t="shared" si="9"/>
        <v>12.371708245126285</v>
      </c>
    </row>
    <row r="263" spans="1:53" x14ac:dyDescent="0.3">
      <c r="A263">
        <v>262</v>
      </c>
      <c r="B263" t="s">
        <v>1166</v>
      </c>
      <c r="C263" t="s">
        <v>1083</v>
      </c>
      <c r="D263" t="s">
        <v>1167</v>
      </c>
      <c r="E263" t="s">
        <v>1168</v>
      </c>
      <c r="F263" t="s">
        <v>108</v>
      </c>
      <c r="G263" t="s">
        <v>10</v>
      </c>
      <c r="H263">
        <v>1</v>
      </c>
      <c r="I263">
        <v>1</v>
      </c>
      <c r="J263" t="s">
        <v>1169</v>
      </c>
      <c r="K263" t="s">
        <v>1170</v>
      </c>
      <c r="L263" t="s">
        <v>191</v>
      </c>
      <c r="M263">
        <v>8</v>
      </c>
      <c r="N263">
        <v>9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 t="s">
        <v>112</v>
      </c>
      <c r="AN263" t="s">
        <v>217</v>
      </c>
      <c r="AO263" t="s">
        <v>1170</v>
      </c>
      <c r="AP263">
        <f t="shared" si="8"/>
        <v>1</v>
      </c>
      <c r="AQ263">
        <v>0</v>
      </c>
      <c r="AR263">
        <v>0</v>
      </c>
      <c r="AT263" t="s">
        <v>113</v>
      </c>
      <c r="AU263">
        <v>0</v>
      </c>
      <c r="AY263">
        <f>IFERROR(MAX(IF(IF(AND(F263="能力",AL263="能力持续"),(参数!$B$2-1)*参数!$B$3,0)+M263*O263*参数!$B$5*IF(AND(F263="能力",AL263="能力持续"),参数!$B$2,1)+P263*参数!$B$6*IF(AND(F263="能力",AL263="能力持续"),参数!$B$2,1)+R263*参数!$B$7*IF(AND(F263="能力",AL263="能力持续"),参数!$B$2,1)+V263*参数!$B$8+IF(X263&lt;0,X263*参数!$B$13,X263*参数!$B$39)+IF(AE263&lt;0,AE263*参数!$B$13,AE263*参数!$B$12)*参数!$B$2+AQ263*参数!$B$15+AB263*参数!$B$11+AF263*参数!$B$40*参数!$B$2+AG263*参数!$B$44*参数!$B$2+AH263*参数!$B$6*参数!$B$2+AI263*参数!$B$39*参数!$B$2+AJ263*参数!$B$6*参数!$B$2+Z263*参数!$B$13-T263*参数!$B$14-AD263*参数!$B$13+IF(ISNUMBER(AU263),AU263*参数!$B$38,0)-AV263*参数!$B$41-AW263*参数!$B$14&gt;参数!$B$17,参数!$B$17+SQRT(IF(AND(F263="能力",AL263="能力持续"),(参数!$B$2-1)*参数!$B$3,0)+M263*O263*参数!$B$5*IF(AND(F263="能力",AL263="能力持续"),参数!$B$2,1)+P263*参数!$B$6*IF(AND(F263="能力",AL263="能力持续"),参数!$B$2,1)+R263*参数!$B$7*IF(AND(F263="能力",AL263="能力持续"),参数!$B$2,1)+V263*参数!$B$8+IF(X263&lt;0,X263*参数!$B$13,X263*参数!$B$39)+IF(AE263&lt;0,AE263*参数!$B$13,AE263*参数!$B$12)*参数!$B$2+AQ263*参数!$B$15+AB263*参数!$B$11+AF263*参数!$B$40*参数!$B$2+AG263*参数!$B$44*参数!$B$2+AH263*参数!$B$6*参数!$B$2+AI263*参数!$B$39*参数!$B$2+AJ263*参数!$B$6*参数!$B$2+Z263*参数!$B$13-T263*参数!$B$14-AD263*参数!$B$13+IF(ISNUMBER(AU263),AU263*参数!$B$38,0)-AV263*参数!$B$41-AW263*参数!$B$14-参数!$B$17)*参数!$B$18,IF(AND(F263="能力",AL263="能力持续"),(参数!$B$2-1)*参数!$B$3,0)+M263*O263*参数!$B$5*IF(AND(F263="能力",AL263="能力持续"),参数!$B$2,1)+P263*参数!$B$6*IF(AND(F263="能力",AL263="能力持续"),参数!$B$2,1)+R263*参数!$B$7*IF(AND(F263="能力",AL263="能力持续"),参数!$B$2,1)+V263*参数!$B$8+IF(X263&lt;0,X263*参数!$B$13,X263*参数!$B$39)+IF(AE263&lt;0,AE263*参数!$B$13,AE263*参数!$B$12)*参数!$B$2+AQ263*参数!$B$15+AB263*参数!$B$11+AF263*参数!$B$40*参数!$B$2+AG263*参数!$B$44*参数!$B$2+AH263*参数!$B$6*参数!$B$2+AI263*参数!$B$39*参数!$B$2+AJ263*参数!$B$6*参数!$B$2+Z263*参数!$B$13-T263*参数!$B$14-AD263*参数!$B$13+IF(ISNUMBER(AU263),AU263*参数!$B$38,0)-AV263*参数!$B$41-AW263*参数!$B$14),0),0)</f>
        <v>8</v>
      </c>
      <c r="AZ263">
        <f>AY263-MAX(AP263,0)*参数!$B$10</f>
        <v>5</v>
      </c>
      <c r="BA263">
        <f t="shared" si="9"/>
        <v>8</v>
      </c>
    </row>
    <row r="264" spans="1:53" x14ac:dyDescent="0.3">
      <c r="A264">
        <v>263</v>
      </c>
      <c r="B264" t="s">
        <v>1171</v>
      </c>
      <c r="C264" t="s">
        <v>1083</v>
      </c>
      <c r="D264" t="s">
        <v>1172</v>
      </c>
      <c r="E264" t="s">
        <v>1173</v>
      </c>
      <c r="F264" t="s">
        <v>117</v>
      </c>
      <c r="G264" t="s">
        <v>14</v>
      </c>
      <c r="H264">
        <v>0</v>
      </c>
      <c r="I264">
        <v>0</v>
      </c>
      <c r="J264" t="s">
        <v>1174</v>
      </c>
      <c r="L264" t="s">
        <v>120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3</v>
      </c>
      <c r="S264">
        <v>5</v>
      </c>
      <c r="T264">
        <v>0</v>
      </c>
      <c r="U264">
        <v>0</v>
      </c>
      <c r="V264">
        <v>0</v>
      </c>
      <c r="W264">
        <v>0</v>
      </c>
      <c r="X264">
        <v>-6</v>
      </c>
      <c r="Y264">
        <v>-6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 t="s">
        <v>112</v>
      </c>
      <c r="AP264">
        <f t="shared" si="8"/>
        <v>0.4</v>
      </c>
      <c r="AQ264">
        <f>3*参数!$B$48</f>
        <v>24</v>
      </c>
      <c r="AR264">
        <v>0</v>
      </c>
      <c r="AT264" t="s">
        <v>113</v>
      </c>
      <c r="AU264">
        <v>0</v>
      </c>
      <c r="AY264">
        <f>IFERROR(MAX(IF(IF(AND(F264="能力",AL264="能力持续"),(参数!$B$2-1)*参数!$B$3,0)+M264*O264*参数!$B$5*IF(AND(F264="能力",AL264="能力持续"),参数!$B$2,1)+P264*参数!$B$6*IF(AND(F264="能力",AL264="能力持续"),参数!$B$2,1)+R264*参数!$B$7*IF(AND(F264="能力",AL264="能力持续"),参数!$B$2,1)+V264*参数!$B$8+IF(X264&lt;0,X264*参数!$B$13,X264*参数!$B$39)+IF(AE264&lt;0,AE264*参数!$B$13,AE264*参数!$B$12)*参数!$B$2+AQ264*参数!$B$15+AB264*参数!$B$11+AF264*参数!$B$40*参数!$B$2+AG264*参数!$B$44*参数!$B$2+AH264*参数!$B$6*参数!$B$2+AI264*参数!$B$39*参数!$B$2+AJ264*参数!$B$6*参数!$B$2+Z264*参数!$B$13-T264*参数!$B$14-AD264*参数!$B$13+IF(ISNUMBER(AU264),AU264*参数!$B$38,0)-AV264*参数!$B$41-AW264*参数!$B$14&gt;参数!$B$17,参数!$B$17+SQRT(IF(AND(F264="能力",AL264="能力持续"),(参数!$B$2-1)*参数!$B$3,0)+M264*O264*参数!$B$5*IF(AND(F264="能力",AL264="能力持续"),参数!$B$2,1)+P264*参数!$B$6*IF(AND(F264="能力",AL264="能力持续"),参数!$B$2,1)+R264*参数!$B$7*IF(AND(F264="能力",AL264="能力持续"),参数!$B$2,1)+V264*参数!$B$8+IF(X264&lt;0,X264*参数!$B$13,X264*参数!$B$39)+IF(AE264&lt;0,AE264*参数!$B$13,AE264*参数!$B$12)*参数!$B$2+AQ264*参数!$B$15+AB264*参数!$B$11+AF264*参数!$B$40*参数!$B$2+AG264*参数!$B$44*参数!$B$2+AH264*参数!$B$6*参数!$B$2+AI264*参数!$B$39*参数!$B$2+AJ264*参数!$B$6*参数!$B$2+Z264*参数!$B$13-T264*参数!$B$14-AD264*参数!$B$13+IF(ISNUMBER(AU264),AU264*参数!$B$38,0)-AV264*参数!$B$41-AW264*参数!$B$14-参数!$B$17)*参数!$B$18,IF(AND(F264="能力",AL264="能力持续"),(参数!$B$2-1)*参数!$B$3,0)+M264*O264*参数!$B$5*IF(AND(F264="能力",AL264="能力持续"),参数!$B$2,1)+P264*参数!$B$6*IF(AND(F264="能力",AL264="能力持续"),参数!$B$2,1)+R264*参数!$B$7*IF(AND(F264="能力",AL264="能力持续"),参数!$B$2,1)+V264*参数!$B$8+IF(X264&lt;0,X264*参数!$B$13,X264*参数!$B$39)+IF(AE264&lt;0,AE264*参数!$B$13,AE264*参数!$B$12)*参数!$B$2+AQ264*参数!$B$15+AB264*参数!$B$11+AF264*参数!$B$40*参数!$B$2+AG264*参数!$B$44*参数!$B$2+AH264*参数!$B$6*参数!$B$2+AI264*参数!$B$39*参数!$B$2+AJ264*参数!$B$6*参数!$B$2+Z264*参数!$B$13-T264*参数!$B$14-AD264*参数!$B$13+IF(ISNUMBER(AU264),AU264*参数!$B$38,0)-AV264*参数!$B$41-AW264*参数!$B$14),0),0)</f>
        <v>21.134406135937382</v>
      </c>
      <c r="AZ264">
        <f>AY264-MAX(AP264,0)*参数!$B$10</f>
        <v>19.934406135937383</v>
      </c>
      <c r="BA264">
        <f t="shared" si="9"/>
        <v>52.836015339843456</v>
      </c>
    </row>
    <row r="265" spans="1:53" x14ac:dyDescent="0.3">
      <c r="A265">
        <v>264</v>
      </c>
      <c r="B265" t="s">
        <v>1175</v>
      </c>
      <c r="C265" t="s">
        <v>1083</v>
      </c>
      <c r="D265" t="s">
        <v>115</v>
      </c>
      <c r="E265" t="s">
        <v>116</v>
      </c>
      <c r="F265" t="s">
        <v>117</v>
      </c>
      <c r="G265" t="s">
        <v>8</v>
      </c>
      <c r="H265">
        <v>1</v>
      </c>
      <c r="I265">
        <v>1</v>
      </c>
      <c r="J265" t="s">
        <v>118</v>
      </c>
      <c r="L265" t="s">
        <v>120</v>
      </c>
      <c r="M265">
        <v>0</v>
      </c>
      <c r="N265">
        <v>0</v>
      </c>
      <c r="O265">
        <v>1</v>
      </c>
      <c r="P265">
        <v>5</v>
      </c>
      <c r="Q265">
        <v>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t="s">
        <v>112</v>
      </c>
      <c r="AP265">
        <f t="shared" si="8"/>
        <v>1</v>
      </c>
      <c r="AQ265">
        <v>0</v>
      </c>
      <c r="AR265">
        <v>0</v>
      </c>
      <c r="AT265" t="s">
        <v>113</v>
      </c>
      <c r="AU265">
        <v>0</v>
      </c>
      <c r="AY265">
        <f>IFERROR(MAX(IF(IF(AND(F265="能力",AL265="能力持续"),(参数!$B$2-1)*参数!$B$3,0)+M265*O265*参数!$B$5*IF(AND(F265="能力",AL265="能力持续"),参数!$B$2,1)+P265*参数!$B$6*IF(AND(F265="能力",AL265="能力持续"),参数!$B$2,1)+R265*参数!$B$7*IF(AND(F265="能力",AL265="能力持续"),参数!$B$2,1)+V265*参数!$B$8+IF(X265&lt;0,X265*参数!$B$13,X265*参数!$B$39)+IF(AE265&lt;0,AE265*参数!$B$13,AE265*参数!$B$12)*参数!$B$2+AQ265*参数!$B$15+AB265*参数!$B$11+AF265*参数!$B$40*参数!$B$2+AG265*参数!$B$44*参数!$B$2+AH265*参数!$B$6*参数!$B$2+AI265*参数!$B$39*参数!$B$2+AJ265*参数!$B$6*参数!$B$2+Z265*参数!$B$13-T265*参数!$B$14-AD265*参数!$B$13+IF(ISNUMBER(AU265),AU265*参数!$B$38,0)-AV265*参数!$B$41-AW265*参数!$B$14&gt;参数!$B$17,参数!$B$17+SQRT(IF(AND(F265="能力",AL265="能力持续"),(参数!$B$2-1)*参数!$B$3,0)+M265*O265*参数!$B$5*IF(AND(F265="能力",AL265="能力持续"),参数!$B$2,1)+P265*参数!$B$6*IF(AND(F265="能力",AL265="能力持续"),参数!$B$2,1)+R265*参数!$B$7*IF(AND(F265="能力",AL265="能力持续"),参数!$B$2,1)+V265*参数!$B$8+IF(X265&lt;0,X265*参数!$B$13,X265*参数!$B$39)+IF(AE265&lt;0,AE265*参数!$B$13,AE265*参数!$B$12)*参数!$B$2+AQ265*参数!$B$15+AB265*参数!$B$11+AF265*参数!$B$40*参数!$B$2+AG265*参数!$B$44*参数!$B$2+AH265*参数!$B$6*参数!$B$2+AI265*参数!$B$39*参数!$B$2+AJ265*参数!$B$6*参数!$B$2+Z265*参数!$B$13-T265*参数!$B$14-AD265*参数!$B$13+IF(ISNUMBER(AU265),AU265*参数!$B$38,0)-AV265*参数!$B$41-AW265*参数!$B$14-参数!$B$17)*参数!$B$18,IF(AND(F265="能力",AL265="能力持续"),(参数!$B$2-1)*参数!$B$3,0)+M265*O265*参数!$B$5*IF(AND(F265="能力",AL265="能力持续"),参数!$B$2,1)+P265*参数!$B$6*IF(AND(F265="能力",AL265="能力持续"),参数!$B$2,1)+R265*参数!$B$7*IF(AND(F265="能力",AL265="能力持续"),参数!$B$2,1)+V265*参数!$B$8+IF(X265&lt;0,X265*参数!$B$13,X265*参数!$B$39)+IF(AE265&lt;0,AE265*参数!$B$13,AE265*参数!$B$12)*参数!$B$2+AQ265*参数!$B$15+AB265*参数!$B$11+AF265*参数!$B$40*参数!$B$2+AG265*参数!$B$44*参数!$B$2+AH265*参数!$B$6*参数!$B$2+AI265*参数!$B$39*参数!$B$2+AJ265*参数!$B$6*参数!$B$2+Z265*参数!$B$13-T265*参数!$B$14-AD265*参数!$B$13+IF(ISNUMBER(AU265),AU265*参数!$B$38,0)-AV265*参数!$B$41-AW265*参数!$B$14),0),0)</f>
        <v>5.5</v>
      </c>
      <c r="AZ265">
        <f>AY265-MAX(AP265,0)*参数!$B$10</f>
        <v>2.5</v>
      </c>
      <c r="BA265">
        <f t="shared" si="9"/>
        <v>5.5</v>
      </c>
    </row>
    <row r="266" spans="1:53" x14ac:dyDescent="0.3">
      <c r="A266">
        <v>265</v>
      </c>
      <c r="B266" t="s">
        <v>1176</v>
      </c>
      <c r="C266" t="s">
        <v>1083</v>
      </c>
      <c r="D266" t="s">
        <v>1177</v>
      </c>
      <c r="E266" t="s">
        <v>1178</v>
      </c>
      <c r="F266" t="s">
        <v>108</v>
      </c>
      <c r="G266" t="s">
        <v>12</v>
      </c>
      <c r="H266">
        <v>1</v>
      </c>
      <c r="I266">
        <v>1</v>
      </c>
      <c r="J266" t="s">
        <v>1179</v>
      </c>
      <c r="L266" t="s">
        <v>111</v>
      </c>
      <c r="M266">
        <v>30</v>
      </c>
      <c r="N266">
        <v>40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-4</v>
      </c>
      <c r="Y266">
        <v>-4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 t="s">
        <v>112</v>
      </c>
      <c r="AP266">
        <f t="shared" si="8"/>
        <v>1</v>
      </c>
      <c r="AQ266">
        <v>0</v>
      </c>
      <c r="AR266">
        <v>0</v>
      </c>
      <c r="AT266" t="s">
        <v>113</v>
      </c>
      <c r="AU266">
        <v>0</v>
      </c>
      <c r="AY266">
        <f>IFERROR(MAX(IF(IF(AND(F266="能力",AL266="能力持续"),(参数!$B$2-1)*参数!$B$3,0)+M266*O266*参数!$B$5*IF(AND(F266="能力",AL266="能力持续"),参数!$B$2,1)+P266*参数!$B$6*IF(AND(F266="能力",AL266="能力持续"),参数!$B$2,1)+R266*参数!$B$7*IF(AND(F266="能力",AL266="能力持续"),参数!$B$2,1)+V266*参数!$B$8+IF(X266&lt;0,X266*参数!$B$13,X266*参数!$B$39)+IF(AE266&lt;0,AE266*参数!$B$13,AE266*参数!$B$12)*参数!$B$2+AQ266*参数!$B$15+AB266*参数!$B$11+AF266*参数!$B$40*参数!$B$2+AG266*参数!$B$44*参数!$B$2+AH266*参数!$B$6*参数!$B$2+AI266*参数!$B$39*参数!$B$2+AJ266*参数!$B$6*参数!$B$2+Z266*参数!$B$13-T266*参数!$B$14-AD266*参数!$B$13+IF(ISNUMBER(AU266),AU266*参数!$B$38,0)-AV266*参数!$B$41-AW266*参数!$B$14&gt;参数!$B$17,参数!$B$17+SQRT(IF(AND(F266="能力",AL266="能力持续"),(参数!$B$2-1)*参数!$B$3,0)+M266*O266*参数!$B$5*IF(AND(F266="能力",AL266="能力持续"),参数!$B$2,1)+P266*参数!$B$6*IF(AND(F266="能力",AL266="能力持续"),参数!$B$2,1)+R266*参数!$B$7*IF(AND(F266="能力",AL266="能力持续"),参数!$B$2,1)+V266*参数!$B$8+IF(X266&lt;0,X266*参数!$B$13,X266*参数!$B$39)+IF(AE266&lt;0,AE266*参数!$B$13,AE266*参数!$B$12)*参数!$B$2+AQ266*参数!$B$15+AB266*参数!$B$11+AF266*参数!$B$40*参数!$B$2+AG266*参数!$B$44*参数!$B$2+AH266*参数!$B$6*参数!$B$2+AI266*参数!$B$39*参数!$B$2+AJ266*参数!$B$6*参数!$B$2+Z266*参数!$B$13-T266*参数!$B$14-AD266*参数!$B$13+IF(ISNUMBER(AU266),AU266*参数!$B$38,0)-AV266*参数!$B$41-AW266*参数!$B$14-参数!$B$17)*参数!$B$18,IF(AND(F266="能力",AL266="能力持续"),(参数!$B$2-1)*参数!$B$3,0)+M266*O266*参数!$B$5*IF(AND(F266="能力",AL266="能力持续"),参数!$B$2,1)+P266*参数!$B$6*IF(AND(F266="能力",AL266="能力持续"),参数!$B$2,1)+R266*参数!$B$7*IF(AND(F266="能力",AL266="能力持续"),参数!$B$2,1)+V266*参数!$B$8+IF(X266&lt;0,X266*参数!$B$13,X266*参数!$B$39)+IF(AE266&lt;0,AE266*参数!$B$13,AE266*参数!$B$12)*参数!$B$2+AQ266*参数!$B$15+AB266*参数!$B$11+AF266*参数!$B$40*参数!$B$2+AG266*参数!$B$44*参数!$B$2+AH266*参数!$B$6*参数!$B$2+AI266*参数!$B$39*参数!$B$2+AJ266*参数!$B$6*参数!$B$2+Z266*参数!$B$13-T266*参数!$B$14-AD266*参数!$B$13+IF(ISNUMBER(AU266),AU266*参数!$B$38,0)-AV266*参数!$B$41-AW266*参数!$B$14),0),0)</f>
        <v>15.612486080160913</v>
      </c>
      <c r="AZ266">
        <f>AY266-MAX(AP266,0)*参数!$B$10</f>
        <v>12.612486080160913</v>
      </c>
      <c r="BA266">
        <f t="shared" si="9"/>
        <v>15.612486080160913</v>
      </c>
    </row>
    <row r="267" spans="1:53" x14ac:dyDescent="0.3">
      <c r="A267">
        <v>266</v>
      </c>
      <c r="B267" t="s">
        <v>1180</v>
      </c>
      <c r="C267" t="s">
        <v>1083</v>
      </c>
      <c r="D267" t="s">
        <v>1181</v>
      </c>
      <c r="E267" t="s">
        <v>1182</v>
      </c>
      <c r="F267" t="s">
        <v>108</v>
      </c>
      <c r="G267" t="s">
        <v>14</v>
      </c>
      <c r="H267">
        <v>1</v>
      </c>
      <c r="I267">
        <v>1</v>
      </c>
      <c r="J267" t="s">
        <v>1183</v>
      </c>
      <c r="K267" t="s">
        <v>1184</v>
      </c>
      <c r="L267" t="s">
        <v>191</v>
      </c>
      <c r="M267">
        <v>9</v>
      </c>
      <c r="N267">
        <v>11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-3</v>
      </c>
      <c r="Y267">
        <v>-3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112</v>
      </c>
      <c r="AN267" t="s">
        <v>217</v>
      </c>
      <c r="AO267" t="s">
        <v>1184</v>
      </c>
      <c r="AP267">
        <f t="shared" si="8"/>
        <v>1</v>
      </c>
      <c r="AQ267">
        <v>0</v>
      </c>
      <c r="AR267">
        <v>0</v>
      </c>
      <c r="AT267" t="s">
        <v>113</v>
      </c>
      <c r="AU267">
        <v>0</v>
      </c>
      <c r="AY267">
        <f>IFERROR(MAX(IF(IF(AND(F267="能力",AL267="能力持续"),(参数!$B$2-1)*参数!$B$3,0)+M267*O267*参数!$B$5*IF(AND(F267="能力",AL267="能力持续"),参数!$B$2,1)+P267*参数!$B$6*IF(AND(F267="能力",AL267="能力持续"),参数!$B$2,1)+R267*参数!$B$7*IF(AND(F267="能力",AL267="能力持续"),参数!$B$2,1)+V267*参数!$B$8+IF(X267&lt;0,X267*参数!$B$13,X267*参数!$B$39)+IF(AE267&lt;0,AE267*参数!$B$13,AE267*参数!$B$12)*参数!$B$2+AQ267*参数!$B$15+AB267*参数!$B$11+AF267*参数!$B$40*参数!$B$2+AG267*参数!$B$44*参数!$B$2+AH267*参数!$B$6*参数!$B$2+AI267*参数!$B$39*参数!$B$2+AJ267*参数!$B$6*参数!$B$2+Z267*参数!$B$13-T267*参数!$B$14-AD267*参数!$B$13+IF(ISNUMBER(AU267),AU267*参数!$B$38,0)-AV267*参数!$B$41-AW267*参数!$B$14&gt;参数!$B$17,参数!$B$17+SQRT(IF(AND(F267="能力",AL267="能力持续"),(参数!$B$2-1)*参数!$B$3,0)+M267*O267*参数!$B$5*IF(AND(F267="能力",AL267="能力持续"),参数!$B$2,1)+P267*参数!$B$6*IF(AND(F267="能力",AL267="能力持续"),参数!$B$2,1)+R267*参数!$B$7*IF(AND(F267="能力",AL267="能力持续"),参数!$B$2,1)+V267*参数!$B$8+IF(X267&lt;0,X267*参数!$B$13,X267*参数!$B$39)+IF(AE267&lt;0,AE267*参数!$B$13,AE267*参数!$B$12)*参数!$B$2+AQ267*参数!$B$15+AB267*参数!$B$11+AF267*参数!$B$40*参数!$B$2+AG267*参数!$B$44*参数!$B$2+AH267*参数!$B$6*参数!$B$2+AI267*参数!$B$39*参数!$B$2+AJ267*参数!$B$6*参数!$B$2+Z267*参数!$B$13-T267*参数!$B$14-AD267*参数!$B$13+IF(ISNUMBER(AU267),AU267*参数!$B$38,0)-AV267*参数!$B$41-AW267*参数!$B$14-参数!$B$17)*参数!$B$18,IF(AND(F267="能力",AL267="能力持续"),(参数!$B$2-1)*参数!$B$3,0)+M267*O267*参数!$B$5*IF(AND(F267="能力",AL267="能力持续"),参数!$B$2,1)+P267*参数!$B$6*IF(AND(F267="能力",AL267="能力持续"),参数!$B$2,1)+R267*参数!$B$7*IF(AND(F267="能力",AL267="能力持续"),参数!$B$2,1)+V267*参数!$B$8+IF(X267&lt;0,X267*参数!$B$13,X267*参数!$B$39)+IF(AE267&lt;0,AE267*参数!$B$13,AE267*参数!$B$12)*参数!$B$2+AQ267*参数!$B$15+AB267*参数!$B$11+AF267*参数!$B$40*参数!$B$2+AG267*参数!$B$44*参数!$B$2+AH267*参数!$B$6*参数!$B$2+AI267*参数!$B$39*参数!$B$2+AJ267*参数!$B$6*参数!$B$2+Z267*参数!$B$13-T267*参数!$B$14-AD267*参数!$B$13+IF(ISNUMBER(AU267),AU267*参数!$B$38,0)-AV267*参数!$B$41-AW267*参数!$B$14),0),0)</f>
        <v>4.5</v>
      </c>
      <c r="AZ267">
        <f>AY267-MAX(AP267,0)*参数!$B$10</f>
        <v>1.5</v>
      </c>
      <c r="BA267">
        <f t="shared" si="9"/>
        <v>4.5</v>
      </c>
    </row>
    <row r="268" spans="1:53" x14ac:dyDescent="0.3">
      <c r="A268">
        <v>267</v>
      </c>
      <c r="B268" t="s">
        <v>1185</v>
      </c>
      <c r="C268" t="s">
        <v>1083</v>
      </c>
      <c r="D268" t="s">
        <v>1186</v>
      </c>
      <c r="E268" t="s">
        <v>1187</v>
      </c>
      <c r="F268" t="s">
        <v>108</v>
      </c>
      <c r="G268" t="s">
        <v>8</v>
      </c>
      <c r="H268">
        <v>0</v>
      </c>
      <c r="I268">
        <v>0</v>
      </c>
      <c r="J268" t="s">
        <v>1188</v>
      </c>
      <c r="L268" t="s">
        <v>111</v>
      </c>
      <c r="M268">
        <v>8</v>
      </c>
      <c r="N268">
        <v>12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-1</v>
      </c>
      <c r="Y268">
        <v>-1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 t="s">
        <v>112</v>
      </c>
      <c r="AP268">
        <f t="shared" si="8"/>
        <v>0.4</v>
      </c>
      <c r="AQ268">
        <v>0</v>
      </c>
      <c r="AR268">
        <v>0</v>
      </c>
      <c r="AT268" t="s">
        <v>113</v>
      </c>
      <c r="AU268">
        <v>0</v>
      </c>
      <c r="AY268">
        <f>IFERROR(MAX(IF(IF(AND(F268="能力",AL268="能力持续"),(参数!$B$2-1)*参数!$B$3,0)+M268*O268*参数!$B$5*IF(AND(F268="能力",AL268="能力持续"),参数!$B$2,1)+P268*参数!$B$6*IF(AND(F268="能力",AL268="能力持续"),参数!$B$2,1)+R268*参数!$B$7*IF(AND(F268="能力",AL268="能力持续"),参数!$B$2,1)+V268*参数!$B$8+IF(X268&lt;0,X268*参数!$B$13,X268*参数!$B$39)+IF(AE268&lt;0,AE268*参数!$B$13,AE268*参数!$B$12)*参数!$B$2+AQ268*参数!$B$15+AB268*参数!$B$11+AF268*参数!$B$40*参数!$B$2+AG268*参数!$B$44*参数!$B$2+AH268*参数!$B$6*参数!$B$2+AI268*参数!$B$39*参数!$B$2+AJ268*参数!$B$6*参数!$B$2+Z268*参数!$B$13-T268*参数!$B$14-AD268*参数!$B$13+IF(ISNUMBER(AU268),AU268*参数!$B$38,0)-AV268*参数!$B$41-AW268*参数!$B$14&gt;参数!$B$17,参数!$B$17+SQRT(IF(AND(F268="能力",AL268="能力持续"),(参数!$B$2-1)*参数!$B$3,0)+M268*O268*参数!$B$5*IF(AND(F268="能力",AL268="能力持续"),参数!$B$2,1)+P268*参数!$B$6*IF(AND(F268="能力",AL268="能力持续"),参数!$B$2,1)+R268*参数!$B$7*IF(AND(F268="能力",AL268="能力持续"),参数!$B$2,1)+V268*参数!$B$8+IF(X268&lt;0,X268*参数!$B$13,X268*参数!$B$39)+IF(AE268&lt;0,AE268*参数!$B$13,AE268*参数!$B$12)*参数!$B$2+AQ268*参数!$B$15+AB268*参数!$B$11+AF268*参数!$B$40*参数!$B$2+AG268*参数!$B$44*参数!$B$2+AH268*参数!$B$6*参数!$B$2+AI268*参数!$B$39*参数!$B$2+AJ268*参数!$B$6*参数!$B$2+Z268*参数!$B$13-T268*参数!$B$14-AD268*参数!$B$13+IF(ISNUMBER(AU268),AU268*参数!$B$38,0)-AV268*参数!$B$41-AW268*参数!$B$14-参数!$B$17)*参数!$B$18,IF(AND(F268="能力",AL268="能力持续"),(参数!$B$2-1)*参数!$B$3,0)+M268*O268*参数!$B$5*IF(AND(F268="能力",AL268="能力持续"),参数!$B$2,1)+P268*参数!$B$6*IF(AND(F268="能力",AL268="能力持续"),参数!$B$2,1)+R268*参数!$B$7*IF(AND(F268="能力",AL268="能力持续"),参数!$B$2,1)+V268*参数!$B$8+IF(X268&lt;0,X268*参数!$B$13,X268*参数!$B$39)+IF(AE268&lt;0,AE268*参数!$B$13,AE268*参数!$B$12)*参数!$B$2+AQ268*参数!$B$15+AB268*参数!$B$11+AF268*参数!$B$40*参数!$B$2+AG268*参数!$B$44*参数!$B$2+AH268*参数!$B$6*参数!$B$2+AI268*参数!$B$39*参数!$B$2+AJ268*参数!$B$6*参数!$B$2+Z268*参数!$B$13-T268*参数!$B$14-AD268*参数!$B$13+IF(ISNUMBER(AU268),AU268*参数!$B$38,0)-AV268*参数!$B$41-AW268*参数!$B$14),0),0)</f>
        <v>9.3000000000000007</v>
      </c>
      <c r="AZ268">
        <f>AY268-MAX(AP268,0)*参数!$B$10</f>
        <v>8.1000000000000014</v>
      </c>
      <c r="BA268">
        <f t="shared" si="9"/>
        <v>23.25</v>
      </c>
    </row>
    <row r="269" spans="1:53" x14ac:dyDescent="0.3">
      <c r="A269">
        <v>268</v>
      </c>
      <c r="B269" t="s">
        <v>1189</v>
      </c>
      <c r="C269" t="s">
        <v>1083</v>
      </c>
      <c r="D269" t="s">
        <v>1190</v>
      </c>
      <c r="E269" t="s">
        <v>1191</v>
      </c>
      <c r="F269" t="s">
        <v>117</v>
      </c>
      <c r="G269" t="s">
        <v>14</v>
      </c>
      <c r="H269">
        <v>1</v>
      </c>
      <c r="I269">
        <v>1</v>
      </c>
      <c r="J269" t="s">
        <v>1192</v>
      </c>
      <c r="L269" t="s">
        <v>111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 t="s">
        <v>112</v>
      </c>
      <c r="AP269">
        <f t="shared" si="8"/>
        <v>1</v>
      </c>
      <c r="AQ269">
        <v>0</v>
      </c>
      <c r="AR269">
        <v>0</v>
      </c>
      <c r="AT269" t="s">
        <v>113</v>
      </c>
      <c r="AU269">
        <v>0</v>
      </c>
      <c r="AY269">
        <f>IFERROR(MAX(IF(IF(AND(F269="能力",AL269="能力持续"),(参数!$B$2-1)*参数!$B$3,0)+M269*O269*参数!$B$5*IF(AND(F269="能力",AL269="能力持续"),参数!$B$2,1)+P269*参数!$B$6*IF(AND(F269="能力",AL269="能力持续"),参数!$B$2,1)+R269*参数!$B$7*IF(AND(F269="能力",AL269="能力持续"),参数!$B$2,1)+V269*参数!$B$8+IF(X269&lt;0,X269*参数!$B$13,X269*参数!$B$39)+IF(AE269&lt;0,AE269*参数!$B$13,AE269*参数!$B$12)*参数!$B$2+AQ269*参数!$B$15+AB269*参数!$B$11+AF269*参数!$B$40*参数!$B$2+AG269*参数!$B$44*参数!$B$2+AH269*参数!$B$6*参数!$B$2+AI269*参数!$B$39*参数!$B$2+AJ269*参数!$B$6*参数!$B$2+Z269*参数!$B$13-T269*参数!$B$14-AD269*参数!$B$13+IF(ISNUMBER(AU269),AU269*参数!$B$38,0)-AV269*参数!$B$41-AW269*参数!$B$14&gt;参数!$B$17,参数!$B$17+SQRT(IF(AND(F269="能力",AL269="能力持续"),(参数!$B$2-1)*参数!$B$3,0)+M269*O269*参数!$B$5*IF(AND(F269="能力",AL269="能力持续"),参数!$B$2,1)+P269*参数!$B$6*IF(AND(F269="能力",AL269="能力持续"),参数!$B$2,1)+R269*参数!$B$7*IF(AND(F269="能力",AL269="能力持续"),参数!$B$2,1)+V269*参数!$B$8+IF(X269&lt;0,X269*参数!$B$13,X269*参数!$B$39)+IF(AE269&lt;0,AE269*参数!$B$13,AE269*参数!$B$12)*参数!$B$2+AQ269*参数!$B$15+AB269*参数!$B$11+AF269*参数!$B$40*参数!$B$2+AG269*参数!$B$44*参数!$B$2+AH269*参数!$B$6*参数!$B$2+AI269*参数!$B$39*参数!$B$2+AJ269*参数!$B$6*参数!$B$2+Z269*参数!$B$13-T269*参数!$B$14-AD269*参数!$B$13+IF(ISNUMBER(AU269),AU269*参数!$B$38,0)-AV269*参数!$B$41-AW269*参数!$B$14-参数!$B$17)*参数!$B$18,IF(AND(F269="能力",AL269="能力持续"),(参数!$B$2-1)*参数!$B$3,0)+M269*O269*参数!$B$5*IF(AND(F269="能力",AL269="能力持续"),参数!$B$2,1)+P269*参数!$B$6*IF(AND(F269="能力",AL269="能力持续"),参数!$B$2,1)+R269*参数!$B$7*IF(AND(F269="能力",AL269="能力持续"),参数!$B$2,1)+V269*参数!$B$8+IF(X269&lt;0,X269*参数!$B$13,X269*参数!$B$39)+IF(AE269&lt;0,AE269*参数!$B$13,AE269*参数!$B$12)*参数!$B$2+AQ269*参数!$B$15+AB269*参数!$B$11+AF269*参数!$B$40*参数!$B$2+AG269*参数!$B$44*参数!$B$2+AH269*参数!$B$6*参数!$B$2+AI269*参数!$B$39*参数!$B$2+AJ269*参数!$B$6*参数!$B$2+Z269*参数!$B$13-T269*参数!$B$14-AD269*参数!$B$13+IF(ISNUMBER(AU269),AU269*参数!$B$38,0)-AV269*参数!$B$41-AW269*参数!$B$14),0),0)</f>
        <v>1.4</v>
      </c>
      <c r="AZ269">
        <f>AY269-MAX(AP269,0)*参数!$B$10</f>
        <v>-1.6</v>
      </c>
      <c r="BA269">
        <f t="shared" si="9"/>
        <v>1.4</v>
      </c>
    </row>
    <row r="270" spans="1:53" x14ac:dyDescent="0.3">
      <c r="A270">
        <v>269</v>
      </c>
      <c r="B270" t="s">
        <v>1193</v>
      </c>
      <c r="C270" t="s">
        <v>1083</v>
      </c>
      <c r="D270" t="s">
        <v>1194</v>
      </c>
      <c r="E270" t="s">
        <v>1195</v>
      </c>
      <c r="F270" t="s">
        <v>124</v>
      </c>
      <c r="G270" t="s">
        <v>12</v>
      </c>
      <c r="H270">
        <v>1</v>
      </c>
      <c r="I270">
        <v>1</v>
      </c>
      <c r="J270" t="s">
        <v>1196</v>
      </c>
      <c r="L270" t="s">
        <v>120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 t="s">
        <v>112</v>
      </c>
      <c r="AL270" t="s">
        <v>127</v>
      </c>
      <c r="AN270" t="s">
        <v>124</v>
      </c>
      <c r="AP270">
        <f t="shared" si="8"/>
        <v>1</v>
      </c>
      <c r="AQ270">
        <v>0</v>
      </c>
      <c r="AR270">
        <v>0</v>
      </c>
      <c r="AT270" t="s">
        <v>113</v>
      </c>
      <c r="AU270">
        <v>0</v>
      </c>
      <c r="AY270">
        <f>IFERROR(MAX(IF(IF(AND(F270="能力",AL270="能力持续"),(参数!$B$2-1)*参数!$B$3,0)+M270*O270*参数!$B$5*IF(AND(F270="能力",AL270="能力持续"),参数!$B$2,1)+P270*参数!$B$6*IF(AND(F270="能力",AL270="能力持续"),参数!$B$2,1)+R270*参数!$B$7*IF(AND(F270="能力",AL270="能力持续"),参数!$B$2,1)+V270*参数!$B$8+IF(X270&lt;0,X270*参数!$B$13,X270*参数!$B$39)+IF(AE270&lt;0,AE270*参数!$B$13,AE270*参数!$B$12)*参数!$B$2+AQ270*参数!$B$15+AB270*参数!$B$11+AF270*参数!$B$40*参数!$B$2+AG270*参数!$B$44*参数!$B$2+AH270*参数!$B$6*参数!$B$2+AI270*参数!$B$39*参数!$B$2+AJ270*参数!$B$6*参数!$B$2+Z270*参数!$B$13-T270*参数!$B$14-AD270*参数!$B$13+IF(ISNUMBER(AU270),AU270*参数!$B$38,0)-AV270*参数!$B$41-AW270*参数!$B$14&gt;参数!$B$17,参数!$B$17+SQRT(IF(AND(F270="能力",AL270="能力持续"),(参数!$B$2-1)*参数!$B$3,0)+M270*O270*参数!$B$5*IF(AND(F270="能力",AL270="能力持续"),参数!$B$2,1)+P270*参数!$B$6*IF(AND(F270="能力",AL270="能力持续"),参数!$B$2,1)+R270*参数!$B$7*IF(AND(F270="能力",AL270="能力持续"),参数!$B$2,1)+V270*参数!$B$8+IF(X270&lt;0,X270*参数!$B$13,X270*参数!$B$39)+IF(AE270&lt;0,AE270*参数!$B$13,AE270*参数!$B$12)*参数!$B$2+AQ270*参数!$B$15+AB270*参数!$B$11+AF270*参数!$B$40*参数!$B$2+AG270*参数!$B$44*参数!$B$2+AH270*参数!$B$6*参数!$B$2+AI270*参数!$B$39*参数!$B$2+AJ270*参数!$B$6*参数!$B$2+Z270*参数!$B$13-T270*参数!$B$14-AD270*参数!$B$13+IF(ISNUMBER(AU270),AU270*参数!$B$38,0)-AV270*参数!$B$41-AW270*参数!$B$14-参数!$B$17)*参数!$B$18,IF(AND(F270="能力",AL270="能力持续"),(参数!$B$2-1)*参数!$B$3,0)+M270*O270*参数!$B$5*IF(AND(F270="能力",AL270="能力持续"),参数!$B$2,1)+P270*参数!$B$6*IF(AND(F270="能力",AL270="能力持续"),参数!$B$2,1)+R270*参数!$B$7*IF(AND(F270="能力",AL270="能力持续"),参数!$B$2,1)+V270*参数!$B$8+IF(X270&lt;0,X270*参数!$B$13,X270*参数!$B$39)+IF(AE270&lt;0,AE270*参数!$B$13,AE270*参数!$B$12)*参数!$B$2+AQ270*参数!$B$15+AB270*参数!$B$11+AF270*参数!$B$40*参数!$B$2+AG270*参数!$B$44*参数!$B$2+AH270*参数!$B$6*参数!$B$2+AI270*参数!$B$39*参数!$B$2+AJ270*参数!$B$6*参数!$B$2+Z270*参数!$B$13-T270*参数!$B$14-AD270*参数!$B$13+IF(ISNUMBER(AU270),AU270*参数!$B$38,0)-AV270*参数!$B$41-AW270*参数!$B$14),0),0)</f>
        <v>3.5999999999999996</v>
      </c>
      <c r="AZ270">
        <f>AY270-MAX(AP270,0)*参数!$B$10</f>
        <v>0.59999999999999964</v>
      </c>
      <c r="BA270">
        <f t="shared" si="9"/>
        <v>3.5999999999999996</v>
      </c>
    </row>
    <row r="271" spans="1:53" x14ac:dyDescent="0.3">
      <c r="A271">
        <v>270</v>
      </c>
      <c r="B271" t="s">
        <v>1197</v>
      </c>
      <c r="C271" t="s">
        <v>1083</v>
      </c>
      <c r="D271" t="s">
        <v>1198</v>
      </c>
      <c r="E271" t="s">
        <v>1199</v>
      </c>
      <c r="F271" t="s">
        <v>108</v>
      </c>
      <c r="G271" t="s">
        <v>12</v>
      </c>
      <c r="H271">
        <v>0</v>
      </c>
      <c r="I271">
        <v>0</v>
      </c>
      <c r="J271" t="s">
        <v>1200</v>
      </c>
      <c r="L271" t="s">
        <v>111</v>
      </c>
      <c r="M271">
        <v>13</v>
      </c>
      <c r="N271">
        <v>18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-3</v>
      </c>
      <c r="Y271">
        <v>-3</v>
      </c>
      <c r="Z271">
        <v>2</v>
      </c>
      <c r="AA271">
        <v>2</v>
      </c>
      <c r="AB271">
        <v>2</v>
      </c>
      <c r="AC271">
        <v>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 t="s">
        <v>112</v>
      </c>
      <c r="AP271">
        <f t="shared" si="8"/>
        <v>0.4</v>
      </c>
      <c r="AQ271">
        <v>0</v>
      </c>
      <c r="AR271">
        <v>0</v>
      </c>
      <c r="AT271" t="s">
        <v>113</v>
      </c>
      <c r="AU271">
        <v>0</v>
      </c>
      <c r="AY271">
        <f>IFERROR(MAX(IF(IF(AND(F271="能力",AL271="能力持续"),(参数!$B$2-1)*参数!$B$3,0)+M271*O271*参数!$B$5*IF(AND(F271="能力",AL271="能力持续"),参数!$B$2,1)+P271*参数!$B$6*IF(AND(F271="能力",AL271="能力持续"),参数!$B$2,1)+R271*参数!$B$7*IF(AND(F271="能力",AL271="能力持续"),参数!$B$2,1)+V271*参数!$B$8+IF(X271&lt;0,X271*参数!$B$13,X271*参数!$B$39)+IF(AE271&lt;0,AE271*参数!$B$13,AE271*参数!$B$12)*参数!$B$2+AQ271*参数!$B$15+AB271*参数!$B$11+AF271*参数!$B$40*参数!$B$2+AG271*参数!$B$44*参数!$B$2+AH271*参数!$B$6*参数!$B$2+AI271*参数!$B$39*参数!$B$2+AJ271*参数!$B$6*参数!$B$2+Z271*参数!$B$13-T271*参数!$B$14-AD271*参数!$B$13+IF(ISNUMBER(AU271),AU271*参数!$B$38,0)-AV271*参数!$B$41-AW271*参数!$B$14&gt;参数!$B$17,参数!$B$17+SQRT(IF(AND(F271="能力",AL271="能力持续"),(参数!$B$2-1)*参数!$B$3,0)+M271*O271*参数!$B$5*IF(AND(F271="能力",AL271="能力持续"),参数!$B$2,1)+P271*参数!$B$6*IF(AND(F271="能力",AL271="能力持续"),参数!$B$2,1)+R271*参数!$B$7*IF(AND(F271="能力",AL271="能力持续"),参数!$B$2,1)+V271*参数!$B$8+IF(X271&lt;0,X271*参数!$B$13,X271*参数!$B$39)+IF(AE271&lt;0,AE271*参数!$B$13,AE271*参数!$B$12)*参数!$B$2+AQ271*参数!$B$15+AB271*参数!$B$11+AF271*参数!$B$40*参数!$B$2+AG271*参数!$B$44*参数!$B$2+AH271*参数!$B$6*参数!$B$2+AI271*参数!$B$39*参数!$B$2+AJ271*参数!$B$6*参数!$B$2+Z271*参数!$B$13-T271*参数!$B$14-AD271*参数!$B$13+IF(ISNUMBER(AU271),AU271*参数!$B$38,0)-AV271*参数!$B$41-AW271*参数!$B$14-参数!$B$17)*参数!$B$18,IF(AND(F271="能力",AL271="能力持续"),(参数!$B$2-1)*参数!$B$3,0)+M271*O271*参数!$B$5*IF(AND(F271="能力",AL271="能力持续"),参数!$B$2,1)+P271*参数!$B$6*IF(AND(F271="能力",AL271="能力持续"),参数!$B$2,1)+R271*参数!$B$7*IF(AND(F271="能力",AL271="能力持续"),参数!$B$2,1)+V271*参数!$B$8+IF(X271&lt;0,X271*参数!$B$13,X271*参数!$B$39)+IF(AE271&lt;0,AE271*参数!$B$13,AE271*参数!$B$12)*参数!$B$2+AQ271*参数!$B$15+AB271*参数!$B$11+AF271*参数!$B$40*参数!$B$2+AG271*参数!$B$44*参数!$B$2+AH271*参数!$B$6*参数!$B$2+AI271*参数!$B$39*参数!$B$2+AJ271*参数!$B$6*参数!$B$2+Z271*参数!$B$13-T271*参数!$B$14-AD271*参数!$B$13+IF(ISNUMBER(AU271),AU271*参数!$B$38,0)-AV271*参数!$B$41-AW271*参数!$B$14),0),0)</f>
        <v>13.037268509697487</v>
      </c>
      <c r="AZ271">
        <f>AY271-MAX(AP271,0)*参数!$B$10</f>
        <v>11.837268509697488</v>
      </c>
      <c r="BA271">
        <f t="shared" si="9"/>
        <v>32.593171274243716</v>
      </c>
    </row>
    <row r="272" spans="1:53" x14ac:dyDescent="0.3">
      <c r="A272">
        <v>271</v>
      </c>
      <c r="B272" t="s">
        <v>1201</v>
      </c>
      <c r="C272" t="s">
        <v>1083</v>
      </c>
      <c r="D272" t="s">
        <v>1202</v>
      </c>
      <c r="E272" t="s">
        <v>1203</v>
      </c>
      <c r="F272" t="s">
        <v>117</v>
      </c>
      <c r="G272" t="s">
        <v>10</v>
      </c>
      <c r="H272">
        <v>1</v>
      </c>
      <c r="I272">
        <v>1</v>
      </c>
      <c r="J272" t="s">
        <v>1204</v>
      </c>
      <c r="K272" t="s">
        <v>472</v>
      </c>
      <c r="L272" t="s">
        <v>120</v>
      </c>
      <c r="M272">
        <v>0</v>
      </c>
      <c r="N272">
        <v>0</v>
      </c>
      <c r="O272">
        <v>1</v>
      </c>
      <c r="P272">
        <v>8</v>
      </c>
      <c r="Q272">
        <v>11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 t="s">
        <v>112</v>
      </c>
      <c r="AO272" t="s">
        <v>472</v>
      </c>
      <c r="AP272">
        <f t="shared" si="8"/>
        <v>1</v>
      </c>
      <c r="AQ272">
        <v>0</v>
      </c>
      <c r="AR272">
        <v>0</v>
      </c>
      <c r="AT272" t="s">
        <v>113</v>
      </c>
      <c r="AU272">
        <v>0</v>
      </c>
      <c r="AY272">
        <f>IFERROR(MAX(IF(IF(AND(F272="能力",AL272="能力持续"),(参数!$B$2-1)*参数!$B$3,0)+M272*O272*参数!$B$5*IF(AND(F272="能力",AL272="能力持续"),参数!$B$2,1)+P272*参数!$B$6*IF(AND(F272="能力",AL272="能力持续"),参数!$B$2,1)+R272*参数!$B$7*IF(AND(F272="能力",AL272="能力持续"),参数!$B$2,1)+V272*参数!$B$8+IF(X272&lt;0,X272*参数!$B$13,X272*参数!$B$39)+IF(AE272&lt;0,AE272*参数!$B$13,AE272*参数!$B$12)*参数!$B$2+AQ272*参数!$B$15+AB272*参数!$B$11+AF272*参数!$B$40*参数!$B$2+AG272*参数!$B$44*参数!$B$2+AH272*参数!$B$6*参数!$B$2+AI272*参数!$B$39*参数!$B$2+AJ272*参数!$B$6*参数!$B$2+Z272*参数!$B$13-T272*参数!$B$14-AD272*参数!$B$13+IF(ISNUMBER(AU272),AU272*参数!$B$38,0)-AV272*参数!$B$41-AW272*参数!$B$14&gt;参数!$B$17,参数!$B$17+SQRT(IF(AND(F272="能力",AL272="能力持续"),(参数!$B$2-1)*参数!$B$3,0)+M272*O272*参数!$B$5*IF(AND(F272="能力",AL272="能力持续"),参数!$B$2,1)+P272*参数!$B$6*IF(AND(F272="能力",AL272="能力持续"),参数!$B$2,1)+R272*参数!$B$7*IF(AND(F272="能力",AL272="能力持续"),参数!$B$2,1)+V272*参数!$B$8+IF(X272&lt;0,X272*参数!$B$13,X272*参数!$B$39)+IF(AE272&lt;0,AE272*参数!$B$13,AE272*参数!$B$12)*参数!$B$2+AQ272*参数!$B$15+AB272*参数!$B$11+AF272*参数!$B$40*参数!$B$2+AG272*参数!$B$44*参数!$B$2+AH272*参数!$B$6*参数!$B$2+AI272*参数!$B$39*参数!$B$2+AJ272*参数!$B$6*参数!$B$2+Z272*参数!$B$13-T272*参数!$B$14-AD272*参数!$B$13+IF(ISNUMBER(AU272),AU272*参数!$B$38,0)-AV272*参数!$B$41-AW272*参数!$B$14-参数!$B$17)*参数!$B$18,IF(AND(F272="能力",AL272="能力持续"),(参数!$B$2-1)*参数!$B$3,0)+M272*O272*参数!$B$5*IF(AND(F272="能力",AL272="能力持续"),参数!$B$2,1)+P272*参数!$B$6*IF(AND(F272="能力",AL272="能力持续"),参数!$B$2,1)+R272*参数!$B$7*IF(AND(F272="能力",AL272="能力持续"),参数!$B$2,1)+V272*参数!$B$8+IF(X272&lt;0,X272*参数!$B$13,X272*参数!$B$39)+IF(AE272&lt;0,AE272*参数!$B$13,AE272*参数!$B$12)*参数!$B$2+AQ272*参数!$B$15+AB272*参数!$B$11+AF272*参数!$B$40*参数!$B$2+AG272*参数!$B$44*参数!$B$2+AH272*参数!$B$6*参数!$B$2+AI272*参数!$B$39*参数!$B$2+AJ272*参数!$B$6*参数!$B$2+Z272*参数!$B$13-T272*参数!$B$14-AD272*参数!$B$13+IF(ISNUMBER(AU272),AU272*参数!$B$38,0)-AV272*参数!$B$41-AW272*参数!$B$14),0),0)</f>
        <v>10.474341649025261</v>
      </c>
      <c r="AZ272">
        <f>AY272-MAX(AP272,0)*参数!$B$10</f>
        <v>7.474341649025261</v>
      </c>
      <c r="BA272">
        <f t="shared" si="9"/>
        <v>10.474341649025261</v>
      </c>
    </row>
    <row r="273" spans="1:53" x14ac:dyDescent="0.3">
      <c r="A273">
        <v>272</v>
      </c>
      <c r="B273" t="s">
        <v>1205</v>
      </c>
      <c r="C273" t="s">
        <v>1083</v>
      </c>
      <c r="D273" t="s">
        <v>1206</v>
      </c>
      <c r="E273" t="s">
        <v>1207</v>
      </c>
      <c r="F273" t="s">
        <v>124</v>
      </c>
      <c r="G273" t="s">
        <v>14</v>
      </c>
      <c r="H273">
        <v>2</v>
      </c>
      <c r="I273">
        <v>2</v>
      </c>
      <c r="J273" t="s">
        <v>1208</v>
      </c>
      <c r="L273" t="s">
        <v>120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f>参数!$B$2*2</f>
        <v>8</v>
      </c>
      <c r="Y273">
        <f>参数!$B$2*3</f>
        <v>12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 t="s">
        <v>112</v>
      </c>
      <c r="AL273" t="s">
        <v>127</v>
      </c>
      <c r="AN273" t="s">
        <v>124</v>
      </c>
      <c r="AP273">
        <f t="shared" si="8"/>
        <v>2</v>
      </c>
      <c r="AQ273">
        <v>0</v>
      </c>
      <c r="AR273">
        <v>0</v>
      </c>
      <c r="AT273" t="s">
        <v>113</v>
      </c>
      <c r="AU273">
        <v>0</v>
      </c>
      <c r="AY273">
        <f>IFERROR(MAX(IF(IF(AND(F273="能力",AL273="能力持续"),(参数!$B$2-1)*参数!$B$3,0)+M273*O273*参数!$B$5*IF(AND(F273="能力",AL273="能力持续"),参数!$B$2,1)+P273*参数!$B$6*IF(AND(F273="能力",AL273="能力持续"),参数!$B$2,1)+R273*参数!$B$7*IF(AND(F273="能力",AL273="能力持续"),参数!$B$2,1)+V273*参数!$B$8+IF(X273&lt;0,X273*参数!$B$13,X273*参数!$B$39)+IF(AE273&lt;0,AE273*参数!$B$13,AE273*参数!$B$12)*参数!$B$2+AQ273*参数!$B$15+AB273*参数!$B$11+AF273*参数!$B$40*参数!$B$2+AG273*参数!$B$44*参数!$B$2+AH273*参数!$B$6*参数!$B$2+AI273*参数!$B$39*参数!$B$2+AJ273*参数!$B$6*参数!$B$2+Z273*参数!$B$13-T273*参数!$B$14-AD273*参数!$B$13+IF(ISNUMBER(AU273),AU273*参数!$B$38,0)-AV273*参数!$B$41-AW273*参数!$B$14&gt;参数!$B$17,参数!$B$17+SQRT(IF(AND(F273="能力",AL273="能力持续"),(参数!$B$2-1)*参数!$B$3,0)+M273*O273*参数!$B$5*IF(AND(F273="能力",AL273="能力持续"),参数!$B$2,1)+P273*参数!$B$6*IF(AND(F273="能力",AL273="能力持续"),参数!$B$2,1)+R273*参数!$B$7*IF(AND(F273="能力",AL273="能力持续"),参数!$B$2,1)+V273*参数!$B$8+IF(X273&lt;0,X273*参数!$B$13,X273*参数!$B$39)+IF(AE273&lt;0,AE273*参数!$B$13,AE273*参数!$B$12)*参数!$B$2+AQ273*参数!$B$15+AB273*参数!$B$11+AF273*参数!$B$40*参数!$B$2+AG273*参数!$B$44*参数!$B$2+AH273*参数!$B$6*参数!$B$2+AI273*参数!$B$39*参数!$B$2+AJ273*参数!$B$6*参数!$B$2+Z273*参数!$B$13-T273*参数!$B$14-AD273*参数!$B$13+IF(ISNUMBER(AU273),AU273*参数!$B$38,0)-AV273*参数!$B$41-AW273*参数!$B$14-参数!$B$17)*参数!$B$18,IF(AND(F273="能力",AL273="能力持续"),(参数!$B$2-1)*参数!$B$3,0)+M273*O273*参数!$B$5*IF(AND(F273="能力",AL273="能力持续"),参数!$B$2,1)+P273*参数!$B$6*IF(AND(F273="能力",AL273="能力持续"),参数!$B$2,1)+R273*参数!$B$7*IF(AND(F273="能力",AL273="能力持续"),参数!$B$2,1)+V273*参数!$B$8+IF(X273&lt;0,X273*参数!$B$13,X273*参数!$B$39)+IF(AE273&lt;0,AE273*参数!$B$13,AE273*参数!$B$12)*参数!$B$2+AQ273*参数!$B$15+AB273*参数!$B$11+AF273*参数!$B$40*参数!$B$2+AG273*参数!$B$44*参数!$B$2+AH273*参数!$B$6*参数!$B$2+AI273*参数!$B$39*参数!$B$2+AJ273*参数!$B$6*参数!$B$2+Z273*参数!$B$13-T273*参数!$B$14-AD273*参数!$B$13+IF(ISNUMBER(AU273),AU273*参数!$B$38,0)-AV273*参数!$B$41-AW273*参数!$B$14),0),0)</f>
        <v>13</v>
      </c>
      <c r="AZ273">
        <f>AY273-MAX(AP273,0)*参数!$B$10</f>
        <v>7</v>
      </c>
      <c r="BA273">
        <f t="shared" si="9"/>
        <v>6.5</v>
      </c>
    </row>
    <row r="274" spans="1:53" x14ac:dyDescent="0.3">
      <c r="A274">
        <v>273</v>
      </c>
      <c r="B274" t="s">
        <v>1209</v>
      </c>
      <c r="C274" t="s">
        <v>1083</v>
      </c>
      <c r="D274" t="s">
        <v>1210</v>
      </c>
      <c r="E274" t="s">
        <v>1211</v>
      </c>
      <c r="F274" t="s">
        <v>117</v>
      </c>
      <c r="G274" t="s">
        <v>12</v>
      </c>
      <c r="H274">
        <v>1</v>
      </c>
      <c r="I274">
        <v>1</v>
      </c>
      <c r="J274" t="s">
        <v>1212</v>
      </c>
      <c r="L274" t="s">
        <v>120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3</v>
      </c>
      <c r="S274">
        <v>4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 t="s">
        <v>112</v>
      </c>
      <c r="AP274">
        <f t="shared" si="8"/>
        <v>1</v>
      </c>
      <c r="AQ274">
        <v>0</v>
      </c>
      <c r="AR274">
        <v>0</v>
      </c>
      <c r="AT274" t="s">
        <v>113</v>
      </c>
      <c r="AU274">
        <v>0</v>
      </c>
      <c r="AY274">
        <f>IFERROR(MAX(IF(IF(AND(F274="能力",AL274="能力持续"),(参数!$B$2-1)*参数!$B$3,0)+M274*O274*参数!$B$5*IF(AND(F274="能力",AL274="能力持续"),参数!$B$2,1)+P274*参数!$B$6*IF(AND(F274="能力",AL274="能力持续"),参数!$B$2,1)+R274*参数!$B$7*IF(AND(F274="能力",AL274="能力持续"),参数!$B$2,1)+V274*参数!$B$8+IF(X274&lt;0,X274*参数!$B$13,X274*参数!$B$39)+IF(AE274&lt;0,AE274*参数!$B$13,AE274*参数!$B$12)*参数!$B$2+AQ274*参数!$B$15+AB274*参数!$B$11+AF274*参数!$B$40*参数!$B$2+AG274*参数!$B$44*参数!$B$2+AH274*参数!$B$6*参数!$B$2+AI274*参数!$B$39*参数!$B$2+AJ274*参数!$B$6*参数!$B$2+Z274*参数!$B$13-T274*参数!$B$14-AD274*参数!$B$13+IF(ISNUMBER(AU274),AU274*参数!$B$38,0)-AV274*参数!$B$41-AW274*参数!$B$14&gt;参数!$B$17,参数!$B$17+SQRT(IF(AND(F274="能力",AL274="能力持续"),(参数!$B$2-1)*参数!$B$3,0)+M274*O274*参数!$B$5*IF(AND(F274="能力",AL274="能力持续"),参数!$B$2,1)+P274*参数!$B$6*IF(AND(F274="能力",AL274="能力持续"),参数!$B$2,1)+R274*参数!$B$7*IF(AND(F274="能力",AL274="能力持续"),参数!$B$2,1)+V274*参数!$B$8+IF(X274&lt;0,X274*参数!$B$13,X274*参数!$B$39)+IF(AE274&lt;0,AE274*参数!$B$13,AE274*参数!$B$12)*参数!$B$2+AQ274*参数!$B$15+AB274*参数!$B$11+AF274*参数!$B$40*参数!$B$2+AG274*参数!$B$44*参数!$B$2+AH274*参数!$B$6*参数!$B$2+AI274*参数!$B$39*参数!$B$2+AJ274*参数!$B$6*参数!$B$2+Z274*参数!$B$13-T274*参数!$B$14-AD274*参数!$B$13+IF(ISNUMBER(AU274),AU274*参数!$B$38,0)-AV274*参数!$B$41-AW274*参数!$B$14-参数!$B$17)*参数!$B$18,IF(AND(F274="能力",AL274="能力持续"),(参数!$B$2-1)*参数!$B$3,0)+M274*O274*参数!$B$5*IF(AND(F274="能力",AL274="能力持续"),参数!$B$2,1)+P274*参数!$B$6*IF(AND(F274="能力",AL274="能力持续"),参数!$B$2,1)+R274*参数!$B$7*IF(AND(F274="能力",AL274="能力持续"),参数!$B$2,1)+V274*参数!$B$8+IF(X274&lt;0,X274*参数!$B$13,X274*参数!$B$39)+IF(AE274&lt;0,AE274*参数!$B$13,AE274*参数!$B$12)*参数!$B$2+AQ274*参数!$B$15+AB274*参数!$B$11+AF274*参数!$B$40*参数!$B$2+AG274*参数!$B$44*参数!$B$2+AH274*参数!$B$6*参数!$B$2+AI274*参数!$B$39*参数!$B$2+AJ274*参数!$B$6*参数!$B$2+Z274*参数!$B$13-T274*参数!$B$14-AD274*参数!$B$13+IF(ISNUMBER(AU274),AU274*参数!$B$38,0)-AV274*参数!$B$41-AW274*参数!$B$14),0),0)</f>
        <v>2.0999999999999996</v>
      </c>
      <c r="AZ274">
        <f>AY274-MAX(AP274,0)*参数!$B$10</f>
        <v>-0.90000000000000036</v>
      </c>
      <c r="BA274">
        <f t="shared" si="9"/>
        <v>2.0999999999999996</v>
      </c>
    </row>
    <row r="275" spans="1:53" x14ac:dyDescent="0.3">
      <c r="A275">
        <v>274</v>
      </c>
      <c r="B275" t="s">
        <v>1213</v>
      </c>
      <c r="C275" t="s">
        <v>1083</v>
      </c>
      <c r="D275" t="s">
        <v>1214</v>
      </c>
      <c r="E275" t="s">
        <v>1215</v>
      </c>
      <c r="F275" t="s">
        <v>117</v>
      </c>
      <c r="G275" t="s">
        <v>10</v>
      </c>
      <c r="H275">
        <v>2</v>
      </c>
      <c r="I275">
        <v>2</v>
      </c>
      <c r="J275" t="s">
        <v>1216</v>
      </c>
      <c r="L275" t="s">
        <v>120</v>
      </c>
      <c r="M275">
        <v>0</v>
      </c>
      <c r="N275">
        <v>0</v>
      </c>
      <c r="O275">
        <v>1</v>
      </c>
      <c r="P275">
        <v>18</v>
      </c>
      <c r="Q275">
        <v>20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112</v>
      </c>
      <c r="AP275">
        <f t="shared" si="8"/>
        <v>2</v>
      </c>
      <c r="AQ275">
        <v>0</v>
      </c>
      <c r="AR275">
        <v>0</v>
      </c>
      <c r="AT275" t="s">
        <v>113</v>
      </c>
      <c r="AU275">
        <v>0</v>
      </c>
      <c r="AY275">
        <f>IFERROR(MAX(IF(IF(AND(F275="能力",AL275="能力持续"),(参数!$B$2-1)*参数!$B$3,0)+M275*O275*参数!$B$5*IF(AND(F275="能力",AL275="能力持续"),参数!$B$2,1)+P275*参数!$B$6*IF(AND(F275="能力",AL275="能力持续"),参数!$B$2,1)+R275*参数!$B$7*IF(AND(F275="能力",AL275="能力持续"),参数!$B$2,1)+V275*参数!$B$8+IF(X275&lt;0,X275*参数!$B$13,X275*参数!$B$39)+IF(AE275&lt;0,AE275*参数!$B$13,AE275*参数!$B$12)*参数!$B$2+AQ275*参数!$B$15+AB275*参数!$B$11+AF275*参数!$B$40*参数!$B$2+AG275*参数!$B$44*参数!$B$2+AH275*参数!$B$6*参数!$B$2+AI275*参数!$B$39*参数!$B$2+AJ275*参数!$B$6*参数!$B$2+Z275*参数!$B$13-T275*参数!$B$14-AD275*参数!$B$13+IF(ISNUMBER(AU275),AU275*参数!$B$38,0)-AV275*参数!$B$41-AW275*参数!$B$14&gt;参数!$B$17,参数!$B$17+SQRT(IF(AND(F275="能力",AL275="能力持续"),(参数!$B$2-1)*参数!$B$3,0)+M275*O275*参数!$B$5*IF(AND(F275="能力",AL275="能力持续"),参数!$B$2,1)+P275*参数!$B$6*IF(AND(F275="能力",AL275="能力持续"),参数!$B$2,1)+R275*参数!$B$7*IF(AND(F275="能力",AL275="能力持续"),参数!$B$2,1)+V275*参数!$B$8+IF(X275&lt;0,X275*参数!$B$13,X275*参数!$B$39)+IF(AE275&lt;0,AE275*参数!$B$13,AE275*参数!$B$12)*参数!$B$2+AQ275*参数!$B$15+AB275*参数!$B$11+AF275*参数!$B$40*参数!$B$2+AG275*参数!$B$44*参数!$B$2+AH275*参数!$B$6*参数!$B$2+AI275*参数!$B$39*参数!$B$2+AJ275*参数!$B$6*参数!$B$2+Z275*参数!$B$13-T275*参数!$B$14-AD275*参数!$B$13+IF(ISNUMBER(AU275),AU275*参数!$B$38,0)-AV275*参数!$B$41-AW275*参数!$B$14-参数!$B$17)*参数!$B$18,IF(AND(F275="能力",AL275="能力持续"),(参数!$B$2-1)*参数!$B$3,0)+M275*O275*参数!$B$5*IF(AND(F275="能力",AL275="能力持续"),参数!$B$2,1)+P275*参数!$B$6*IF(AND(F275="能力",AL275="能力持续"),参数!$B$2,1)+R275*参数!$B$7*IF(AND(F275="能力",AL275="能力持续"),参数!$B$2,1)+V275*参数!$B$8+IF(X275&lt;0,X275*参数!$B$13,X275*参数!$B$39)+IF(AE275&lt;0,AE275*参数!$B$13,AE275*参数!$B$12)*参数!$B$2+AQ275*参数!$B$15+AB275*参数!$B$11+AF275*参数!$B$40*参数!$B$2+AG275*参数!$B$44*参数!$B$2+AH275*参数!$B$6*参数!$B$2+AI275*参数!$B$39*参数!$B$2+AJ275*参数!$B$6*参数!$B$2+Z275*参数!$B$13-T275*参数!$B$14-AD275*参数!$B$13+IF(ISNUMBER(AU275),AU275*参数!$B$38,0)-AV275*参数!$B$41-AW275*参数!$B$14),0),0)</f>
        <v>14.695742752749558</v>
      </c>
      <c r="AZ275">
        <f>AY275-MAX(AP275,0)*参数!$B$10</f>
        <v>8.6957427527495579</v>
      </c>
      <c r="BA275">
        <f t="shared" si="9"/>
        <v>7.3478713763747789</v>
      </c>
    </row>
    <row r="276" spans="1:53" x14ac:dyDescent="0.3">
      <c r="A276">
        <v>275</v>
      </c>
      <c r="B276" t="s">
        <v>1217</v>
      </c>
      <c r="C276" t="s">
        <v>1083</v>
      </c>
      <c r="D276" t="s">
        <v>1218</v>
      </c>
      <c r="E276" t="s">
        <v>1219</v>
      </c>
      <c r="F276" t="s">
        <v>117</v>
      </c>
      <c r="G276" t="s">
        <v>10</v>
      </c>
      <c r="H276">
        <v>1</v>
      </c>
      <c r="I276">
        <v>1</v>
      </c>
      <c r="J276" t="s">
        <v>1220</v>
      </c>
      <c r="K276" t="s">
        <v>472</v>
      </c>
      <c r="L276" t="s">
        <v>120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t="s">
        <v>112</v>
      </c>
      <c r="AO276" t="s">
        <v>472</v>
      </c>
      <c r="AP276">
        <f t="shared" si="8"/>
        <v>1</v>
      </c>
      <c r="AQ276">
        <v>0</v>
      </c>
      <c r="AR276">
        <v>0</v>
      </c>
      <c r="AT276" t="s">
        <v>113</v>
      </c>
      <c r="AU276">
        <v>0</v>
      </c>
      <c r="AY276">
        <f>IFERROR(MAX(IF(IF(AND(F276="能力",AL276="能力持续"),(参数!$B$2-1)*参数!$B$3,0)+M276*O276*参数!$B$5*IF(AND(F276="能力",AL276="能力持续"),参数!$B$2,1)+P276*参数!$B$6*IF(AND(F276="能力",AL276="能力持续"),参数!$B$2,1)+R276*参数!$B$7*IF(AND(F276="能力",AL276="能力持续"),参数!$B$2,1)+V276*参数!$B$8+IF(X276&lt;0,X276*参数!$B$13,X276*参数!$B$39)+IF(AE276&lt;0,AE276*参数!$B$13,AE276*参数!$B$12)*参数!$B$2+AQ276*参数!$B$15+AB276*参数!$B$11+AF276*参数!$B$40*参数!$B$2+AG276*参数!$B$44*参数!$B$2+AH276*参数!$B$6*参数!$B$2+AI276*参数!$B$39*参数!$B$2+AJ276*参数!$B$6*参数!$B$2+Z276*参数!$B$13-T276*参数!$B$14-AD276*参数!$B$13+IF(ISNUMBER(AU276),AU276*参数!$B$38,0)-AV276*参数!$B$41-AW276*参数!$B$14&gt;参数!$B$17,参数!$B$17+SQRT(IF(AND(F276="能力",AL276="能力持续"),(参数!$B$2-1)*参数!$B$3,0)+M276*O276*参数!$B$5*IF(AND(F276="能力",AL276="能力持续"),参数!$B$2,1)+P276*参数!$B$6*IF(AND(F276="能力",AL276="能力持续"),参数!$B$2,1)+R276*参数!$B$7*IF(AND(F276="能力",AL276="能力持续"),参数!$B$2,1)+V276*参数!$B$8+IF(X276&lt;0,X276*参数!$B$13,X276*参数!$B$39)+IF(AE276&lt;0,AE276*参数!$B$13,AE276*参数!$B$12)*参数!$B$2+AQ276*参数!$B$15+AB276*参数!$B$11+AF276*参数!$B$40*参数!$B$2+AG276*参数!$B$44*参数!$B$2+AH276*参数!$B$6*参数!$B$2+AI276*参数!$B$39*参数!$B$2+AJ276*参数!$B$6*参数!$B$2+Z276*参数!$B$13-T276*参数!$B$14-AD276*参数!$B$13+IF(ISNUMBER(AU276),AU276*参数!$B$38,0)-AV276*参数!$B$41-AW276*参数!$B$14-参数!$B$17)*参数!$B$18,IF(AND(F276="能力",AL276="能力持续"),(参数!$B$2-1)*参数!$B$3,0)+M276*O276*参数!$B$5*IF(AND(F276="能力",AL276="能力持续"),参数!$B$2,1)+P276*参数!$B$6*IF(AND(F276="能力",AL276="能力持续"),参数!$B$2,1)+R276*参数!$B$7*IF(AND(F276="能力",AL276="能力持续"),参数!$B$2,1)+V276*参数!$B$8+IF(X276&lt;0,X276*参数!$B$13,X276*参数!$B$39)+IF(AE276&lt;0,AE276*参数!$B$13,AE276*参数!$B$12)*参数!$B$2+AQ276*参数!$B$15+AB276*参数!$B$11+AF276*参数!$B$40*参数!$B$2+AG276*参数!$B$44*参数!$B$2+AH276*参数!$B$6*参数!$B$2+AI276*参数!$B$39*参数!$B$2+AJ276*参数!$B$6*参数!$B$2+Z276*参数!$B$13-T276*参数!$B$14-AD276*参数!$B$13+IF(ISNUMBER(AU276),AU276*参数!$B$38,0)-AV276*参数!$B$41-AW276*参数!$B$14),0),0)</f>
        <v>2.7</v>
      </c>
      <c r="AZ276">
        <f>AY276-MAX(AP276,0)*参数!$B$10</f>
        <v>-0.29999999999999982</v>
      </c>
      <c r="BA276">
        <f t="shared" si="9"/>
        <v>2.7</v>
      </c>
    </row>
    <row r="277" spans="1:53" x14ac:dyDescent="0.3">
      <c r="A277">
        <v>276</v>
      </c>
      <c r="B277" t="s">
        <v>1221</v>
      </c>
      <c r="C277" t="s">
        <v>1083</v>
      </c>
      <c r="D277" t="s">
        <v>1222</v>
      </c>
      <c r="E277" t="s">
        <v>1223</v>
      </c>
      <c r="F277" t="s">
        <v>117</v>
      </c>
      <c r="G277" t="s">
        <v>14</v>
      </c>
      <c r="H277">
        <v>2</v>
      </c>
      <c r="I277">
        <v>2</v>
      </c>
      <c r="J277" t="s">
        <v>1224</v>
      </c>
      <c r="L277" t="s">
        <v>120</v>
      </c>
      <c r="M277">
        <f>3*参数!$B$47</f>
        <v>24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 t="s">
        <v>112</v>
      </c>
      <c r="AP277">
        <f t="shared" si="8"/>
        <v>2</v>
      </c>
      <c r="AQ277">
        <v>0</v>
      </c>
      <c r="AR277">
        <v>0</v>
      </c>
      <c r="AT277" t="s">
        <v>113</v>
      </c>
      <c r="AU277">
        <v>0</v>
      </c>
      <c r="AY277">
        <f>IFERROR(MAX(IF(IF(AND(F277="能力",AL277="能力持续"),(参数!$B$2-1)*参数!$B$3,0)+M277*O277*参数!$B$5*IF(AND(F277="能力",AL277="能力持续"),参数!$B$2,1)+P277*参数!$B$6*IF(AND(F277="能力",AL277="能力持续"),参数!$B$2,1)+R277*参数!$B$7*IF(AND(F277="能力",AL277="能力持续"),参数!$B$2,1)+V277*参数!$B$8+IF(X277&lt;0,X277*参数!$B$13,X277*参数!$B$39)+IF(AE277&lt;0,AE277*参数!$B$13,AE277*参数!$B$12)*参数!$B$2+AQ277*参数!$B$15+AB277*参数!$B$11+AF277*参数!$B$40*参数!$B$2+AG277*参数!$B$44*参数!$B$2+AH277*参数!$B$6*参数!$B$2+AI277*参数!$B$39*参数!$B$2+AJ277*参数!$B$6*参数!$B$2+Z277*参数!$B$13-T277*参数!$B$14-AD277*参数!$B$13+IF(ISNUMBER(AU277),AU277*参数!$B$38,0)-AV277*参数!$B$41-AW277*参数!$B$14&gt;参数!$B$17,参数!$B$17+SQRT(IF(AND(F277="能力",AL277="能力持续"),(参数!$B$2-1)*参数!$B$3,0)+M277*O277*参数!$B$5*IF(AND(F277="能力",AL277="能力持续"),参数!$B$2,1)+P277*参数!$B$6*IF(AND(F277="能力",AL277="能力持续"),参数!$B$2,1)+R277*参数!$B$7*IF(AND(F277="能力",AL277="能力持续"),参数!$B$2,1)+V277*参数!$B$8+IF(X277&lt;0,X277*参数!$B$13,X277*参数!$B$39)+IF(AE277&lt;0,AE277*参数!$B$13,AE277*参数!$B$12)*参数!$B$2+AQ277*参数!$B$15+AB277*参数!$B$11+AF277*参数!$B$40*参数!$B$2+AG277*参数!$B$44*参数!$B$2+AH277*参数!$B$6*参数!$B$2+AI277*参数!$B$39*参数!$B$2+AJ277*参数!$B$6*参数!$B$2+Z277*参数!$B$13-T277*参数!$B$14-AD277*参数!$B$13+IF(ISNUMBER(AU277),AU277*参数!$B$38,0)-AV277*参数!$B$41-AW277*参数!$B$14-参数!$B$17)*参数!$B$18,IF(AND(F277="能力",AL277="能力持续"),(参数!$B$2-1)*参数!$B$3,0)+M277*O277*参数!$B$5*IF(AND(F277="能力",AL277="能力持续"),参数!$B$2,1)+P277*参数!$B$6*IF(AND(F277="能力",AL277="能力持续"),参数!$B$2,1)+R277*参数!$B$7*IF(AND(F277="能力",AL277="能力持续"),参数!$B$2,1)+V277*参数!$B$8+IF(X277&lt;0,X277*参数!$B$13,X277*参数!$B$39)+IF(AE277&lt;0,AE277*参数!$B$13,AE277*参数!$B$12)*参数!$B$2+AQ277*参数!$B$15+AB277*参数!$B$11+AF277*参数!$B$40*参数!$B$2+AG277*参数!$B$44*参数!$B$2+AH277*参数!$B$6*参数!$B$2+AI277*参数!$B$39*参数!$B$2+AJ277*参数!$B$6*参数!$B$2+Z277*参数!$B$13-T277*参数!$B$14-AD277*参数!$B$13+IF(ISNUMBER(AU277),AU277*参数!$B$38,0)-AV277*参数!$B$41-AW277*参数!$B$14),0),0)</f>
        <v>15.612486080160913</v>
      </c>
      <c r="AZ277">
        <f>AY277-MAX(AP277,0)*参数!$B$10</f>
        <v>9.6124860801609131</v>
      </c>
      <c r="BA277">
        <f t="shared" si="9"/>
        <v>7.8062430400804566</v>
      </c>
    </row>
    <row r="278" spans="1:53" x14ac:dyDescent="0.3">
      <c r="A278">
        <v>277</v>
      </c>
      <c r="B278" t="s">
        <v>1225</v>
      </c>
      <c r="C278" t="s">
        <v>1083</v>
      </c>
      <c r="D278" t="s">
        <v>1226</v>
      </c>
      <c r="E278" t="s">
        <v>1227</v>
      </c>
      <c r="F278" t="s">
        <v>108</v>
      </c>
      <c r="G278" t="s">
        <v>10</v>
      </c>
      <c r="H278">
        <v>1</v>
      </c>
      <c r="I278">
        <v>1</v>
      </c>
      <c r="J278" t="s">
        <v>1228</v>
      </c>
      <c r="L278" t="s">
        <v>111</v>
      </c>
      <c r="M278">
        <v>12</v>
      </c>
      <c r="N278">
        <v>13</v>
      </c>
      <c r="O278">
        <v>1</v>
      </c>
      <c r="P278">
        <v>0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-2</v>
      </c>
      <c r="Y278">
        <v>-2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t="s">
        <v>112</v>
      </c>
      <c r="AP278">
        <f t="shared" si="8"/>
        <v>1</v>
      </c>
      <c r="AQ278">
        <v>0</v>
      </c>
      <c r="AR278">
        <v>0</v>
      </c>
      <c r="AT278" t="s">
        <v>113</v>
      </c>
      <c r="AU278">
        <v>0</v>
      </c>
      <c r="AY278">
        <f>IFERROR(MAX(IF(IF(AND(F278="能力",AL278="能力持续"),(参数!$B$2-1)*参数!$B$3,0)+M278*O278*参数!$B$5*IF(AND(F278="能力",AL278="能力持续"),参数!$B$2,1)+P278*参数!$B$6*IF(AND(F278="能力",AL278="能力持续"),参数!$B$2,1)+R278*参数!$B$7*IF(AND(F278="能力",AL278="能力持续"),参数!$B$2,1)+V278*参数!$B$8+IF(X278&lt;0,X278*参数!$B$13,X278*参数!$B$39)+IF(AE278&lt;0,AE278*参数!$B$13,AE278*参数!$B$12)*参数!$B$2+AQ278*参数!$B$15+AB278*参数!$B$11+AF278*参数!$B$40*参数!$B$2+AG278*参数!$B$44*参数!$B$2+AH278*参数!$B$6*参数!$B$2+AI278*参数!$B$39*参数!$B$2+AJ278*参数!$B$6*参数!$B$2+Z278*参数!$B$13-T278*参数!$B$14-AD278*参数!$B$13+IF(ISNUMBER(AU278),AU278*参数!$B$38,0)-AV278*参数!$B$41-AW278*参数!$B$14&gt;参数!$B$17,参数!$B$17+SQRT(IF(AND(F278="能力",AL278="能力持续"),(参数!$B$2-1)*参数!$B$3,0)+M278*O278*参数!$B$5*IF(AND(F278="能力",AL278="能力持续"),参数!$B$2,1)+P278*参数!$B$6*IF(AND(F278="能力",AL278="能力持续"),参数!$B$2,1)+R278*参数!$B$7*IF(AND(F278="能力",AL278="能力持续"),参数!$B$2,1)+V278*参数!$B$8+IF(X278&lt;0,X278*参数!$B$13,X278*参数!$B$39)+IF(AE278&lt;0,AE278*参数!$B$13,AE278*参数!$B$12)*参数!$B$2+AQ278*参数!$B$15+AB278*参数!$B$11+AF278*参数!$B$40*参数!$B$2+AG278*参数!$B$44*参数!$B$2+AH278*参数!$B$6*参数!$B$2+AI278*参数!$B$39*参数!$B$2+AJ278*参数!$B$6*参数!$B$2+Z278*参数!$B$13-T278*参数!$B$14-AD278*参数!$B$13+IF(ISNUMBER(AU278),AU278*参数!$B$38,0)-AV278*参数!$B$41-AW278*参数!$B$14-参数!$B$17)*参数!$B$18,IF(AND(F278="能力",AL278="能力持续"),(参数!$B$2-1)*参数!$B$3,0)+M278*O278*参数!$B$5*IF(AND(F278="能力",AL278="能力持续"),参数!$B$2,1)+P278*参数!$B$6*IF(AND(F278="能力",AL278="能力持续"),参数!$B$2,1)+R278*参数!$B$7*IF(AND(F278="能力",AL278="能力持续"),参数!$B$2,1)+V278*参数!$B$8+IF(X278&lt;0,X278*参数!$B$13,X278*参数!$B$39)+IF(AE278&lt;0,AE278*参数!$B$13,AE278*参数!$B$12)*参数!$B$2+AQ278*参数!$B$15+AB278*参数!$B$11+AF278*参数!$B$40*参数!$B$2+AG278*参数!$B$44*参数!$B$2+AH278*参数!$B$6*参数!$B$2+AI278*参数!$B$39*参数!$B$2+AJ278*参数!$B$6*参数!$B$2+Z278*参数!$B$13-T278*参数!$B$14-AD278*参数!$B$13+IF(ISNUMBER(AU278),AU278*参数!$B$38,0)-AV278*参数!$B$41-AW278*参数!$B$14),0),0)</f>
        <v>10.948683298050515</v>
      </c>
      <c r="AZ278">
        <f>AY278-MAX(AP278,0)*参数!$B$10</f>
        <v>7.9486832980505149</v>
      </c>
      <c r="BA278">
        <f t="shared" si="9"/>
        <v>10.948683298050515</v>
      </c>
    </row>
    <row r="279" spans="1:53" x14ac:dyDescent="0.3">
      <c r="A279">
        <v>278</v>
      </c>
      <c r="B279" t="s">
        <v>1229</v>
      </c>
      <c r="C279" t="s">
        <v>1083</v>
      </c>
      <c r="D279" t="s">
        <v>1230</v>
      </c>
      <c r="E279" t="s">
        <v>1231</v>
      </c>
      <c r="F279" t="s">
        <v>124</v>
      </c>
      <c r="G279" t="s">
        <v>14</v>
      </c>
      <c r="H279">
        <v>2</v>
      </c>
      <c r="I279">
        <v>2</v>
      </c>
      <c r="J279" t="s">
        <v>1232</v>
      </c>
      <c r="L279" t="s">
        <v>120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t="s">
        <v>112</v>
      </c>
      <c r="AL279" t="s">
        <v>127</v>
      </c>
      <c r="AN279" t="s">
        <v>124</v>
      </c>
      <c r="AP279">
        <f t="shared" si="8"/>
        <v>2</v>
      </c>
      <c r="AQ279">
        <v>0</v>
      </c>
      <c r="AR279">
        <v>0</v>
      </c>
      <c r="AT279" t="s">
        <v>113</v>
      </c>
      <c r="AU279">
        <v>0</v>
      </c>
      <c r="AY279">
        <f>IFERROR(MAX(IF(IF(AND(F279="能力",AL279="能力持续"),(参数!$B$2-1)*参数!$B$3,0)+M279*O279*参数!$B$5*IF(AND(F279="能力",AL279="能力持续"),参数!$B$2,1)+P279*参数!$B$6*IF(AND(F279="能力",AL279="能力持续"),参数!$B$2,1)+R279*参数!$B$7*IF(AND(F279="能力",AL279="能力持续"),参数!$B$2,1)+V279*参数!$B$8+IF(X279&lt;0,X279*参数!$B$13,X279*参数!$B$39)+IF(AE279&lt;0,AE279*参数!$B$13,AE279*参数!$B$12)*参数!$B$2+AQ279*参数!$B$15+AB279*参数!$B$11+AF279*参数!$B$40*参数!$B$2+AG279*参数!$B$44*参数!$B$2+AH279*参数!$B$6*参数!$B$2+AI279*参数!$B$39*参数!$B$2+AJ279*参数!$B$6*参数!$B$2+Z279*参数!$B$13-T279*参数!$B$14-AD279*参数!$B$13+IF(ISNUMBER(AU279),AU279*参数!$B$38,0)-AV279*参数!$B$41-AW279*参数!$B$14&gt;参数!$B$17,参数!$B$17+SQRT(IF(AND(F279="能力",AL279="能力持续"),(参数!$B$2-1)*参数!$B$3,0)+M279*O279*参数!$B$5*IF(AND(F279="能力",AL279="能力持续"),参数!$B$2,1)+P279*参数!$B$6*IF(AND(F279="能力",AL279="能力持续"),参数!$B$2,1)+R279*参数!$B$7*IF(AND(F279="能力",AL279="能力持续"),参数!$B$2,1)+V279*参数!$B$8+IF(X279&lt;0,X279*参数!$B$13,X279*参数!$B$39)+IF(AE279&lt;0,AE279*参数!$B$13,AE279*参数!$B$12)*参数!$B$2+AQ279*参数!$B$15+AB279*参数!$B$11+AF279*参数!$B$40*参数!$B$2+AG279*参数!$B$44*参数!$B$2+AH279*参数!$B$6*参数!$B$2+AI279*参数!$B$39*参数!$B$2+AJ279*参数!$B$6*参数!$B$2+Z279*参数!$B$13-T279*参数!$B$14-AD279*参数!$B$13+IF(ISNUMBER(AU279),AU279*参数!$B$38,0)-AV279*参数!$B$41-AW279*参数!$B$14-参数!$B$17)*参数!$B$18,IF(AND(F279="能力",AL279="能力持续"),(参数!$B$2-1)*参数!$B$3,0)+M279*O279*参数!$B$5*IF(AND(F279="能力",AL279="能力持续"),参数!$B$2,1)+P279*参数!$B$6*IF(AND(F279="能力",AL279="能力持续"),参数!$B$2,1)+R279*参数!$B$7*IF(AND(F279="能力",AL279="能力持续"),参数!$B$2,1)+V279*参数!$B$8+IF(X279&lt;0,X279*参数!$B$13,X279*参数!$B$39)+IF(AE279&lt;0,AE279*参数!$B$13,AE279*参数!$B$12)*参数!$B$2+AQ279*参数!$B$15+AB279*参数!$B$11+AF279*参数!$B$40*参数!$B$2+AG279*参数!$B$44*参数!$B$2+AH279*参数!$B$6*参数!$B$2+AI279*参数!$B$39*参数!$B$2+AJ279*参数!$B$6*参数!$B$2+Z279*参数!$B$13-T279*参数!$B$14-AD279*参数!$B$13+IF(ISNUMBER(AU279),AU279*参数!$B$38,0)-AV279*参数!$B$41-AW279*参数!$B$14),0),0)</f>
        <v>3.5999999999999996</v>
      </c>
      <c r="AZ279">
        <f>AY279-MAX(AP279,0)*参数!$B$10</f>
        <v>-2.4000000000000004</v>
      </c>
      <c r="BA279">
        <f t="shared" si="9"/>
        <v>1.7999999999999998</v>
      </c>
    </row>
    <row r="280" spans="1:53" x14ac:dyDescent="0.3">
      <c r="A280">
        <v>279</v>
      </c>
      <c r="B280" t="s">
        <v>1233</v>
      </c>
      <c r="C280" t="s">
        <v>1083</v>
      </c>
      <c r="D280" t="s">
        <v>1234</v>
      </c>
      <c r="E280" t="s">
        <v>1235</v>
      </c>
      <c r="F280" t="s">
        <v>108</v>
      </c>
      <c r="G280" t="s">
        <v>14</v>
      </c>
      <c r="H280">
        <v>0</v>
      </c>
      <c r="I280">
        <v>0</v>
      </c>
      <c r="J280" t="s">
        <v>1236</v>
      </c>
      <c r="L280" t="s">
        <v>111</v>
      </c>
      <c r="M280">
        <v>8</v>
      </c>
      <c r="N280">
        <v>10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 t="s">
        <v>112</v>
      </c>
      <c r="AP280">
        <f t="shared" si="8"/>
        <v>0.4</v>
      </c>
      <c r="AQ280">
        <v>0</v>
      </c>
      <c r="AR280">
        <v>0</v>
      </c>
      <c r="AT280" t="s">
        <v>113</v>
      </c>
      <c r="AU280">
        <v>0</v>
      </c>
      <c r="AY280">
        <f>IFERROR(MAX(IF(IF(AND(F280="能力",AL280="能力持续"),(参数!$B$2-1)*参数!$B$3,0)+M280*O280*参数!$B$5*IF(AND(F280="能力",AL280="能力持续"),参数!$B$2,1)+P280*参数!$B$6*IF(AND(F280="能力",AL280="能力持续"),参数!$B$2,1)+R280*参数!$B$7*IF(AND(F280="能力",AL280="能力持续"),参数!$B$2,1)+V280*参数!$B$8+IF(X280&lt;0,X280*参数!$B$13,X280*参数!$B$39)+IF(AE280&lt;0,AE280*参数!$B$13,AE280*参数!$B$12)*参数!$B$2+AQ280*参数!$B$15+AB280*参数!$B$11+AF280*参数!$B$40*参数!$B$2+AG280*参数!$B$44*参数!$B$2+AH280*参数!$B$6*参数!$B$2+AI280*参数!$B$39*参数!$B$2+AJ280*参数!$B$6*参数!$B$2+Z280*参数!$B$13-T280*参数!$B$14-AD280*参数!$B$13+IF(ISNUMBER(AU280),AU280*参数!$B$38,0)-AV280*参数!$B$41-AW280*参数!$B$14&gt;参数!$B$17,参数!$B$17+SQRT(IF(AND(F280="能力",AL280="能力持续"),(参数!$B$2-1)*参数!$B$3,0)+M280*O280*参数!$B$5*IF(AND(F280="能力",AL280="能力持续"),参数!$B$2,1)+P280*参数!$B$6*IF(AND(F280="能力",AL280="能力持续"),参数!$B$2,1)+R280*参数!$B$7*IF(AND(F280="能力",AL280="能力持续"),参数!$B$2,1)+V280*参数!$B$8+IF(X280&lt;0,X280*参数!$B$13,X280*参数!$B$39)+IF(AE280&lt;0,AE280*参数!$B$13,AE280*参数!$B$12)*参数!$B$2+AQ280*参数!$B$15+AB280*参数!$B$11+AF280*参数!$B$40*参数!$B$2+AG280*参数!$B$44*参数!$B$2+AH280*参数!$B$6*参数!$B$2+AI280*参数!$B$39*参数!$B$2+AJ280*参数!$B$6*参数!$B$2+Z280*参数!$B$13-T280*参数!$B$14-AD280*参数!$B$13+IF(ISNUMBER(AU280),AU280*参数!$B$38,0)-AV280*参数!$B$41-AW280*参数!$B$14-参数!$B$17)*参数!$B$18,IF(AND(F280="能力",AL280="能力持续"),(参数!$B$2-1)*参数!$B$3,0)+M280*O280*参数!$B$5*IF(AND(F280="能力",AL280="能力持续"),参数!$B$2,1)+P280*参数!$B$6*IF(AND(F280="能力",AL280="能力持续"),参数!$B$2,1)+R280*参数!$B$7*IF(AND(F280="能力",AL280="能力持续"),参数!$B$2,1)+V280*参数!$B$8+IF(X280&lt;0,X280*参数!$B$13,X280*参数!$B$39)+IF(AE280&lt;0,AE280*参数!$B$13,AE280*参数!$B$12)*参数!$B$2+AQ280*参数!$B$15+AB280*参数!$B$11+AF280*参数!$B$40*参数!$B$2+AG280*参数!$B$44*参数!$B$2+AH280*参数!$B$6*参数!$B$2+AI280*参数!$B$39*参数!$B$2+AJ280*参数!$B$6*参数!$B$2+Z280*参数!$B$13-T280*参数!$B$14-AD280*参数!$B$13+IF(ISNUMBER(AU280),AU280*参数!$B$38,0)-AV280*参数!$B$41-AW280*参数!$B$14),0),0)</f>
        <v>13.674234614174766</v>
      </c>
      <c r="AZ280">
        <f>AY280-MAX(AP280,0)*参数!$B$10</f>
        <v>12.474234614174765</v>
      </c>
      <c r="BA280">
        <f t="shared" si="9"/>
        <v>34.185586535436912</v>
      </c>
    </row>
    <row r="281" spans="1:53" x14ac:dyDescent="0.3">
      <c r="A281">
        <v>280</v>
      </c>
      <c r="B281" t="s">
        <v>1237</v>
      </c>
      <c r="C281" t="s">
        <v>1083</v>
      </c>
      <c r="D281" t="s">
        <v>1238</v>
      </c>
      <c r="E281" t="s">
        <v>1239</v>
      </c>
      <c r="F281" t="s">
        <v>108</v>
      </c>
      <c r="G281" t="s">
        <v>12</v>
      </c>
      <c r="H281">
        <v>2</v>
      </c>
      <c r="I281">
        <v>2</v>
      </c>
      <c r="J281" t="s">
        <v>1240</v>
      </c>
      <c r="L281" t="s">
        <v>111</v>
      </c>
      <c r="M281">
        <v>15</v>
      </c>
      <c r="N281">
        <v>18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2</v>
      </c>
      <c r="W281">
        <v>3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t="s">
        <v>112</v>
      </c>
      <c r="AP281">
        <f t="shared" si="8"/>
        <v>0.4</v>
      </c>
      <c r="AQ281">
        <v>0</v>
      </c>
      <c r="AR281">
        <v>0</v>
      </c>
      <c r="AT281" t="s">
        <v>113</v>
      </c>
      <c r="AU281">
        <v>0</v>
      </c>
      <c r="AY281">
        <f>IFERROR(MAX(IF(IF(AND(F281="能力",AL281="能力持续"),(参数!$B$2-1)*参数!$B$3,0)+M281*O281*参数!$B$5*IF(AND(F281="能力",AL281="能力持续"),参数!$B$2,1)+P281*参数!$B$6*IF(AND(F281="能力",AL281="能力持续"),参数!$B$2,1)+R281*参数!$B$7*IF(AND(F281="能力",AL281="能力持续"),参数!$B$2,1)+V281*参数!$B$8+IF(X281&lt;0,X281*参数!$B$13,X281*参数!$B$39)+IF(AE281&lt;0,AE281*参数!$B$13,AE281*参数!$B$12)*参数!$B$2+AQ281*参数!$B$15+AB281*参数!$B$11+AF281*参数!$B$40*参数!$B$2+AG281*参数!$B$44*参数!$B$2+AH281*参数!$B$6*参数!$B$2+AI281*参数!$B$39*参数!$B$2+AJ281*参数!$B$6*参数!$B$2+Z281*参数!$B$13-T281*参数!$B$14-AD281*参数!$B$13+IF(ISNUMBER(AU281),AU281*参数!$B$38,0)-AV281*参数!$B$41-AW281*参数!$B$14&gt;参数!$B$17,参数!$B$17+SQRT(IF(AND(F281="能力",AL281="能力持续"),(参数!$B$2-1)*参数!$B$3,0)+M281*O281*参数!$B$5*IF(AND(F281="能力",AL281="能力持续"),参数!$B$2,1)+P281*参数!$B$6*IF(AND(F281="能力",AL281="能力持续"),参数!$B$2,1)+R281*参数!$B$7*IF(AND(F281="能力",AL281="能力持续"),参数!$B$2,1)+V281*参数!$B$8+IF(X281&lt;0,X281*参数!$B$13,X281*参数!$B$39)+IF(AE281&lt;0,AE281*参数!$B$13,AE281*参数!$B$12)*参数!$B$2+AQ281*参数!$B$15+AB281*参数!$B$11+AF281*参数!$B$40*参数!$B$2+AG281*参数!$B$44*参数!$B$2+AH281*参数!$B$6*参数!$B$2+AI281*参数!$B$39*参数!$B$2+AJ281*参数!$B$6*参数!$B$2+Z281*参数!$B$13-T281*参数!$B$14-AD281*参数!$B$13+IF(ISNUMBER(AU281),AU281*参数!$B$38,0)-AV281*参数!$B$41-AW281*参数!$B$14-参数!$B$17)*参数!$B$18,IF(AND(F281="能力",AL281="能力持续"),(参数!$B$2-1)*参数!$B$3,0)+M281*O281*参数!$B$5*IF(AND(F281="能力",AL281="能力持续"),参数!$B$2,1)+P281*参数!$B$6*IF(AND(F281="能力",AL281="能力持续"),参数!$B$2,1)+R281*参数!$B$7*IF(AND(F281="能力",AL281="能力持续"),参数!$B$2,1)+V281*参数!$B$8+IF(X281&lt;0,X281*参数!$B$13,X281*参数!$B$39)+IF(AE281&lt;0,AE281*参数!$B$13,AE281*参数!$B$12)*参数!$B$2+AQ281*参数!$B$15+AB281*参数!$B$11+AF281*参数!$B$40*参数!$B$2+AG281*参数!$B$44*参数!$B$2+AH281*参数!$B$6*参数!$B$2+AI281*参数!$B$39*参数!$B$2+AJ281*参数!$B$6*参数!$B$2+Z281*参数!$B$13-T281*参数!$B$14-AD281*参数!$B$13+IF(ISNUMBER(AU281),AU281*参数!$B$38,0)-AV281*参数!$B$41-AW281*参数!$B$14),0),0)</f>
        <v>14.974937185533101</v>
      </c>
      <c r="AZ281">
        <f>AY281-MAX(AP281,0)*参数!$B$10</f>
        <v>13.774937185533101</v>
      </c>
      <c r="BA281">
        <f t="shared" si="9"/>
        <v>37.437342963832748</v>
      </c>
    </row>
    <row r="282" spans="1:53" x14ac:dyDescent="0.3">
      <c r="A282">
        <v>281</v>
      </c>
      <c r="B282" t="s">
        <v>1241</v>
      </c>
      <c r="C282" t="s">
        <v>1083</v>
      </c>
      <c r="D282" t="s">
        <v>1242</v>
      </c>
      <c r="E282" t="s">
        <v>1243</v>
      </c>
      <c r="F282" t="s">
        <v>108</v>
      </c>
      <c r="G282" t="s">
        <v>14</v>
      </c>
      <c r="H282">
        <v>2</v>
      </c>
      <c r="I282">
        <v>2</v>
      </c>
      <c r="J282" t="s">
        <v>1244</v>
      </c>
      <c r="L282" t="s">
        <v>111</v>
      </c>
      <c r="M282">
        <v>20</v>
      </c>
      <c r="N282">
        <v>25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t="s">
        <v>112</v>
      </c>
      <c r="AP282">
        <f t="shared" si="8"/>
        <v>2</v>
      </c>
      <c r="AQ282">
        <v>0</v>
      </c>
      <c r="AR282">
        <v>0</v>
      </c>
      <c r="AT282" t="s">
        <v>113</v>
      </c>
      <c r="AU282">
        <v>0</v>
      </c>
      <c r="AY282">
        <f>IFERROR(MAX(IF(IF(AND(F282="能力",AL282="能力持续"),(参数!$B$2-1)*参数!$B$3,0)+M282*O282*参数!$B$5*IF(AND(F282="能力",AL282="能力持续"),参数!$B$2,1)+P282*参数!$B$6*IF(AND(F282="能力",AL282="能力持续"),参数!$B$2,1)+R282*参数!$B$7*IF(AND(F282="能力",AL282="能力持续"),参数!$B$2,1)+V282*参数!$B$8+IF(X282&lt;0,X282*参数!$B$13,X282*参数!$B$39)+IF(AE282&lt;0,AE282*参数!$B$13,AE282*参数!$B$12)*参数!$B$2+AQ282*参数!$B$15+AB282*参数!$B$11+AF282*参数!$B$40*参数!$B$2+AG282*参数!$B$44*参数!$B$2+AH282*参数!$B$6*参数!$B$2+AI282*参数!$B$39*参数!$B$2+AJ282*参数!$B$6*参数!$B$2+Z282*参数!$B$13-T282*参数!$B$14-AD282*参数!$B$13+IF(ISNUMBER(AU282),AU282*参数!$B$38,0)-AV282*参数!$B$41-AW282*参数!$B$14&gt;参数!$B$17,参数!$B$17+SQRT(IF(AND(F282="能力",AL282="能力持续"),(参数!$B$2-1)*参数!$B$3,0)+M282*O282*参数!$B$5*IF(AND(F282="能力",AL282="能力持续"),参数!$B$2,1)+P282*参数!$B$6*IF(AND(F282="能力",AL282="能力持续"),参数!$B$2,1)+R282*参数!$B$7*IF(AND(F282="能力",AL282="能力持续"),参数!$B$2,1)+V282*参数!$B$8+IF(X282&lt;0,X282*参数!$B$13,X282*参数!$B$39)+IF(AE282&lt;0,AE282*参数!$B$13,AE282*参数!$B$12)*参数!$B$2+AQ282*参数!$B$15+AB282*参数!$B$11+AF282*参数!$B$40*参数!$B$2+AG282*参数!$B$44*参数!$B$2+AH282*参数!$B$6*参数!$B$2+AI282*参数!$B$39*参数!$B$2+AJ282*参数!$B$6*参数!$B$2+Z282*参数!$B$13-T282*参数!$B$14-AD282*参数!$B$13+IF(ISNUMBER(AU282),AU282*参数!$B$38,0)-AV282*参数!$B$41-AW282*参数!$B$14-参数!$B$17)*参数!$B$18,IF(AND(F282="能力",AL282="能力持续"),(参数!$B$2-1)*参数!$B$3,0)+M282*O282*参数!$B$5*IF(AND(F282="能力",AL282="能力持续"),参数!$B$2,1)+P282*参数!$B$6*IF(AND(F282="能力",AL282="能力持续"),参数!$B$2,1)+R282*参数!$B$7*IF(AND(F282="能力",AL282="能力持续"),参数!$B$2,1)+V282*参数!$B$8+IF(X282&lt;0,X282*参数!$B$13,X282*参数!$B$39)+IF(AE282&lt;0,AE282*参数!$B$13,AE282*参数!$B$12)*参数!$B$2+AQ282*参数!$B$15+AB282*参数!$B$11+AF282*参数!$B$40*参数!$B$2+AG282*参数!$B$44*参数!$B$2+AH282*参数!$B$6*参数!$B$2+AI282*参数!$B$39*参数!$B$2+AJ282*参数!$B$6*参数!$B$2+Z282*参数!$B$13-T282*参数!$B$14-AD282*参数!$B$13+IF(ISNUMBER(AU282),AU282*参数!$B$38,0)-AV282*参数!$B$41-AW282*参数!$B$14),0),0)</f>
        <v>14.743416490252569</v>
      </c>
      <c r="AZ282">
        <f>AY282-MAX(AP282,0)*参数!$B$10</f>
        <v>8.7434164902525691</v>
      </c>
      <c r="BA282">
        <f t="shared" si="9"/>
        <v>7.3717082451262845</v>
      </c>
    </row>
    <row r="283" spans="1:53" x14ac:dyDescent="0.3">
      <c r="A283">
        <v>282</v>
      </c>
      <c r="B283" t="s">
        <v>1245</v>
      </c>
      <c r="C283" t="s">
        <v>1083</v>
      </c>
      <c r="D283" t="s">
        <v>1246</v>
      </c>
      <c r="E283" t="s">
        <v>1247</v>
      </c>
      <c r="F283" t="s">
        <v>117</v>
      </c>
      <c r="G283" t="s">
        <v>10</v>
      </c>
      <c r="H283">
        <v>1</v>
      </c>
      <c r="I283">
        <v>1</v>
      </c>
      <c r="J283" t="s">
        <v>1248</v>
      </c>
      <c r="K283" t="s">
        <v>472</v>
      </c>
      <c r="L283" t="s">
        <v>120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</v>
      </c>
      <c r="Y283">
        <v>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112</v>
      </c>
      <c r="AO283" t="s">
        <v>472</v>
      </c>
      <c r="AP283">
        <f t="shared" si="8"/>
        <v>1</v>
      </c>
      <c r="AQ283">
        <v>0</v>
      </c>
      <c r="AR283">
        <v>0</v>
      </c>
      <c r="AT283" t="s">
        <v>113</v>
      </c>
      <c r="AU283">
        <v>0</v>
      </c>
      <c r="AY283">
        <f>IFERROR(MAX(IF(IF(AND(F283="能力",AL283="能力持续"),(参数!$B$2-1)*参数!$B$3,0)+M283*O283*参数!$B$5*IF(AND(F283="能力",AL283="能力持续"),参数!$B$2,1)+P283*参数!$B$6*IF(AND(F283="能力",AL283="能力持续"),参数!$B$2,1)+R283*参数!$B$7*IF(AND(F283="能力",AL283="能力持续"),参数!$B$2,1)+V283*参数!$B$8+IF(X283&lt;0,X283*参数!$B$13,X283*参数!$B$39)+IF(AE283&lt;0,AE283*参数!$B$13,AE283*参数!$B$12)*参数!$B$2+AQ283*参数!$B$15+AB283*参数!$B$11+AF283*参数!$B$40*参数!$B$2+AG283*参数!$B$44*参数!$B$2+AH283*参数!$B$6*参数!$B$2+AI283*参数!$B$39*参数!$B$2+AJ283*参数!$B$6*参数!$B$2+Z283*参数!$B$13-T283*参数!$B$14-AD283*参数!$B$13+IF(ISNUMBER(AU283),AU283*参数!$B$38,0)-AV283*参数!$B$41-AW283*参数!$B$14&gt;参数!$B$17,参数!$B$17+SQRT(IF(AND(F283="能力",AL283="能力持续"),(参数!$B$2-1)*参数!$B$3,0)+M283*O283*参数!$B$5*IF(AND(F283="能力",AL283="能力持续"),参数!$B$2,1)+P283*参数!$B$6*IF(AND(F283="能力",AL283="能力持续"),参数!$B$2,1)+R283*参数!$B$7*IF(AND(F283="能力",AL283="能力持续"),参数!$B$2,1)+V283*参数!$B$8+IF(X283&lt;0,X283*参数!$B$13,X283*参数!$B$39)+IF(AE283&lt;0,AE283*参数!$B$13,AE283*参数!$B$12)*参数!$B$2+AQ283*参数!$B$15+AB283*参数!$B$11+AF283*参数!$B$40*参数!$B$2+AG283*参数!$B$44*参数!$B$2+AH283*参数!$B$6*参数!$B$2+AI283*参数!$B$39*参数!$B$2+AJ283*参数!$B$6*参数!$B$2+Z283*参数!$B$13-T283*参数!$B$14-AD283*参数!$B$13+IF(ISNUMBER(AU283),AU283*参数!$B$38,0)-AV283*参数!$B$41-AW283*参数!$B$14-参数!$B$17)*参数!$B$18,IF(AND(F283="能力",AL283="能力持续"),(参数!$B$2-1)*参数!$B$3,0)+M283*O283*参数!$B$5*IF(AND(F283="能力",AL283="能力持续"),参数!$B$2,1)+P283*参数!$B$6*IF(AND(F283="能力",AL283="能力持续"),参数!$B$2,1)+R283*参数!$B$7*IF(AND(F283="能力",AL283="能力持续"),参数!$B$2,1)+V283*参数!$B$8+IF(X283&lt;0,X283*参数!$B$13,X283*参数!$B$39)+IF(AE283&lt;0,AE283*参数!$B$13,AE283*参数!$B$12)*参数!$B$2+AQ283*参数!$B$15+AB283*参数!$B$11+AF283*参数!$B$40*参数!$B$2+AG283*参数!$B$44*参数!$B$2+AH283*参数!$B$6*参数!$B$2+AI283*参数!$B$39*参数!$B$2+AJ283*参数!$B$6*参数!$B$2+Z283*参数!$B$13-T283*参数!$B$14-AD283*参数!$B$13+IF(ISNUMBER(AU283),AU283*参数!$B$38,0)-AV283*参数!$B$41-AW283*参数!$B$14),0),0)</f>
        <v>5.2</v>
      </c>
      <c r="AZ283">
        <f>AY283-MAX(AP283,0)*参数!$B$10</f>
        <v>2.2000000000000002</v>
      </c>
      <c r="BA283">
        <f t="shared" si="9"/>
        <v>5.2</v>
      </c>
    </row>
    <row r="284" spans="1:53" x14ac:dyDescent="0.3">
      <c r="A284">
        <v>283</v>
      </c>
      <c r="B284" t="s">
        <v>1249</v>
      </c>
      <c r="C284" t="s">
        <v>1083</v>
      </c>
      <c r="D284" t="s">
        <v>1250</v>
      </c>
      <c r="E284" t="s">
        <v>1251</v>
      </c>
      <c r="F284" t="s">
        <v>117</v>
      </c>
      <c r="G284" t="s">
        <v>14</v>
      </c>
      <c r="H284">
        <v>1</v>
      </c>
      <c r="I284">
        <v>1</v>
      </c>
      <c r="J284" t="s">
        <v>1252</v>
      </c>
      <c r="L284" t="s">
        <v>120</v>
      </c>
      <c r="M284">
        <v>0</v>
      </c>
      <c r="N284">
        <v>0</v>
      </c>
      <c r="O284">
        <v>1</v>
      </c>
      <c r="P284">
        <v>10</v>
      </c>
      <c r="Q284">
        <v>13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112</v>
      </c>
      <c r="AP284">
        <f t="shared" si="8"/>
        <v>1</v>
      </c>
      <c r="AQ284">
        <v>0</v>
      </c>
      <c r="AR284">
        <v>0</v>
      </c>
      <c r="AT284" t="s">
        <v>113</v>
      </c>
      <c r="AU284">
        <v>0</v>
      </c>
      <c r="AY284">
        <f>IFERROR(MAX(IF(IF(AND(F284="能力",AL284="能力持续"),(参数!$B$2-1)*参数!$B$3,0)+M284*O284*参数!$B$5*IF(AND(F284="能力",AL284="能力持续"),参数!$B$2,1)+P284*参数!$B$6*IF(AND(F284="能力",AL284="能力持续"),参数!$B$2,1)+R284*参数!$B$7*IF(AND(F284="能力",AL284="能力持续"),参数!$B$2,1)+V284*参数!$B$8+IF(X284&lt;0,X284*参数!$B$13,X284*参数!$B$39)+IF(AE284&lt;0,AE284*参数!$B$13,AE284*参数!$B$12)*参数!$B$2+AQ284*参数!$B$15+AB284*参数!$B$11+AF284*参数!$B$40*参数!$B$2+AG284*参数!$B$44*参数!$B$2+AH284*参数!$B$6*参数!$B$2+AI284*参数!$B$39*参数!$B$2+AJ284*参数!$B$6*参数!$B$2+Z284*参数!$B$13-T284*参数!$B$14-AD284*参数!$B$13+IF(ISNUMBER(AU284),AU284*参数!$B$38,0)-AV284*参数!$B$41-AW284*参数!$B$14&gt;参数!$B$17,参数!$B$17+SQRT(IF(AND(F284="能力",AL284="能力持续"),(参数!$B$2-1)*参数!$B$3,0)+M284*O284*参数!$B$5*IF(AND(F284="能力",AL284="能力持续"),参数!$B$2,1)+P284*参数!$B$6*IF(AND(F284="能力",AL284="能力持续"),参数!$B$2,1)+R284*参数!$B$7*IF(AND(F284="能力",AL284="能力持续"),参数!$B$2,1)+V284*参数!$B$8+IF(X284&lt;0,X284*参数!$B$13,X284*参数!$B$39)+IF(AE284&lt;0,AE284*参数!$B$13,AE284*参数!$B$12)*参数!$B$2+AQ284*参数!$B$15+AB284*参数!$B$11+AF284*参数!$B$40*参数!$B$2+AG284*参数!$B$44*参数!$B$2+AH284*参数!$B$6*参数!$B$2+AI284*参数!$B$39*参数!$B$2+AJ284*参数!$B$6*参数!$B$2+Z284*参数!$B$13-T284*参数!$B$14-AD284*参数!$B$13+IF(ISNUMBER(AU284),AU284*参数!$B$38,0)-AV284*参数!$B$41-AW284*参数!$B$14-参数!$B$17)*参数!$B$18,IF(AND(F284="能力",AL284="能力持续"),(参数!$B$2-1)*参数!$B$3,0)+M284*O284*参数!$B$5*IF(AND(F284="能力",AL284="能力持续"),参数!$B$2,1)+P284*参数!$B$6*IF(AND(F284="能力",AL284="能力持续"),参数!$B$2,1)+R284*参数!$B$7*IF(AND(F284="能力",AL284="能力持续"),参数!$B$2,1)+V284*参数!$B$8+IF(X284&lt;0,X284*参数!$B$13,X284*参数!$B$39)+IF(AE284&lt;0,AE284*参数!$B$13,AE284*参数!$B$12)*参数!$B$2+AQ284*参数!$B$15+AB284*参数!$B$11+AF284*参数!$B$40*参数!$B$2+AG284*参数!$B$44*参数!$B$2+AH284*参数!$B$6*参数!$B$2+AI284*参数!$B$39*参数!$B$2+AJ284*参数!$B$6*参数!$B$2+Z284*参数!$B$13-T284*参数!$B$14-AD284*参数!$B$13+IF(ISNUMBER(AU284),AU284*参数!$B$38,0)-AV284*参数!$B$41-AW284*参数!$B$14),0),0)</f>
        <v>11.5</v>
      </c>
      <c r="AZ284">
        <f>AY284-MAX(AP284,0)*参数!$B$10</f>
        <v>8.5</v>
      </c>
      <c r="BA284">
        <f t="shared" si="9"/>
        <v>11.5</v>
      </c>
    </row>
    <row r="285" spans="1:53" x14ac:dyDescent="0.3">
      <c r="A285">
        <v>284</v>
      </c>
      <c r="B285" t="s">
        <v>1253</v>
      </c>
      <c r="C285" t="s">
        <v>1083</v>
      </c>
      <c r="D285" t="s">
        <v>1254</v>
      </c>
      <c r="E285" t="s">
        <v>1255</v>
      </c>
      <c r="F285" t="s">
        <v>108</v>
      </c>
      <c r="G285" t="s">
        <v>12</v>
      </c>
      <c r="H285">
        <v>4</v>
      </c>
      <c r="I285">
        <v>4</v>
      </c>
      <c r="J285" t="s">
        <v>1256</v>
      </c>
      <c r="L285" t="s">
        <v>111</v>
      </c>
      <c r="M285">
        <v>27</v>
      </c>
      <c r="N285">
        <v>35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112</v>
      </c>
      <c r="AP285">
        <f t="shared" si="8"/>
        <v>4</v>
      </c>
      <c r="AQ285">
        <v>0</v>
      </c>
      <c r="AR285">
        <v>0</v>
      </c>
      <c r="AT285" t="s">
        <v>113</v>
      </c>
      <c r="AU285">
        <v>0</v>
      </c>
      <c r="AY285">
        <f>IFERROR(MAX(IF(IF(AND(F285="能力",AL285="能力持续"),(参数!$B$2-1)*参数!$B$3,0)+M285*O285*参数!$B$5*IF(AND(F285="能力",AL285="能力持续"),参数!$B$2,1)+P285*参数!$B$6*IF(AND(F285="能力",AL285="能力持续"),参数!$B$2,1)+R285*参数!$B$7*IF(AND(F285="能力",AL285="能力持续"),参数!$B$2,1)+V285*参数!$B$8+IF(X285&lt;0,X285*参数!$B$13,X285*参数!$B$39)+IF(AE285&lt;0,AE285*参数!$B$13,AE285*参数!$B$12)*参数!$B$2+AQ285*参数!$B$15+AB285*参数!$B$11+AF285*参数!$B$40*参数!$B$2+AG285*参数!$B$44*参数!$B$2+AH285*参数!$B$6*参数!$B$2+AI285*参数!$B$39*参数!$B$2+AJ285*参数!$B$6*参数!$B$2+Z285*参数!$B$13-T285*参数!$B$14-AD285*参数!$B$13+IF(ISNUMBER(AU285),AU285*参数!$B$38,0)-AV285*参数!$B$41-AW285*参数!$B$14&gt;参数!$B$17,参数!$B$17+SQRT(IF(AND(F285="能力",AL285="能力持续"),(参数!$B$2-1)*参数!$B$3,0)+M285*O285*参数!$B$5*IF(AND(F285="能力",AL285="能力持续"),参数!$B$2,1)+P285*参数!$B$6*IF(AND(F285="能力",AL285="能力持续"),参数!$B$2,1)+R285*参数!$B$7*IF(AND(F285="能力",AL285="能力持续"),参数!$B$2,1)+V285*参数!$B$8+IF(X285&lt;0,X285*参数!$B$13,X285*参数!$B$39)+IF(AE285&lt;0,AE285*参数!$B$13,AE285*参数!$B$12)*参数!$B$2+AQ285*参数!$B$15+AB285*参数!$B$11+AF285*参数!$B$40*参数!$B$2+AG285*参数!$B$44*参数!$B$2+AH285*参数!$B$6*参数!$B$2+AI285*参数!$B$39*参数!$B$2+AJ285*参数!$B$6*参数!$B$2+Z285*参数!$B$13-T285*参数!$B$14-AD285*参数!$B$13+IF(ISNUMBER(AU285),AU285*参数!$B$38,0)-AV285*参数!$B$41-AW285*参数!$B$14-参数!$B$17)*参数!$B$18,IF(AND(F285="能力",AL285="能力持续"),(参数!$B$2-1)*参数!$B$3,0)+M285*O285*参数!$B$5*IF(AND(F285="能力",AL285="能力持续"),参数!$B$2,1)+P285*参数!$B$6*IF(AND(F285="能力",AL285="能力持续"),参数!$B$2,1)+R285*参数!$B$7*IF(AND(F285="能力",AL285="能力持续"),参数!$B$2,1)+V285*参数!$B$8+IF(X285&lt;0,X285*参数!$B$13,X285*参数!$B$39)+IF(AE285&lt;0,AE285*参数!$B$13,AE285*参数!$B$12)*参数!$B$2+AQ285*参数!$B$15+AB285*参数!$B$11+AF285*参数!$B$40*参数!$B$2+AG285*参数!$B$44*参数!$B$2+AH285*参数!$B$6*参数!$B$2+AI285*参数!$B$39*参数!$B$2+AJ285*参数!$B$6*参数!$B$2+Z285*参数!$B$13-T285*参数!$B$14-AD285*参数!$B$13+IF(ISNUMBER(AU285),AU285*参数!$B$38,0)-AV285*参数!$B$41-AW285*参数!$B$14),0),0)</f>
        <v>16.184658438426489</v>
      </c>
      <c r="AZ285">
        <f>AY285-MAX(AP285,0)*参数!$B$10</f>
        <v>4.1846584384264887</v>
      </c>
      <c r="BA285">
        <f t="shared" si="9"/>
        <v>4.0461646096066222</v>
      </c>
    </row>
    <row r="286" spans="1:53" x14ac:dyDescent="0.3">
      <c r="A286">
        <v>285</v>
      </c>
      <c r="B286" t="s">
        <v>1257</v>
      </c>
      <c r="C286" t="s">
        <v>1083</v>
      </c>
      <c r="D286" t="s">
        <v>1258</v>
      </c>
      <c r="E286" t="s">
        <v>1259</v>
      </c>
      <c r="F286" t="s">
        <v>108</v>
      </c>
      <c r="G286" t="s">
        <v>12</v>
      </c>
      <c r="H286">
        <v>1</v>
      </c>
      <c r="I286">
        <v>1</v>
      </c>
      <c r="J286" t="s">
        <v>1260</v>
      </c>
      <c r="L286" t="s">
        <v>111</v>
      </c>
      <c r="M286">
        <v>8</v>
      </c>
      <c r="N286">
        <v>10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 t="s">
        <v>112</v>
      </c>
      <c r="AP286">
        <f t="shared" si="8"/>
        <v>1</v>
      </c>
      <c r="AQ286">
        <v>0</v>
      </c>
      <c r="AR286">
        <v>0</v>
      </c>
      <c r="AT286" t="s">
        <v>113</v>
      </c>
      <c r="AU286">
        <v>0</v>
      </c>
      <c r="AY286">
        <f>IFERROR(MAX(IF(IF(AND(F286="能力",AL286="能力持续"),(参数!$B$2-1)*参数!$B$3,0)+M286*O286*参数!$B$5*IF(AND(F286="能力",AL286="能力持续"),参数!$B$2,1)+P286*参数!$B$6*IF(AND(F286="能力",AL286="能力持续"),参数!$B$2,1)+R286*参数!$B$7*IF(AND(F286="能力",AL286="能力持续"),参数!$B$2,1)+V286*参数!$B$8+IF(X286&lt;0,X286*参数!$B$13,X286*参数!$B$39)+IF(AE286&lt;0,AE286*参数!$B$13,AE286*参数!$B$12)*参数!$B$2+AQ286*参数!$B$15+AB286*参数!$B$11+AF286*参数!$B$40*参数!$B$2+AG286*参数!$B$44*参数!$B$2+AH286*参数!$B$6*参数!$B$2+AI286*参数!$B$39*参数!$B$2+AJ286*参数!$B$6*参数!$B$2+Z286*参数!$B$13-T286*参数!$B$14-AD286*参数!$B$13+IF(ISNUMBER(AU286),AU286*参数!$B$38,0)-AV286*参数!$B$41-AW286*参数!$B$14&gt;参数!$B$17,参数!$B$17+SQRT(IF(AND(F286="能力",AL286="能力持续"),(参数!$B$2-1)*参数!$B$3,0)+M286*O286*参数!$B$5*IF(AND(F286="能力",AL286="能力持续"),参数!$B$2,1)+P286*参数!$B$6*IF(AND(F286="能力",AL286="能力持续"),参数!$B$2,1)+R286*参数!$B$7*IF(AND(F286="能力",AL286="能力持续"),参数!$B$2,1)+V286*参数!$B$8+IF(X286&lt;0,X286*参数!$B$13,X286*参数!$B$39)+IF(AE286&lt;0,AE286*参数!$B$13,AE286*参数!$B$12)*参数!$B$2+AQ286*参数!$B$15+AB286*参数!$B$11+AF286*参数!$B$40*参数!$B$2+AG286*参数!$B$44*参数!$B$2+AH286*参数!$B$6*参数!$B$2+AI286*参数!$B$39*参数!$B$2+AJ286*参数!$B$6*参数!$B$2+Z286*参数!$B$13-T286*参数!$B$14-AD286*参数!$B$13+IF(ISNUMBER(AU286),AU286*参数!$B$38,0)-AV286*参数!$B$41-AW286*参数!$B$14-参数!$B$17)*参数!$B$18,IF(AND(F286="能力",AL286="能力持续"),(参数!$B$2-1)*参数!$B$3,0)+M286*O286*参数!$B$5*IF(AND(F286="能力",AL286="能力持续"),参数!$B$2,1)+P286*参数!$B$6*IF(AND(F286="能力",AL286="能力持续"),参数!$B$2,1)+R286*参数!$B$7*IF(AND(F286="能力",AL286="能力持续"),参数!$B$2,1)+V286*参数!$B$8+IF(X286&lt;0,X286*参数!$B$13,X286*参数!$B$39)+IF(AE286&lt;0,AE286*参数!$B$13,AE286*参数!$B$12)*参数!$B$2+AQ286*参数!$B$15+AB286*参数!$B$11+AF286*参数!$B$40*参数!$B$2+AG286*参数!$B$44*参数!$B$2+AH286*参数!$B$6*参数!$B$2+AI286*参数!$B$39*参数!$B$2+AJ286*参数!$B$6*参数!$B$2+Z286*参数!$B$13-T286*参数!$B$14-AD286*参数!$B$13+IF(ISNUMBER(AU286),AU286*参数!$B$38,0)-AV286*参数!$B$41-AW286*参数!$B$14),0),0)</f>
        <v>8</v>
      </c>
      <c r="AZ286">
        <f>AY286-MAX(AP286,0)*参数!$B$10</f>
        <v>5</v>
      </c>
      <c r="BA286">
        <f t="shared" si="9"/>
        <v>8</v>
      </c>
    </row>
    <row r="287" spans="1:53" x14ac:dyDescent="0.3">
      <c r="A287">
        <v>286</v>
      </c>
      <c r="B287" t="s">
        <v>1261</v>
      </c>
      <c r="C287" t="s">
        <v>1083</v>
      </c>
      <c r="D287" t="s">
        <v>1262</v>
      </c>
      <c r="E287" t="s">
        <v>1263</v>
      </c>
      <c r="F287" t="s">
        <v>108</v>
      </c>
      <c r="G287" t="s">
        <v>12</v>
      </c>
      <c r="H287">
        <v>3</v>
      </c>
      <c r="I287">
        <v>3</v>
      </c>
      <c r="J287" t="s">
        <v>1264</v>
      </c>
      <c r="L287" t="s">
        <v>111</v>
      </c>
      <c r="M287">
        <v>30</v>
      </c>
      <c r="N287">
        <v>38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t="s">
        <v>112</v>
      </c>
      <c r="AP287">
        <f t="shared" si="8"/>
        <v>3</v>
      </c>
      <c r="AQ287">
        <v>0</v>
      </c>
      <c r="AR287">
        <v>0</v>
      </c>
      <c r="AT287" t="s">
        <v>113</v>
      </c>
      <c r="AU287">
        <v>0</v>
      </c>
      <c r="AY287">
        <f>IFERROR(MAX(IF(IF(AND(F287="能力",AL287="能力持续"),(参数!$B$2-1)*参数!$B$3,0)+M287*O287*参数!$B$5*IF(AND(F287="能力",AL287="能力持续"),参数!$B$2,1)+P287*参数!$B$6*IF(AND(F287="能力",AL287="能力持续"),参数!$B$2,1)+R287*参数!$B$7*IF(AND(F287="能力",AL287="能力持续"),参数!$B$2,1)+V287*参数!$B$8+IF(X287&lt;0,X287*参数!$B$13,X287*参数!$B$39)+IF(AE287&lt;0,AE287*参数!$B$13,AE287*参数!$B$12)*参数!$B$2+AQ287*参数!$B$15+AB287*参数!$B$11+AF287*参数!$B$40*参数!$B$2+AG287*参数!$B$44*参数!$B$2+AH287*参数!$B$6*参数!$B$2+AI287*参数!$B$39*参数!$B$2+AJ287*参数!$B$6*参数!$B$2+Z287*参数!$B$13-T287*参数!$B$14-AD287*参数!$B$13+IF(ISNUMBER(AU287),AU287*参数!$B$38,0)-AV287*参数!$B$41-AW287*参数!$B$14&gt;参数!$B$17,参数!$B$17+SQRT(IF(AND(F287="能力",AL287="能力持续"),(参数!$B$2-1)*参数!$B$3,0)+M287*O287*参数!$B$5*IF(AND(F287="能力",AL287="能力持续"),参数!$B$2,1)+P287*参数!$B$6*IF(AND(F287="能力",AL287="能力持续"),参数!$B$2,1)+R287*参数!$B$7*IF(AND(F287="能力",AL287="能力持续"),参数!$B$2,1)+V287*参数!$B$8+IF(X287&lt;0,X287*参数!$B$13,X287*参数!$B$39)+IF(AE287&lt;0,AE287*参数!$B$13,AE287*参数!$B$12)*参数!$B$2+AQ287*参数!$B$15+AB287*参数!$B$11+AF287*参数!$B$40*参数!$B$2+AG287*参数!$B$44*参数!$B$2+AH287*参数!$B$6*参数!$B$2+AI287*参数!$B$39*参数!$B$2+AJ287*参数!$B$6*参数!$B$2+Z287*参数!$B$13-T287*参数!$B$14-AD287*参数!$B$13+IF(ISNUMBER(AU287),AU287*参数!$B$38,0)-AV287*参数!$B$41-AW287*参数!$B$14-参数!$B$17)*参数!$B$18,IF(AND(F287="能力",AL287="能力持续"),(参数!$B$2-1)*参数!$B$3,0)+M287*O287*参数!$B$5*IF(AND(F287="能力",AL287="能力持续"),参数!$B$2,1)+P287*参数!$B$6*IF(AND(F287="能力",AL287="能力持续"),参数!$B$2,1)+R287*参数!$B$7*IF(AND(F287="能力",AL287="能力持续"),参数!$B$2,1)+V287*参数!$B$8+IF(X287&lt;0,X287*参数!$B$13,X287*参数!$B$39)+IF(AE287&lt;0,AE287*参数!$B$13,AE287*参数!$B$12)*参数!$B$2+AQ287*参数!$B$15+AB287*参数!$B$11+AF287*参数!$B$40*参数!$B$2+AG287*参数!$B$44*参数!$B$2+AH287*参数!$B$6*参数!$B$2+AI287*参数!$B$39*参数!$B$2+AJ287*参数!$B$6*参数!$B$2+Z287*参数!$B$13-T287*参数!$B$14-AD287*参数!$B$13+IF(ISNUMBER(AU287),AU287*参数!$B$38,0)-AV287*参数!$B$41-AW287*参数!$B$14),0),0)</f>
        <v>16.708203932499369</v>
      </c>
      <c r="AZ287">
        <f>AY287-MAX(AP287,0)*参数!$B$10</f>
        <v>7.7082039324993694</v>
      </c>
      <c r="BA287">
        <f t="shared" si="9"/>
        <v>5.5694013108331228</v>
      </c>
    </row>
    <row r="288" spans="1:53" x14ac:dyDescent="0.3">
      <c r="A288">
        <v>287</v>
      </c>
      <c r="B288" t="s">
        <v>1265</v>
      </c>
      <c r="C288" t="s">
        <v>1083</v>
      </c>
      <c r="D288" t="s">
        <v>1266</v>
      </c>
      <c r="E288" t="s">
        <v>1267</v>
      </c>
      <c r="F288" t="s">
        <v>117</v>
      </c>
      <c r="G288" t="s">
        <v>10</v>
      </c>
      <c r="H288">
        <v>0</v>
      </c>
      <c r="I288">
        <v>0</v>
      </c>
      <c r="J288" t="s">
        <v>1268</v>
      </c>
      <c r="L288" t="s">
        <v>111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1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112</v>
      </c>
      <c r="AP288">
        <f t="shared" si="8"/>
        <v>0.4</v>
      </c>
      <c r="AQ288">
        <v>0</v>
      </c>
      <c r="AR288">
        <v>0</v>
      </c>
      <c r="AT288" t="s">
        <v>113</v>
      </c>
      <c r="AU288">
        <v>0</v>
      </c>
      <c r="AY288">
        <f>IFERROR(MAX(IF(IF(AND(F288="能力",AL288="能力持续"),(参数!$B$2-1)*参数!$B$3,0)+M288*O288*参数!$B$5*IF(AND(F288="能力",AL288="能力持续"),参数!$B$2,1)+P288*参数!$B$6*IF(AND(F288="能力",AL288="能力持续"),参数!$B$2,1)+R288*参数!$B$7*IF(AND(F288="能力",AL288="能力持续"),参数!$B$2,1)+V288*参数!$B$8+IF(X288&lt;0,X288*参数!$B$13,X288*参数!$B$39)+IF(AE288&lt;0,AE288*参数!$B$13,AE288*参数!$B$12)*参数!$B$2+AQ288*参数!$B$15+AB288*参数!$B$11+AF288*参数!$B$40*参数!$B$2+AG288*参数!$B$44*参数!$B$2+AH288*参数!$B$6*参数!$B$2+AI288*参数!$B$39*参数!$B$2+AJ288*参数!$B$6*参数!$B$2+Z288*参数!$B$13-T288*参数!$B$14-AD288*参数!$B$13+IF(ISNUMBER(AU288),AU288*参数!$B$38,0)-AV288*参数!$B$41-AW288*参数!$B$14&gt;参数!$B$17,参数!$B$17+SQRT(IF(AND(F288="能力",AL288="能力持续"),(参数!$B$2-1)*参数!$B$3,0)+M288*O288*参数!$B$5*IF(AND(F288="能力",AL288="能力持续"),参数!$B$2,1)+P288*参数!$B$6*IF(AND(F288="能力",AL288="能力持续"),参数!$B$2,1)+R288*参数!$B$7*IF(AND(F288="能力",AL288="能力持续"),参数!$B$2,1)+V288*参数!$B$8+IF(X288&lt;0,X288*参数!$B$13,X288*参数!$B$39)+IF(AE288&lt;0,AE288*参数!$B$13,AE288*参数!$B$12)*参数!$B$2+AQ288*参数!$B$15+AB288*参数!$B$11+AF288*参数!$B$40*参数!$B$2+AG288*参数!$B$44*参数!$B$2+AH288*参数!$B$6*参数!$B$2+AI288*参数!$B$39*参数!$B$2+AJ288*参数!$B$6*参数!$B$2+Z288*参数!$B$13-T288*参数!$B$14-AD288*参数!$B$13+IF(ISNUMBER(AU288),AU288*参数!$B$38,0)-AV288*参数!$B$41-AW288*参数!$B$14-参数!$B$17)*参数!$B$18,IF(AND(F288="能力",AL288="能力持续"),(参数!$B$2-1)*参数!$B$3,0)+M288*O288*参数!$B$5*IF(AND(F288="能力",AL288="能力持续"),参数!$B$2,1)+P288*参数!$B$6*IF(AND(F288="能力",AL288="能力持续"),参数!$B$2,1)+R288*参数!$B$7*IF(AND(F288="能力",AL288="能力持续"),参数!$B$2,1)+V288*参数!$B$8+IF(X288&lt;0,X288*参数!$B$13,X288*参数!$B$39)+IF(AE288&lt;0,AE288*参数!$B$13,AE288*参数!$B$12)*参数!$B$2+AQ288*参数!$B$15+AB288*参数!$B$11+AF288*参数!$B$40*参数!$B$2+AG288*参数!$B$44*参数!$B$2+AH288*参数!$B$6*参数!$B$2+AI288*参数!$B$39*参数!$B$2+AJ288*参数!$B$6*参数!$B$2+Z288*参数!$B$13-T288*参数!$B$14-AD288*参数!$B$13+IF(ISNUMBER(AU288),AU288*参数!$B$38,0)-AV288*参数!$B$41-AW288*参数!$B$14),0),0)</f>
        <v>2.8</v>
      </c>
      <c r="AZ288">
        <f>AY288-MAX(AP288,0)*参数!$B$10</f>
        <v>1.5999999999999996</v>
      </c>
      <c r="BA288">
        <f t="shared" si="9"/>
        <v>6.9999999999999991</v>
      </c>
    </row>
    <row r="289" spans="1:53" x14ac:dyDescent="0.3">
      <c r="A289">
        <v>288</v>
      </c>
      <c r="B289" t="s">
        <v>1269</v>
      </c>
      <c r="C289" t="s">
        <v>1083</v>
      </c>
      <c r="D289" t="s">
        <v>1270</v>
      </c>
      <c r="E289" t="s">
        <v>1271</v>
      </c>
      <c r="F289" t="s">
        <v>117</v>
      </c>
      <c r="G289" t="s">
        <v>12</v>
      </c>
      <c r="H289">
        <v>0</v>
      </c>
      <c r="I289">
        <v>0</v>
      </c>
      <c r="J289" t="s">
        <v>1272</v>
      </c>
      <c r="L289" t="s">
        <v>111</v>
      </c>
      <c r="M289">
        <f>0.5*参数!$B$47</f>
        <v>4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 t="s">
        <v>112</v>
      </c>
      <c r="AP289">
        <f t="shared" si="8"/>
        <v>0.4</v>
      </c>
      <c r="AQ289">
        <v>0</v>
      </c>
      <c r="AR289">
        <v>0</v>
      </c>
      <c r="AT289" t="s">
        <v>113</v>
      </c>
      <c r="AU289">
        <v>0</v>
      </c>
      <c r="AY289">
        <f>IFERROR(MAX(IF(IF(AND(F289="能力",AL289="能力持续"),(参数!$B$2-1)*参数!$B$3,0)+M289*O289*参数!$B$5*IF(AND(F289="能力",AL289="能力持续"),参数!$B$2,1)+P289*参数!$B$6*IF(AND(F289="能力",AL289="能力持续"),参数!$B$2,1)+R289*参数!$B$7*IF(AND(F289="能力",AL289="能力持续"),参数!$B$2,1)+V289*参数!$B$8+IF(X289&lt;0,X289*参数!$B$13,X289*参数!$B$39)+IF(AE289&lt;0,AE289*参数!$B$13,AE289*参数!$B$12)*参数!$B$2+AQ289*参数!$B$15+AB289*参数!$B$11+AF289*参数!$B$40*参数!$B$2+AG289*参数!$B$44*参数!$B$2+AH289*参数!$B$6*参数!$B$2+AI289*参数!$B$39*参数!$B$2+AJ289*参数!$B$6*参数!$B$2+Z289*参数!$B$13-T289*参数!$B$14-AD289*参数!$B$13+IF(ISNUMBER(AU289),AU289*参数!$B$38,0)-AV289*参数!$B$41-AW289*参数!$B$14&gt;参数!$B$17,参数!$B$17+SQRT(IF(AND(F289="能力",AL289="能力持续"),(参数!$B$2-1)*参数!$B$3,0)+M289*O289*参数!$B$5*IF(AND(F289="能力",AL289="能力持续"),参数!$B$2,1)+P289*参数!$B$6*IF(AND(F289="能力",AL289="能力持续"),参数!$B$2,1)+R289*参数!$B$7*IF(AND(F289="能力",AL289="能力持续"),参数!$B$2,1)+V289*参数!$B$8+IF(X289&lt;0,X289*参数!$B$13,X289*参数!$B$39)+IF(AE289&lt;0,AE289*参数!$B$13,AE289*参数!$B$12)*参数!$B$2+AQ289*参数!$B$15+AB289*参数!$B$11+AF289*参数!$B$40*参数!$B$2+AG289*参数!$B$44*参数!$B$2+AH289*参数!$B$6*参数!$B$2+AI289*参数!$B$39*参数!$B$2+AJ289*参数!$B$6*参数!$B$2+Z289*参数!$B$13-T289*参数!$B$14-AD289*参数!$B$13+IF(ISNUMBER(AU289),AU289*参数!$B$38,0)-AV289*参数!$B$41-AW289*参数!$B$14-参数!$B$17)*参数!$B$18,IF(AND(F289="能力",AL289="能力持续"),(参数!$B$2-1)*参数!$B$3,0)+M289*O289*参数!$B$5*IF(AND(F289="能力",AL289="能力持续"),参数!$B$2,1)+P289*参数!$B$6*IF(AND(F289="能力",AL289="能力持续"),参数!$B$2,1)+R289*参数!$B$7*IF(AND(F289="能力",AL289="能力持续"),参数!$B$2,1)+V289*参数!$B$8+IF(X289&lt;0,X289*参数!$B$13,X289*参数!$B$39)+IF(AE289&lt;0,AE289*参数!$B$13,AE289*参数!$B$12)*参数!$B$2+AQ289*参数!$B$15+AB289*参数!$B$11+AF289*参数!$B$40*参数!$B$2+AG289*参数!$B$44*参数!$B$2+AH289*参数!$B$6*参数!$B$2+AI289*参数!$B$39*参数!$B$2+AJ289*参数!$B$6*参数!$B$2+Z289*参数!$B$13-T289*参数!$B$14-AD289*参数!$B$13+IF(ISNUMBER(AU289),AU289*参数!$B$38,0)-AV289*参数!$B$41-AW289*参数!$B$14),0),0)</f>
        <v>4</v>
      </c>
      <c r="AZ289">
        <f>AY289-MAX(AP289,0)*参数!$B$10</f>
        <v>2.8</v>
      </c>
      <c r="BA289">
        <f t="shared" si="9"/>
        <v>10</v>
      </c>
    </row>
    <row r="290" spans="1:53" x14ac:dyDescent="0.3">
      <c r="A290">
        <v>289</v>
      </c>
      <c r="B290" t="s">
        <v>1273</v>
      </c>
      <c r="C290" t="s">
        <v>1083</v>
      </c>
      <c r="D290" t="s">
        <v>1274</v>
      </c>
      <c r="E290" t="s">
        <v>1275</v>
      </c>
      <c r="F290" t="s">
        <v>108</v>
      </c>
      <c r="G290" t="s">
        <v>12</v>
      </c>
      <c r="H290">
        <v>0</v>
      </c>
      <c r="I290">
        <v>0</v>
      </c>
      <c r="J290" t="s">
        <v>1276</v>
      </c>
      <c r="L290" t="s">
        <v>111</v>
      </c>
      <c r="M290">
        <f>参数!$B$21*4</f>
        <v>8</v>
      </c>
      <c r="N290">
        <f>参数!$B$21*5</f>
        <v>10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112</v>
      </c>
      <c r="AN290" t="s">
        <v>161</v>
      </c>
      <c r="AP290">
        <f t="shared" si="8"/>
        <v>0.4</v>
      </c>
      <c r="AQ290">
        <v>0</v>
      </c>
      <c r="AR290">
        <v>0</v>
      </c>
      <c r="AT290" t="s">
        <v>113</v>
      </c>
      <c r="AU290">
        <v>0</v>
      </c>
      <c r="AY290">
        <f>IFERROR(MAX(IF(IF(AND(F290="能力",AL290="能力持续"),(参数!$B$2-1)*参数!$B$3,0)+M290*O290*参数!$B$5*IF(AND(F290="能力",AL290="能力持续"),参数!$B$2,1)+P290*参数!$B$6*IF(AND(F290="能力",AL290="能力持续"),参数!$B$2,1)+R290*参数!$B$7*IF(AND(F290="能力",AL290="能力持续"),参数!$B$2,1)+V290*参数!$B$8+IF(X290&lt;0,X290*参数!$B$13,X290*参数!$B$39)+IF(AE290&lt;0,AE290*参数!$B$13,AE290*参数!$B$12)*参数!$B$2+AQ290*参数!$B$15+AB290*参数!$B$11+AF290*参数!$B$40*参数!$B$2+AG290*参数!$B$44*参数!$B$2+AH290*参数!$B$6*参数!$B$2+AI290*参数!$B$39*参数!$B$2+AJ290*参数!$B$6*参数!$B$2+Z290*参数!$B$13-T290*参数!$B$14-AD290*参数!$B$13+IF(ISNUMBER(AU290),AU290*参数!$B$38,0)-AV290*参数!$B$41-AW290*参数!$B$14&gt;参数!$B$17,参数!$B$17+SQRT(IF(AND(F290="能力",AL290="能力持续"),(参数!$B$2-1)*参数!$B$3,0)+M290*O290*参数!$B$5*IF(AND(F290="能力",AL290="能力持续"),参数!$B$2,1)+P290*参数!$B$6*IF(AND(F290="能力",AL290="能力持续"),参数!$B$2,1)+R290*参数!$B$7*IF(AND(F290="能力",AL290="能力持续"),参数!$B$2,1)+V290*参数!$B$8+IF(X290&lt;0,X290*参数!$B$13,X290*参数!$B$39)+IF(AE290&lt;0,AE290*参数!$B$13,AE290*参数!$B$12)*参数!$B$2+AQ290*参数!$B$15+AB290*参数!$B$11+AF290*参数!$B$40*参数!$B$2+AG290*参数!$B$44*参数!$B$2+AH290*参数!$B$6*参数!$B$2+AI290*参数!$B$39*参数!$B$2+AJ290*参数!$B$6*参数!$B$2+Z290*参数!$B$13-T290*参数!$B$14-AD290*参数!$B$13+IF(ISNUMBER(AU290),AU290*参数!$B$38,0)-AV290*参数!$B$41-AW290*参数!$B$14-参数!$B$17)*参数!$B$18,IF(AND(F290="能力",AL290="能力持续"),(参数!$B$2-1)*参数!$B$3,0)+M290*O290*参数!$B$5*IF(AND(F290="能力",AL290="能力持续"),参数!$B$2,1)+P290*参数!$B$6*IF(AND(F290="能力",AL290="能力持续"),参数!$B$2,1)+R290*参数!$B$7*IF(AND(F290="能力",AL290="能力持续"),参数!$B$2,1)+V290*参数!$B$8+IF(X290&lt;0,X290*参数!$B$13,X290*参数!$B$39)+IF(AE290&lt;0,AE290*参数!$B$13,AE290*参数!$B$12)*参数!$B$2+AQ290*参数!$B$15+AB290*参数!$B$11+AF290*参数!$B$40*参数!$B$2+AG290*参数!$B$44*参数!$B$2+AH290*参数!$B$6*参数!$B$2+AI290*参数!$B$39*参数!$B$2+AJ290*参数!$B$6*参数!$B$2+Z290*参数!$B$13-T290*参数!$B$14-AD290*参数!$B$13+IF(ISNUMBER(AU290),AU290*参数!$B$38,0)-AV290*参数!$B$41-AW290*参数!$B$14),0),0)</f>
        <v>8</v>
      </c>
      <c r="AZ290">
        <f>AY290-MAX(AP290,0)*参数!$B$10</f>
        <v>6.8</v>
      </c>
      <c r="BA290">
        <f t="shared" si="9"/>
        <v>20</v>
      </c>
    </row>
    <row r="291" spans="1:53" x14ac:dyDescent="0.3">
      <c r="A291">
        <v>290</v>
      </c>
      <c r="B291" t="s">
        <v>1277</v>
      </c>
      <c r="C291" t="s">
        <v>1083</v>
      </c>
      <c r="D291" t="s">
        <v>1278</v>
      </c>
      <c r="E291" t="s">
        <v>1279</v>
      </c>
      <c r="F291" t="s">
        <v>108</v>
      </c>
      <c r="G291" t="s">
        <v>14</v>
      </c>
      <c r="H291">
        <v>0</v>
      </c>
      <c r="I291">
        <v>0</v>
      </c>
      <c r="J291" t="s">
        <v>1280</v>
      </c>
      <c r="L291" t="s">
        <v>111</v>
      </c>
      <c r="M291">
        <f>(参数!$B$21/3)*6+6</f>
        <v>10</v>
      </c>
      <c r="N291">
        <f>(参数!$B$21/3)*9+9</f>
        <v>15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112</v>
      </c>
      <c r="AP291">
        <f t="shared" si="8"/>
        <v>0.4</v>
      </c>
      <c r="AQ291">
        <v>0</v>
      </c>
      <c r="AR291">
        <v>0</v>
      </c>
      <c r="AT291" t="s">
        <v>113</v>
      </c>
      <c r="AU291">
        <v>0</v>
      </c>
      <c r="AY291">
        <f>IFERROR(MAX(IF(IF(AND(F291="能力",AL291="能力持续"),(参数!$B$2-1)*参数!$B$3,0)+M291*O291*参数!$B$5*IF(AND(F291="能力",AL291="能力持续"),参数!$B$2,1)+P291*参数!$B$6*IF(AND(F291="能力",AL291="能力持续"),参数!$B$2,1)+R291*参数!$B$7*IF(AND(F291="能力",AL291="能力持续"),参数!$B$2,1)+V291*参数!$B$8+IF(X291&lt;0,X291*参数!$B$13,X291*参数!$B$39)+IF(AE291&lt;0,AE291*参数!$B$13,AE291*参数!$B$12)*参数!$B$2+AQ291*参数!$B$15+AB291*参数!$B$11+AF291*参数!$B$40*参数!$B$2+AG291*参数!$B$44*参数!$B$2+AH291*参数!$B$6*参数!$B$2+AI291*参数!$B$39*参数!$B$2+AJ291*参数!$B$6*参数!$B$2+Z291*参数!$B$13-T291*参数!$B$14-AD291*参数!$B$13+IF(ISNUMBER(AU291),AU291*参数!$B$38,0)-AV291*参数!$B$41-AW291*参数!$B$14&gt;参数!$B$17,参数!$B$17+SQRT(IF(AND(F291="能力",AL291="能力持续"),(参数!$B$2-1)*参数!$B$3,0)+M291*O291*参数!$B$5*IF(AND(F291="能力",AL291="能力持续"),参数!$B$2,1)+P291*参数!$B$6*IF(AND(F291="能力",AL291="能力持续"),参数!$B$2,1)+R291*参数!$B$7*IF(AND(F291="能力",AL291="能力持续"),参数!$B$2,1)+V291*参数!$B$8+IF(X291&lt;0,X291*参数!$B$13,X291*参数!$B$39)+IF(AE291&lt;0,AE291*参数!$B$13,AE291*参数!$B$12)*参数!$B$2+AQ291*参数!$B$15+AB291*参数!$B$11+AF291*参数!$B$40*参数!$B$2+AG291*参数!$B$44*参数!$B$2+AH291*参数!$B$6*参数!$B$2+AI291*参数!$B$39*参数!$B$2+AJ291*参数!$B$6*参数!$B$2+Z291*参数!$B$13-T291*参数!$B$14-AD291*参数!$B$13+IF(ISNUMBER(AU291),AU291*参数!$B$38,0)-AV291*参数!$B$41-AW291*参数!$B$14-参数!$B$17)*参数!$B$18,IF(AND(F291="能力",AL291="能力持续"),(参数!$B$2-1)*参数!$B$3,0)+M291*O291*参数!$B$5*IF(AND(F291="能力",AL291="能力持续"),参数!$B$2,1)+P291*参数!$B$6*IF(AND(F291="能力",AL291="能力持续"),参数!$B$2,1)+R291*参数!$B$7*IF(AND(F291="能力",AL291="能力持续"),参数!$B$2,1)+V291*参数!$B$8+IF(X291&lt;0,X291*参数!$B$13,X291*参数!$B$39)+IF(AE291&lt;0,AE291*参数!$B$13,AE291*参数!$B$12)*参数!$B$2+AQ291*参数!$B$15+AB291*参数!$B$11+AF291*参数!$B$40*参数!$B$2+AG291*参数!$B$44*参数!$B$2+AH291*参数!$B$6*参数!$B$2+AI291*参数!$B$39*参数!$B$2+AJ291*参数!$B$6*参数!$B$2+Z291*参数!$B$13-T291*参数!$B$14-AD291*参数!$B$13+IF(ISNUMBER(AU291),AU291*参数!$B$38,0)-AV291*参数!$B$41-AW291*参数!$B$14),0),0)</f>
        <v>10</v>
      </c>
      <c r="AZ291">
        <f>AY291-MAX(AP291,0)*参数!$B$10</f>
        <v>8.8000000000000007</v>
      </c>
      <c r="BA291">
        <f t="shared" si="9"/>
        <v>25</v>
      </c>
    </row>
    <row r="292" spans="1:53" x14ac:dyDescent="0.3">
      <c r="A292">
        <v>291</v>
      </c>
      <c r="B292" t="s">
        <v>1281</v>
      </c>
      <c r="C292" t="s">
        <v>1083</v>
      </c>
      <c r="D292" t="s">
        <v>1282</v>
      </c>
      <c r="E292" t="s">
        <v>1283</v>
      </c>
      <c r="F292" t="s">
        <v>117</v>
      </c>
      <c r="G292" t="s">
        <v>12</v>
      </c>
      <c r="H292">
        <v>1</v>
      </c>
      <c r="I292">
        <v>1</v>
      </c>
      <c r="J292" t="s">
        <v>1284</v>
      </c>
      <c r="L292" t="s">
        <v>120</v>
      </c>
      <c r="M292">
        <v>0</v>
      </c>
      <c r="N292">
        <v>0</v>
      </c>
      <c r="O292">
        <v>1</v>
      </c>
      <c r="P292">
        <v>7</v>
      </c>
      <c r="Q292">
        <v>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 t="s">
        <v>112</v>
      </c>
      <c r="AP292">
        <f t="shared" si="8"/>
        <v>1</v>
      </c>
      <c r="AQ292">
        <v>0</v>
      </c>
      <c r="AR292">
        <v>0</v>
      </c>
      <c r="AT292" t="s">
        <v>113</v>
      </c>
      <c r="AU292">
        <v>0</v>
      </c>
      <c r="AY292">
        <f>IFERROR(MAX(IF(IF(AND(F292="能力",AL292="能力持续"),(参数!$B$2-1)*参数!$B$3,0)+M292*O292*参数!$B$5*IF(AND(F292="能力",AL292="能力持续"),参数!$B$2,1)+P292*参数!$B$6*IF(AND(F292="能力",AL292="能力持续"),参数!$B$2,1)+R292*参数!$B$7*IF(AND(F292="能力",AL292="能力持续"),参数!$B$2,1)+V292*参数!$B$8+IF(X292&lt;0,X292*参数!$B$13,X292*参数!$B$39)+IF(AE292&lt;0,AE292*参数!$B$13,AE292*参数!$B$12)*参数!$B$2+AQ292*参数!$B$15+AB292*参数!$B$11+AF292*参数!$B$40*参数!$B$2+AG292*参数!$B$44*参数!$B$2+AH292*参数!$B$6*参数!$B$2+AI292*参数!$B$39*参数!$B$2+AJ292*参数!$B$6*参数!$B$2+Z292*参数!$B$13-T292*参数!$B$14-AD292*参数!$B$13+IF(ISNUMBER(AU292),AU292*参数!$B$38,0)-AV292*参数!$B$41-AW292*参数!$B$14&gt;参数!$B$17,参数!$B$17+SQRT(IF(AND(F292="能力",AL292="能力持续"),(参数!$B$2-1)*参数!$B$3,0)+M292*O292*参数!$B$5*IF(AND(F292="能力",AL292="能力持续"),参数!$B$2,1)+P292*参数!$B$6*IF(AND(F292="能力",AL292="能力持续"),参数!$B$2,1)+R292*参数!$B$7*IF(AND(F292="能力",AL292="能力持续"),参数!$B$2,1)+V292*参数!$B$8+IF(X292&lt;0,X292*参数!$B$13,X292*参数!$B$39)+IF(AE292&lt;0,AE292*参数!$B$13,AE292*参数!$B$12)*参数!$B$2+AQ292*参数!$B$15+AB292*参数!$B$11+AF292*参数!$B$40*参数!$B$2+AG292*参数!$B$44*参数!$B$2+AH292*参数!$B$6*参数!$B$2+AI292*参数!$B$39*参数!$B$2+AJ292*参数!$B$6*参数!$B$2+Z292*参数!$B$13-T292*参数!$B$14-AD292*参数!$B$13+IF(ISNUMBER(AU292),AU292*参数!$B$38,0)-AV292*参数!$B$41-AW292*参数!$B$14-参数!$B$17)*参数!$B$18,IF(AND(F292="能力",AL292="能力持续"),(参数!$B$2-1)*参数!$B$3,0)+M292*O292*参数!$B$5*IF(AND(F292="能力",AL292="能力持续"),参数!$B$2,1)+P292*参数!$B$6*IF(AND(F292="能力",AL292="能力持续"),参数!$B$2,1)+R292*参数!$B$7*IF(AND(F292="能力",AL292="能力持续"),参数!$B$2,1)+V292*参数!$B$8+IF(X292&lt;0,X292*参数!$B$13,X292*参数!$B$39)+IF(AE292&lt;0,AE292*参数!$B$13,AE292*参数!$B$12)*参数!$B$2+AQ292*参数!$B$15+AB292*参数!$B$11+AF292*参数!$B$40*参数!$B$2+AG292*参数!$B$44*参数!$B$2+AH292*参数!$B$6*参数!$B$2+AI292*参数!$B$39*参数!$B$2+AJ292*参数!$B$6*参数!$B$2+Z292*参数!$B$13-T292*参数!$B$14-AD292*参数!$B$13+IF(ISNUMBER(AU292),AU292*参数!$B$38,0)-AV292*参数!$B$41-AW292*参数!$B$14),0),0)</f>
        <v>7.7000000000000011</v>
      </c>
      <c r="AZ292">
        <f>AY292-MAX(AP292,0)*参数!$B$10</f>
        <v>4.7000000000000011</v>
      </c>
      <c r="BA292">
        <f t="shared" si="9"/>
        <v>7.7000000000000011</v>
      </c>
    </row>
    <row r="293" spans="1:53" x14ac:dyDescent="0.3">
      <c r="A293">
        <v>292</v>
      </c>
      <c r="B293" t="s">
        <v>1285</v>
      </c>
      <c r="C293" t="s">
        <v>1083</v>
      </c>
      <c r="D293" t="s">
        <v>1286</v>
      </c>
      <c r="E293" t="s">
        <v>1287</v>
      </c>
      <c r="F293" t="s">
        <v>108</v>
      </c>
      <c r="G293" t="s">
        <v>16</v>
      </c>
      <c r="H293">
        <v>0</v>
      </c>
      <c r="I293">
        <v>0</v>
      </c>
      <c r="J293" t="s">
        <v>1288</v>
      </c>
      <c r="L293" t="s">
        <v>191</v>
      </c>
      <c r="M293">
        <v>14</v>
      </c>
      <c r="N293">
        <v>21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-2</v>
      </c>
      <c r="Y293">
        <v>-2</v>
      </c>
      <c r="Z293">
        <v>2</v>
      </c>
      <c r="AA293">
        <v>2</v>
      </c>
      <c r="AB293">
        <v>2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 t="s">
        <v>112</v>
      </c>
      <c r="AN293" t="s">
        <v>192</v>
      </c>
      <c r="AP293">
        <f t="shared" si="8"/>
        <v>0.4</v>
      </c>
      <c r="AQ293">
        <v>0</v>
      </c>
      <c r="AR293">
        <v>0</v>
      </c>
      <c r="AT293" t="s">
        <v>113</v>
      </c>
      <c r="AU293">
        <v>0</v>
      </c>
      <c r="AY293">
        <f>IFERROR(MAX(IF(IF(AND(F293="能力",AL293="能力持续"),(参数!$B$2-1)*参数!$B$3,0)+M293*O293*参数!$B$5*IF(AND(F293="能力",AL293="能力持续"),参数!$B$2,1)+P293*参数!$B$6*IF(AND(F293="能力",AL293="能力持续"),参数!$B$2,1)+R293*参数!$B$7*IF(AND(F293="能力",AL293="能力持续"),参数!$B$2,1)+V293*参数!$B$8+IF(X293&lt;0,X293*参数!$B$13,X293*参数!$B$39)+IF(AE293&lt;0,AE293*参数!$B$13,AE293*参数!$B$12)*参数!$B$2+AQ293*参数!$B$15+AB293*参数!$B$11+AF293*参数!$B$40*参数!$B$2+AG293*参数!$B$44*参数!$B$2+AH293*参数!$B$6*参数!$B$2+AI293*参数!$B$39*参数!$B$2+AJ293*参数!$B$6*参数!$B$2+Z293*参数!$B$13-T293*参数!$B$14-AD293*参数!$B$13+IF(ISNUMBER(AU293),AU293*参数!$B$38,0)-AV293*参数!$B$41-AW293*参数!$B$14&gt;参数!$B$17,参数!$B$17+SQRT(IF(AND(F293="能力",AL293="能力持续"),(参数!$B$2-1)*参数!$B$3,0)+M293*O293*参数!$B$5*IF(AND(F293="能力",AL293="能力持续"),参数!$B$2,1)+P293*参数!$B$6*IF(AND(F293="能力",AL293="能力持续"),参数!$B$2,1)+R293*参数!$B$7*IF(AND(F293="能力",AL293="能力持续"),参数!$B$2,1)+V293*参数!$B$8+IF(X293&lt;0,X293*参数!$B$13,X293*参数!$B$39)+IF(AE293&lt;0,AE293*参数!$B$13,AE293*参数!$B$12)*参数!$B$2+AQ293*参数!$B$15+AB293*参数!$B$11+AF293*参数!$B$40*参数!$B$2+AG293*参数!$B$44*参数!$B$2+AH293*参数!$B$6*参数!$B$2+AI293*参数!$B$39*参数!$B$2+AJ293*参数!$B$6*参数!$B$2+Z293*参数!$B$13-T293*参数!$B$14-AD293*参数!$B$13+IF(ISNUMBER(AU293),AU293*参数!$B$38,0)-AV293*参数!$B$41-AW293*参数!$B$14-参数!$B$17)*参数!$B$18,IF(AND(F293="能力",AL293="能力持续"),(参数!$B$2-1)*参数!$B$3,0)+M293*O293*参数!$B$5*IF(AND(F293="能力",AL293="能力持续"),参数!$B$2,1)+P293*参数!$B$6*IF(AND(F293="能力",AL293="能力持续"),参数!$B$2,1)+R293*参数!$B$7*IF(AND(F293="能力",AL293="能力持续"),参数!$B$2,1)+V293*参数!$B$8+IF(X293&lt;0,X293*参数!$B$13,X293*参数!$B$39)+IF(AE293&lt;0,AE293*参数!$B$13,AE293*参数!$B$12)*参数!$B$2+AQ293*参数!$B$15+AB293*参数!$B$11+AF293*参数!$B$40*参数!$B$2+AG293*参数!$B$44*参数!$B$2+AH293*参数!$B$6*参数!$B$2+AI293*参数!$B$39*参数!$B$2+AJ293*参数!$B$6*参数!$B$2+Z293*参数!$B$13-T293*参数!$B$14-AD293*参数!$B$13+IF(ISNUMBER(AU293),AU293*参数!$B$38,0)-AV293*参数!$B$41-AW293*参数!$B$14),0),0)</f>
        <v>13.853569773599538</v>
      </c>
      <c r="AZ293">
        <f>AY293-MAX(AP293,0)*参数!$B$10</f>
        <v>12.653569773599539</v>
      </c>
      <c r="BA293">
        <f t="shared" si="9"/>
        <v>34.633924433998843</v>
      </c>
    </row>
    <row r="294" spans="1:53" x14ac:dyDescent="0.3">
      <c r="A294">
        <v>293</v>
      </c>
      <c r="B294" t="s">
        <v>1289</v>
      </c>
      <c r="C294" t="s">
        <v>1083</v>
      </c>
      <c r="D294" t="s">
        <v>1290</v>
      </c>
      <c r="E294" t="s">
        <v>1291</v>
      </c>
      <c r="F294" t="s">
        <v>124</v>
      </c>
      <c r="G294" t="s">
        <v>14</v>
      </c>
      <c r="H294">
        <v>3</v>
      </c>
      <c r="I294">
        <v>2</v>
      </c>
      <c r="J294" t="s">
        <v>1292</v>
      </c>
      <c r="K294" t="s">
        <v>1170</v>
      </c>
      <c r="L294" t="s">
        <v>120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 t="s">
        <v>112</v>
      </c>
      <c r="AL294" t="s">
        <v>127</v>
      </c>
      <c r="AN294" t="s">
        <v>1293</v>
      </c>
      <c r="AO294" t="s">
        <v>1170</v>
      </c>
      <c r="AP294">
        <f t="shared" si="8"/>
        <v>3</v>
      </c>
      <c r="AQ294">
        <v>3</v>
      </c>
      <c r="AR294">
        <v>0</v>
      </c>
      <c r="AT294" t="s">
        <v>113</v>
      </c>
      <c r="AU294">
        <v>0</v>
      </c>
      <c r="AY294">
        <f>IFERROR(MAX(IF(IF(AND(F294="能力",AL294="能力持续"),(参数!$B$2-1)*参数!$B$3,0)+M294*O294*参数!$B$5*IF(AND(F294="能力",AL294="能力持续"),参数!$B$2,1)+P294*参数!$B$6*IF(AND(F294="能力",AL294="能力持续"),参数!$B$2,1)+R294*参数!$B$7*IF(AND(F294="能力",AL294="能力持续"),参数!$B$2,1)+V294*参数!$B$8+IF(X294&lt;0,X294*参数!$B$13,X294*参数!$B$39)+IF(AE294&lt;0,AE294*参数!$B$13,AE294*参数!$B$12)*参数!$B$2+AQ294*参数!$B$15+AB294*参数!$B$11+AF294*参数!$B$40*参数!$B$2+AG294*参数!$B$44*参数!$B$2+AH294*参数!$B$6*参数!$B$2+AI294*参数!$B$39*参数!$B$2+AJ294*参数!$B$6*参数!$B$2+Z294*参数!$B$13-T294*参数!$B$14-AD294*参数!$B$13+IF(ISNUMBER(AU294),AU294*参数!$B$38,0)-AV294*参数!$B$41-AW294*参数!$B$14&gt;参数!$B$17,参数!$B$17+SQRT(IF(AND(F294="能力",AL294="能力持续"),(参数!$B$2-1)*参数!$B$3,0)+M294*O294*参数!$B$5*IF(AND(F294="能力",AL294="能力持续"),参数!$B$2,1)+P294*参数!$B$6*IF(AND(F294="能力",AL294="能力持续"),参数!$B$2,1)+R294*参数!$B$7*IF(AND(F294="能力",AL294="能力持续"),参数!$B$2,1)+V294*参数!$B$8+IF(X294&lt;0,X294*参数!$B$13,X294*参数!$B$39)+IF(AE294&lt;0,AE294*参数!$B$13,AE294*参数!$B$12)*参数!$B$2+AQ294*参数!$B$15+AB294*参数!$B$11+AF294*参数!$B$40*参数!$B$2+AG294*参数!$B$44*参数!$B$2+AH294*参数!$B$6*参数!$B$2+AI294*参数!$B$39*参数!$B$2+AJ294*参数!$B$6*参数!$B$2+Z294*参数!$B$13-T294*参数!$B$14-AD294*参数!$B$13+IF(ISNUMBER(AU294),AU294*参数!$B$38,0)-AV294*参数!$B$41-AW294*参数!$B$14-参数!$B$17)*参数!$B$18,IF(AND(F294="能力",AL294="能力持续"),(参数!$B$2-1)*参数!$B$3,0)+M294*O294*参数!$B$5*IF(AND(F294="能力",AL294="能力持续"),参数!$B$2,1)+P294*参数!$B$6*IF(AND(F294="能力",AL294="能力持续"),参数!$B$2,1)+R294*参数!$B$7*IF(AND(F294="能力",AL294="能力持续"),参数!$B$2,1)+V294*参数!$B$8+IF(X294&lt;0,X294*参数!$B$13,X294*参数!$B$39)+IF(AE294&lt;0,AE294*参数!$B$13,AE294*参数!$B$12)*参数!$B$2+AQ294*参数!$B$15+AB294*参数!$B$11+AF294*参数!$B$40*参数!$B$2+AG294*参数!$B$44*参数!$B$2+AH294*参数!$B$6*参数!$B$2+AI294*参数!$B$39*参数!$B$2+AJ294*参数!$B$6*参数!$B$2+Z294*参数!$B$13-T294*参数!$B$14-AD294*参数!$B$13+IF(ISNUMBER(AU294),AU294*参数!$B$38,0)-AV294*参数!$B$41-AW294*参数!$B$14),0),0)</f>
        <v>12.418677324489565</v>
      </c>
      <c r="AZ294">
        <f>AY294-MAX(AP294,0)*参数!$B$10</f>
        <v>3.4186773244895647</v>
      </c>
      <c r="BA294">
        <f t="shared" si="9"/>
        <v>4.139559108163188</v>
      </c>
    </row>
    <row r="295" spans="1:53" x14ac:dyDescent="0.3">
      <c r="A295">
        <v>294</v>
      </c>
      <c r="B295" t="s">
        <v>1294</v>
      </c>
      <c r="C295" t="s">
        <v>1083</v>
      </c>
      <c r="D295" t="s">
        <v>1295</v>
      </c>
      <c r="E295" t="s">
        <v>1296</v>
      </c>
      <c r="F295" t="s">
        <v>117</v>
      </c>
      <c r="G295" t="s">
        <v>12</v>
      </c>
      <c r="H295">
        <v>0</v>
      </c>
      <c r="I295">
        <v>0</v>
      </c>
      <c r="J295" t="s">
        <v>1297</v>
      </c>
      <c r="L295" t="s">
        <v>120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f>参数!B23</f>
        <v>4.5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112</v>
      </c>
      <c r="AN295" t="s">
        <v>161</v>
      </c>
      <c r="AP295">
        <f t="shared" si="8"/>
        <v>0.4</v>
      </c>
      <c r="AQ295">
        <v>0</v>
      </c>
      <c r="AR295">
        <v>0</v>
      </c>
      <c r="AT295" t="s">
        <v>113</v>
      </c>
      <c r="AU295">
        <v>0</v>
      </c>
      <c r="AY295">
        <f>IFERROR(MAX(IF(IF(AND(F295="能力",AL295="能力持续"),(参数!$B$2-1)*参数!$B$3,0)+M295*O295*参数!$B$5*IF(AND(F295="能力",AL295="能力持续"),参数!$B$2,1)+P295*参数!$B$6*IF(AND(F295="能力",AL295="能力持续"),参数!$B$2,1)+R295*参数!$B$7*IF(AND(F295="能力",AL295="能力持续"),参数!$B$2,1)+V295*参数!$B$8+IF(X295&lt;0,X295*参数!$B$13,X295*参数!$B$39)+IF(AE295&lt;0,AE295*参数!$B$13,AE295*参数!$B$12)*参数!$B$2+AQ295*参数!$B$15+AB295*参数!$B$11+AF295*参数!$B$40*参数!$B$2+AG295*参数!$B$44*参数!$B$2+AH295*参数!$B$6*参数!$B$2+AI295*参数!$B$39*参数!$B$2+AJ295*参数!$B$6*参数!$B$2+Z295*参数!$B$13-T295*参数!$B$14-AD295*参数!$B$13+IF(ISNUMBER(AU295),AU295*参数!$B$38,0)-AV295*参数!$B$41-AW295*参数!$B$14&gt;参数!$B$17,参数!$B$17+SQRT(IF(AND(F295="能力",AL295="能力持续"),(参数!$B$2-1)*参数!$B$3,0)+M295*O295*参数!$B$5*IF(AND(F295="能力",AL295="能力持续"),参数!$B$2,1)+P295*参数!$B$6*IF(AND(F295="能力",AL295="能力持续"),参数!$B$2,1)+R295*参数!$B$7*IF(AND(F295="能力",AL295="能力持续"),参数!$B$2,1)+V295*参数!$B$8+IF(X295&lt;0,X295*参数!$B$13,X295*参数!$B$39)+IF(AE295&lt;0,AE295*参数!$B$13,AE295*参数!$B$12)*参数!$B$2+AQ295*参数!$B$15+AB295*参数!$B$11+AF295*参数!$B$40*参数!$B$2+AG295*参数!$B$44*参数!$B$2+AH295*参数!$B$6*参数!$B$2+AI295*参数!$B$39*参数!$B$2+AJ295*参数!$B$6*参数!$B$2+Z295*参数!$B$13-T295*参数!$B$14-AD295*参数!$B$13+IF(ISNUMBER(AU295),AU295*参数!$B$38,0)-AV295*参数!$B$41-AW295*参数!$B$14-参数!$B$17)*参数!$B$18,IF(AND(F295="能力",AL295="能力持续"),(参数!$B$2-1)*参数!$B$3,0)+M295*O295*参数!$B$5*IF(AND(F295="能力",AL295="能力持续"),参数!$B$2,1)+P295*参数!$B$6*IF(AND(F295="能力",AL295="能力持续"),参数!$B$2,1)+R295*参数!$B$7*IF(AND(F295="能力",AL295="能力持续"),参数!$B$2,1)+V295*参数!$B$8+IF(X295&lt;0,X295*参数!$B$13,X295*参数!$B$39)+IF(AE295&lt;0,AE295*参数!$B$13,AE295*参数!$B$12)*参数!$B$2+AQ295*参数!$B$15+AB295*参数!$B$11+AF295*参数!$B$40*参数!$B$2+AG295*参数!$B$44*参数!$B$2+AH295*参数!$B$6*参数!$B$2+AI295*参数!$B$39*参数!$B$2+AJ295*参数!$B$6*参数!$B$2+Z295*参数!$B$13-T295*参数!$B$14-AD295*参数!$B$13+IF(ISNUMBER(AU295),AU295*参数!$B$38,0)-AV295*参数!$B$41-AW295*参数!$B$14),0),0)</f>
        <v>15.10881590977792</v>
      </c>
      <c r="AZ295">
        <f>AY295-MAX(AP295,0)*参数!$B$10</f>
        <v>13.908815909777921</v>
      </c>
      <c r="BA295">
        <f t="shared" si="9"/>
        <v>37.772039774444799</v>
      </c>
    </row>
    <row r="296" spans="1:53" x14ac:dyDescent="0.3">
      <c r="A296">
        <v>295</v>
      </c>
      <c r="B296" t="s">
        <v>1298</v>
      </c>
      <c r="C296" t="s">
        <v>1083</v>
      </c>
      <c r="D296" t="s">
        <v>1299</v>
      </c>
      <c r="E296" t="s">
        <v>1300</v>
      </c>
      <c r="F296" t="s">
        <v>124</v>
      </c>
      <c r="G296" t="s">
        <v>14</v>
      </c>
      <c r="H296">
        <v>1</v>
      </c>
      <c r="I296">
        <v>1</v>
      </c>
      <c r="J296" t="s">
        <v>1301</v>
      </c>
      <c r="L296" t="s">
        <v>120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-5</v>
      </c>
      <c r="Y296">
        <v>-5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</v>
      </c>
      <c r="AK296" t="s">
        <v>112</v>
      </c>
      <c r="AN296" t="s">
        <v>124</v>
      </c>
      <c r="AP296">
        <f t="shared" si="8"/>
        <v>1</v>
      </c>
      <c r="AQ296">
        <v>0</v>
      </c>
      <c r="AR296">
        <v>0</v>
      </c>
      <c r="AT296" t="s">
        <v>113</v>
      </c>
      <c r="AU296">
        <v>0</v>
      </c>
      <c r="AY296">
        <f>IFERROR(MAX(IF(IF(AND(F296="能力",AL296="能力持续"),(参数!$B$2-1)*参数!$B$3,0)+M296*O296*参数!$B$5*IF(AND(F296="能力",AL296="能力持续"),参数!$B$2,1)+P296*参数!$B$6*IF(AND(F296="能力",AL296="能力持续"),参数!$B$2,1)+R296*参数!$B$7*IF(AND(F296="能力",AL296="能力持续"),参数!$B$2,1)+V296*参数!$B$8+IF(X296&lt;0,X296*参数!$B$13,X296*参数!$B$39)+IF(AE296&lt;0,AE296*参数!$B$13,AE296*参数!$B$12)*参数!$B$2+AQ296*参数!$B$15+AB296*参数!$B$11+AF296*参数!$B$40*参数!$B$2+AG296*参数!$B$44*参数!$B$2+AH296*参数!$B$6*参数!$B$2+AI296*参数!$B$39*参数!$B$2+AJ296*参数!$B$6*参数!$B$2+Z296*参数!$B$13-T296*参数!$B$14-AD296*参数!$B$13+IF(ISNUMBER(AU296),AU296*参数!$B$38,0)-AV296*参数!$B$41-AW296*参数!$B$14&gt;参数!$B$17,参数!$B$17+SQRT(IF(AND(F296="能力",AL296="能力持续"),(参数!$B$2-1)*参数!$B$3,0)+M296*O296*参数!$B$5*IF(AND(F296="能力",AL296="能力持续"),参数!$B$2,1)+P296*参数!$B$6*IF(AND(F296="能力",AL296="能力持续"),参数!$B$2,1)+R296*参数!$B$7*IF(AND(F296="能力",AL296="能力持续"),参数!$B$2,1)+V296*参数!$B$8+IF(X296&lt;0,X296*参数!$B$13,X296*参数!$B$39)+IF(AE296&lt;0,AE296*参数!$B$13,AE296*参数!$B$12)*参数!$B$2+AQ296*参数!$B$15+AB296*参数!$B$11+AF296*参数!$B$40*参数!$B$2+AG296*参数!$B$44*参数!$B$2+AH296*参数!$B$6*参数!$B$2+AI296*参数!$B$39*参数!$B$2+AJ296*参数!$B$6*参数!$B$2+Z296*参数!$B$13-T296*参数!$B$14-AD296*参数!$B$13+IF(ISNUMBER(AU296),AU296*参数!$B$38,0)-AV296*参数!$B$41-AW296*参数!$B$14-参数!$B$17)*参数!$B$18,IF(AND(F296="能力",AL296="能力持续"),(参数!$B$2-1)*参数!$B$3,0)+M296*O296*参数!$B$5*IF(AND(F296="能力",AL296="能力持续"),参数!$B$2,1)+P296*参数!$B$6*IF(AND(F296="能力",AL296="能力持续"),参数!$B$2,1)+R296*参数!$B$7*IF(AND(F296="能力",AL296="能力持续"),参数!$B$2,1)+V296*参数!$B$8+IF(X296&lt;0,X296*参数!$B$13,X296*参数!$B$39)+IF(AE296&lt;0,AE296*参数!$B$13,AE296*参数!$B$12)*参数!$B$2+AQ296*参数!$B$15+AB296*参数!$B$11+AF296*参数!$B$40*参数!$B$2+AG296*参数!$B$44*参数!$B$2+AH296*参数!$B$6*参数!$B$2+AI296*参数!$B$39*参数!$B$2+AJ296*参数!$B$6*参数!$B$2+Z296*参数!$B$13-T296*参数!$B$14-AD296*参数!$B$13+IF(ISNUMBER(AU296),AU296*参数!$B$38,0)-AV296*参数!$B$41-AW296*参数!$B$14),0),0)</f>
        <v>16.310705190388788</v>
      </c>
      <c r="AZ296">
        <f>AY296-MAX(AP296,0)*参数!$B$10</f>
        <v>13.310705190388788</v>
      </c>
      <c r="BA296">
        <f t="shared" si="9"/>
        <v>16.310705190388788</v>
      </c>
    </row>
    <row r="297" spans="1:53" x14ac:dyDescent="0.3">
      <c r="A297">
        <v>296</v>
      </c>
      <c r="B297" t="s">
        <v>1302</v>
      </c>
      <c r="C297" t="s">
        <v>1083</v>
      </c>
      <c r="D297" t="s">
        <v>1303</v>
      </c>
      <c r="E297" t="s">
        <v>1304</v>
      </c>
      <c r="F297" t="s">
        <v>124</v>
      </c>
      <c r="G297" t="s">
        <v>12</v>
      </c>
      <c r="H297">
        <v>2</v>
      </c>
      <c r="I297">
        <v>1</v>
      </c>
      <c r="J297" t="s">
        <v>1305</v>
      </c>
      <c r="L297" t="s">
        <v>120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f>(参数!$B$24*参数!$B$2)/4</f>
        <v>3</v>
      </c>
      <c r="W297">
        <f>(参数!$B$24*参数!$B$2)/4</f>
        <v>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112</v>
      </c>
      <c r="AL297" t="s">
        <v>127</v>
      </c>
      <c r="AN297" t="s">
        <v>124</v>
      </c>
      <c r="AP297">
        <f t="shared" si="8"/>
        <v>0.4</v>
      </c>
      <c r="AQ297">
        <v>0</v>
      </c>
      <c r="AR297">
        <v>0</v>
      </c>
      <c r="AT297" t="s">
        <v>113</v>
      </c>
      <c r="AU297">
        <v>0</v>
      </c>
      <c r="AY297">
        <f>IFERROR(MAX(IF(IF(AND(F297="能力",AL297="能力持续"),(参数!$B$2-1)*参数!$B$3,0)+M297*O297*参数!$B$5*IF(AND(F297="能力",AL297="能力持续"),参数!$B$2,1)+P297*参数!$B$6*IF(AND(F297="能力",AL297="能力持续"),参数!$B$2,1)+R297*参数!$B$7*IF(AND(F297="能力",AL297="能力持续"),参数!$B$2,1)+V297*参数!$B$8+IF(X297&lt;0,X297*参数!$B$13,X297*参数!$B$39)+IF(AE297&lt;0,AE297*参数!$B$13,AE297*参数!$B$12)*参数!$B$2+AQ297*参数!$B$15+AB297*参数!$B$11+AF297*参数!$B$40*参数!$B$2+AG297*参数!$B$44*参数!$B$2+AH297*参数!$B$6*参数!$B$2+AI297*参数!$B$39*参数!$B$2+AJ297*参数!$B$6*参数!$B$2+Z297*参数!$B$13-T297*参数!$B$14-AD297*参数!$B$13+IF(ISNUMBER(AU297),AU297*参数!$B$38,0)-AV297*参数!$B$41-AW297*参数!$B$14&gt;参数!$B$17,参数!$B$17+SQRT(IF(AND(F297="能力",AL297="能力持续"),(参数!$B$2-1)*参数!$B$3,0)+M297*O297*参数!$B$5*IF(AND(F297="能力",AL297="能力持续"),参数!$B$2,1)+P297*参数!$B$6*IF(AND(F297="能力",AL297="能力持续"),参数!$B$2,1)+R297*参数!$B$7*IF(AND(F297="能力",AL297="能力持续"),参数!$B$2,1)+V297*参数!$B$8+IF(X297&lt;0,X297*参数!$B$13,X297*参数!$B$39)+IF(AE297&lt;0,AE297*参数!$B$13,AE297*参数!$B$12)*参数!$B$2+AQ297*参数!$B$15+AB297*参数!$B$11+AF297*参数!$B$40*参数!$B$2+AG297*参数!$B$44*参数!$B$2+AH297*参数!$B$6*参数!$B$2+AI297*参数!$B$39*参数!$B$2+AJ297*参数!$B$6*参数!$B$2+Z297*参数!$B$13-T297*参数!$B$14-AD297*参数!$B$13+IF(ISNUMBER(AU297),AU297*参数!$B$38,0)-AV297*参数!$B$41-AW297*参数!$B$14-参数!$B$17)*参数!$B$18,IF(AND(F297="能力",AL297="能力持续"),(参数!$B$2-1)*参数!$B$3,0)+M297*O297*参数!$B$5*IF(AND(F297="能力",AL297="能力持续"),参数!$B$2,1)+P297*参数!$B$6*IF(AND(F297="能力",AL297="能力持续"),参数!$B$2,1)+R297*参数!$B$7*IF(AND(F297="能力",AL297="能力持续"),参数!$B$2,1)+V297*参数!$B$8+IF(X297&lt;0,X297*参数!$B$13,X297*参数!$B$39)+IF(AE297&lt;0,AE297*参数!$B$13,AE297*参数!$B$12)*参数!$B$2+AQ297*参数!$B$15+AB297*参数!$B$11+AF297*参数!$B$40*参数!$B$2+AG297*参数!$B$44*参数!$B$2+AH297*参数!$B$6*参数!$B$2+AI297*参数!$B$39*参数!$B$2+AJ297*参数!$B$6*参数!$B$2+Z297*参数!$B$13-T297*参数!$B$14-AD297*参数!$B$13+IF(ISNUMBER(AU297),AU297*参数!$B$38,0)-AV297*参数!$B$41-AW297*参数!$B$14),0),0)</f>
        <v>12.418677324489565</v>
      </c>
      <c r="AZ297">
        <f>AY297-MAX(AP297,0)*参数!$B$10</f>
        <v>11.218677324489565</v>
      </c>
      <c r="BA297">
        <f t="shared" si="9"/>
        <v>31.046693311223912</v>
      </c>
    </row>
    <row r="298" spans="1:53" x14ac:dyDescent="0.3">
      <c r="A298">
        <v>297</v>
      </c>
      <c r="B298" t="s">
        <v>1306</v>
      </c>
      <c r="C298" t="s">
        <v>1083</v>
      </c>
      <c r="D298" t="s">
        <v>1307</v>
      </c>
      <c r="E298" t="s">
        <v>1308</v>
      </c>
      <c r="F298" t="s">
        <v>124</v>
      </c>
      <c r="G298" t="s">
        <v>12</v>
      </c>
      <c r="H298">
        <v>1</v>
      </c>
      <c r="I298">
        <v>1</v>
      </c>
      <c r="J298" t="s">
        <v>1309</v>
      </c>
      <c r="L298" t="s">
        <v>120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f>(参数!$B$23)/5*参数!$B$2</f>
        <v>3.6</v>
      </c>
      <c r="S298">
        <f>(参数!$B$23)/5*2*参数!$B$2</f>
        <v>7.2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 t="s">
        <v>112</v>
      </c>
      <c r="AN298" t="s">
        <v>124</v>
      </c>
      <c r="AP298">
        <f t="shared" si="8"/>
        <v>1</v>
      </c>
      <c r="AQ298">
        <v>0</v>
      </c>
      <c r="AR298">
        <v>0</v>
      </c>
      <c r="AT298" t="s">
        <v>113</v>
      </c>
      <c r="AU298">
        <v>0</v>
      </c>
      <c r="AY298">
        <f>IFERROR(MAX(IF(IF(AND(F298="能力",AL298="能力持续"),(参数!$B$2-1)*参数!$B$3,0)+M298*O298*参数!$B$5*IF(AND(F298="能力",AL298="能力持续"),参数!$B$2,1)+P298*参数!$B$6*IF(AND(F298="能力",AL298="能力持续"),参数!$B$2,1)+R298*参数!$B$7*IF(AND(F298="能力",AL298="能力持续"),参数!$B$2,1)+V298*参数!$B$8+IF(X298&lt;0,X298*参数!$B$13,X298*参数!$B$39)+IF(AE298&lt;0,AE298*参数!$B$13,AE298*参数!$B$12)*参数!$B$2+AQ298*参数!$B$15+AB298*参数!$B$11+AF298*参数!$B$40*参数!$B$2+AG298*参数!$B$44*参数!$B$2+AH298*参数!$B$6*参数!$B$2+AI298*参数!$B$39*参数!$B$2+AJ298*参数!$B$6*参数!$B$2+Z298*参数!$B$13-T298*参数!$B$14-AD298*参数!$B$13+IF(ISNUMBER(AU298),AU298*参数!$B$38,0)-AV298*参数!$B$41-AW298*参数!$B$14&gt;参数!$B$17,参数!$B$17+SQRT(IF(AND(F298="能力",AL298="能力持续"),(参数!$B$2-1)*参数!$B$3,0)+M298*O298*参数!$B$5*IF(AND(F298="能力",AL298="能力持续"),参数!$B$2,1)+P298*参数!$B$6*IF(AND(F298="能力",AL298="能力持续"),参数!$B$2,1)+R298*参数!$B$7*IF(AND(F298="能力",AL298="能力持续"),参数!$B$2,1)+V298*参数!$B$8+IF(X298&lt;0,X298*参数!$B$13,X298*参数!$B$39)+IF(AE298&lt;0,AE298*参数!$B$13,AE298*参数!$B$12)*参数!$B$2+AQ298*参数!$B$15+AB298*参数!$B$11+AF298*参数!$B$40*参数!$B$2+AG298*参数!$B$44*参数!$B$2+AH298*参数!$B$6*参数!$B$2+AI298*参数!$B$39*参数!$B$2+AJ298*参数!$B$6*参数!$B$2+Z298*参数!$B$13-T298*参数!$B$14-AD298*参数!$B$13+IF(ISNUMBER(AU298),AU298*参数!$B$38,0)-AV298*参数!$B$41-AW298*参数!$B$14-参数!$B$17)*参数!$B$18,IF(AND(F298="能力",AL298="能力持续"),(参数!$B$2-1)*参数!$B$3,0)+M298*O298*参数!$B$5*IF(AND(F298="能力",AL298="能力持续"),参数!$B$2,1)+P298*参数!$B$6*IF(AND(F298="能力",AL298="能力持续"),参数!$B$2,1)+R298*参数!$B$7*IF(AND(F298="能力",AL298="能力持续"),参数!$B$2,1)+V298*参数!$B$8+IF(X298&lt;0,X298*参数!$B$13,X298*参数!$B$39)+IF(AE298&lt;0,AE298*参数!$B$13,AE298*参数!$B$12)*参数!$B$2+AQ298*参数!$B$15+AB298*参数!$B$11+AF298*参数!$B$40*参数!$B$2+AG298*参数!$B$44*参数!$B$2+AH298*参数!$B$6*参数!$B$2+AI298*参数!$B$39*参数!$B$2+AJ298*参数!$B$6*参数!$B$2+Z298*参数!$B$13-T298*参数!$B$14-AD298*参数!$B$13+IF(ISNUMBER(AU298),AU298*参数!$B$38,0)-AV298*参数!$B$41-AW298*参数!$B$14),0),0)</f>
        <v>2.52</v>
      </c>
      <c r="AZ298">
        <f>AY298-MAX(AP298,0)*参数!$B$10</f>
        <v>-0.48</v>
      </c>
      <c r="BA298">
        <f t="shared" si="9"/>
        <v>2.52</v>
      </c>
    </row>
    <row r="299" spans="1:53" x14ac:dyDescent="0.3">
      <c r="A299">
        <v>298</v>
      </c>
      <c r="B299" t="s">
        <v>1310</v>
      </c>
      <c r="C299" t="s">
        <v>1083</v>
      </c>
      <c r="D299" t="s">
        <v>1311</v>
      </c>
      <c r="E299" t="s">
        <v>1312</v>
      </c>
      <c r="F299" t="s">
        <v>124</v>
      </c>
      <c r="G299" t="s">
        <v>12</v>
      </c>
      <c r="H299">
        <v>1</v>
      </c>
      <c r="I299">
        <v>1</v>
      </c>
      <c r="J299" t="s">
        <v>1313</v>
      </c>
      <c r="L299" t="s">
        <v>120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t="s">
        <v>112</v>
      </c>
      <c r="AL299" t="s">
        <v>127</v>
      </c>
      <c r="AN299" t="s">
        <v>124</v>
      </c>
      <c r="AP299">
        <f t="shared" si="8"/>
        <v>1</v>
      </c>
      <c r="AQ299">
        <v>0</v>
      </c>
      <c r="AR299">
        <v>0</v>
      </c>
      <c r="AT299" t="s">
        <v>113</v>
      </c>
      <c r="AU299">
        <v>0</v>
      </c>
      <c r="AY299">
        <f>IFERROR(MAX(IF(IF(AND(F299="能力",AL299="能力持续"),(参数!$B$2-1)*参数!$B$3,0)+M299*O299*参数!$B$5*IF(AND(F299="能力",AL299="能力持续"),参数!$B$2,1)+P299*参数!$B$6*IF(AND(F299="能力",AL299="能力持续"),参数!$B$2,1)+R299*参数!$B$7*IF(AND(F299="能力",AL299="能力持续"),参数!$B$2,1)+V299*参数!$B$8+IF(X299&lt;0,X299*参数!$B$13,X299*参数!$B$39)+IF(AE299&lt;0,AE299*参数!$B$13,AE299*参数!$B$12)*参数!$B$2+AQ299*参数!$B$15+AB299*参数!$B$11+AF299*参数!$B$40*参数!$B$2+AG299*参数!$B$44*参数!$B$2+AH299*参数!$B$6*参数!$B$2+AI299*参数!$B$39*参数!$B$2+AJ299*参数!$B$6*参数!$B$2+Z299*参数!$B$13-T299*参数!$B$14-AD299*参数!$B$13+IF(ISNUMBER(AU299),AU299*参数!$B$38,0)-AV299*参数!$B$41-AW299*参数!$B$14&gt;参数!$B$17,参数!$B$17+SQRT(IF(AND(F299="能力",AL299="能力持续"),(参数!$B$2-1)*参数!$B$3,0)+M299*O299*参数!$B$5*IF(AND(F299="能力",AL299="能力持续"),参数!$B$2,1)+P299*参数!$B$6*IF(AND(F299="能力",AL299="能力持续"),参数!$B$2,1)+R299*参数!$B$7*IF(AND(F299="能力",AL299="能力持续"),参数!$B$2,1)+V299*参数!$B$8+IF(X299&lt;0,X299*参数!$B$13,X299*参数!$B$39)+IF(AE299&lt;0,AE299*参数!$B$13,AE299*参数!$B$12)*参数!$B$2+AQ299*参数!$B$15+AB299*参数!$B$11+AF299*参数!$B$40*参数!$B$2+AG299*参数!$B$44*参数!$B$2+AH299*参数!$B$6*参数!$B$2+AI299*参数!$B$39*参数!$B$2+AJ299*参数!$B$6*参数!$B$2+Z299*参数!$B$13-T299*参数!$B$14-AD299*参数!$B$13+IF(ISNUMBER(AU299),AU299*参数!$B$38,0)-AV299*参数!$B$41-AW299*参数!$B$14-参数!$B$17)*参数!$B$18,IF(AND(F299="能力",AL299="能力持续"),(参数!$B$2-1)*参数!$B$3,0)+M299*O299*参数!$B$5*IF(AND(F299="能力",AL299="能力持续"),参数!$B$2,1)+P299*参数!$B$6*IF(AND(F299="能力",AL299="能力持续"),参数!$B$2,1)+R299*参数!$B$7*IF(AND(F299="能力",AL299="能力持续"),参数!$B$2,1)+V299*参数!$B$8+IF(X299&lt;0,X299*参数!$B$13,X299*参数!$B$39)+IF(AE299&lt;0,AE299*参数!$B$13,AE299*参数!$B$12)*参数!$B$2+AQ299*参数!$B$15+AB299*参数!$B$11+AF299*参数!$B$40*参数!$B$2+AG299*参数!$B$44*参数!$B$2+AH299*参数!$B$6*参数!$B$2+AI299*参数!$B$39*参数!$B$2+AJ299*参数!$B$6*参数!$B$2+Z299*参数!$B$13-T299*参数!$B$14-AD299*参数!$B$13+IF(ISNUMBER(AU299),AU299*参数!$B$38,0)-AV299*参数!$B$41-AW299*参数!$B$14),0),0)</f>
        <v>3.5999999999999996</v>
      </c>
      <c r="AZ299">
        <f>AY299-MAX(AP299,0)*参数!$B$10</f>
        <v>0.59999999999999964</v>
      </c>
      <c r="BA299">
        <f t="shared" si="9"/>
        <v>3.5999999999999996</v>
      </c>
    </row>
    <row r="300" spans="1:53" x14ac:dyDescent="0.3">
      <c r="A300">
        <v>299</v>
      </c>
      <c r="B300" t="s">
        <v>1314</v>
      </c>
      <c r="C300" t="s">
        <v>1083</v>
      </c>
      <c r="D300" t="s">
        <v>1315</v>
      </c>
      <c r="E300" t="s">
        <v>1316</v>
      </c>
      <c r="F300" t="s">
        <v>117</v>
      </c>
      <c r="G300" t="s">
        <v>12</v>
      </c>
      <c r="H300">
        <v>0</v>
      </c>
      <c r="I300">
        <v>0</v>
      </c>
      <c r="J300" t="s">
        <v>1317</v>
      </c>
      <c r="L300" t="s">
        <v>120</v>
      </c>
      <c r="M300">
        <v>0</v>
      </c>
      <c r="N300">
        <v>0</v>
      </c>
      <c r="O300">
        <v>1</v>
      </c>
      <c r="P300">
        <v>9</v>
      </c>
      <c r="Q300">
        <v>12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-2</v>
      </c>
      <c r="Y300">
        <v>-2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 t="s">
        <v>112</v>
      </c>
      <c r="AP300">
        <f t="shared" si="8"/>
        <v>0.4</v>
      </c>
      <c r="AQ300">
        <v>0</v>
      </c>
      <c r="AR300">
        <v>0</v>
      </c>
      <c r="AT300" t="s">
        <v>113</v>
      </c>
      <c r="AU300">
        <v>0</v>
      </c>
      <c r="AY300">
        <f>IFERROR(MAX(IF(IF(AND(F300="能力",AL300="能力持续"),(参数!$B$2-1)*参数!$B$3,0)+M300*O300*参数!$B$5*IF(AND(F300="能力",AL300="能力持续"),参数!$B$2,1)+P300*参数!$B$6*IF(AND(F300="能力",AL300="能力持续"),参数!$B$2,1)+R300*参数!$B$7*IF(AND(F300="能力",AL300="能力持续"),参数!$B$2,1)+V300*参数!$B$8+IF(X300&lt;0,X300*参数!$B$13,X300*参数!$B$39)+IF(AE300&lt;0,AE300*参数!$B$13,AE300*参数!$B$12)*参数!$B$2+AQ300*参数!$B$15+AB300*参数!$B$11+AF300*参数!$B$40*参数!$B$2+AG300*参数!$B$44*参数!$B$2+AH300*参数!$B$6*参数!$B$2+AI300*参数!$B$39*参数!$B$2+AJ300*参数!$B$6*参数!$B$2+Z300*参数!$B$13-T300*参数!$B$14-AD300*参数!$B$13+IF(ISNUMBER(AU300),AU300*参数!$B$38,0)-AV300*参数!$B$41-AW300*参数!$B$14&gt;参数!$B$17,参数!$B$17+SQRT(IF(AND(F300="能力",AL300="能力持续"),(参数!$B$2-1)*参数!$B$3,0)+M300*O300*参数!$B$5*IF(AND(F300="能力",AL300="能力持续"),参数!$B$2,1)+P300*参数!$B$6*IF(AND(F300="能力",AL300="能力持续"),参数!$B$2,1)+R300*参数!$B$7*IF(AND(F300="能力",AL300="能力持续"),参数!$B$2,1)+V300*参数!$B$8+IF(X300&lt;0,X300*参数!$B$13,X300*参数!$B$39)+IF(AE300&lt;0,AE300*参数!$B$13,AE300*参数!$B$12)*参数!$B$2+AQ300*参数!$B$15+AB300*参数!$B$11+AF300*参数!$B$40*参数!$B$2+AG300*参数!$B$44*参数!$B$2+AH300*参数!$B$6*参数!$B$2+AI300*参数!$B$39*参数!$B$2+AJ300*参数!$B$6*参数!$B$2+Z300*参数!$B$13-T300*参数!$B$14-AD300*参数!$B$13+IF(ISNUMBER(AU300),AU300*参数!$B$38,0)-AV300*参数!$B$41-AW300*参数!$B$14-参数!$B$17)*参数!$B$18,IF(AND(F300="能力",AL300="能力持续"),(参数!$B$2-1)*参数!$B$3,0)+M300*O300*参数!$B$5*IF(AND(F300="能力",AL300="能力持续"),参数!$B$2,1)+P300*参数!$B$6*IF(AND(F300="能力",AL300="能力持续"),参数!$B$2,1)+R300*参数!$B$7*IF(AND(F300="能力",AL300="能力持续"),参数!$B$2,1)+V300*参数!$B$8+IF(X300&lt;0,X300*参数!$B$13,X300*参数!$B$39)+IF(AE300&lt;0,AE300*参数!$B$13,AE300*参数!$B$12)*参数!$B$2+AQ300*参数!$B$15+AB300*参数!$B$11+AF300*参数!$B$40*参数!$B$2+AG300*参数!$B$44*参数!$B$2+AH300*参数!$B$6*参数!$B$2+AI300*参数!$B$39*参数!$B$2+AJ300*参数!$B$6*参数!$B$2+Z300*参数!$B$13-T300*参数!$B$14-AD300*参数!$B$13+IF(ISNUMBER(AU300),AU300*参数!$B$38,0)-AV300*参数!$B$41-AW300*参数!$B$14),0),0)</f>
        <v>6.9</v>
      </c>
      <c r="AZ300">
        <f>AY300-MAX(AP300,0)*参数!$B$10</f>
        <v>5.7</v>
      </c>
      <c r="BA300">
        <f t="shared" si="9"/>
        <v>17.25</v>
      </c>
    </row>
    <row r="301" spans="1:53" x14ac:dyDescent="0.3">
      <c r="A301">
        <v>300</v>
      </c>
      <c r="B301" t="s">
        <v>1318</v>
      </c>
      <c r="C301" t="s">
        <v>1083</v>
      </c>
      <c r="D301" t="s">
        <v>1319</v>
      </c>
      <c r="E301" t="s">
        <v>1320</v>
      </c>
      <c r="F301" t="s">
        <v>117</v>
      </c>
      <c r="G301" t="s">
        <v>10</v>
      </c>
      <c r="H301">
        <v>1</v>
      </c>
      <c r="I301">
        <v>1</v>
      </c>
      <c r="J301" t="s">
        <v>1321</v>
      </c>
      <c r="L301" t="s">
        <v>120</v>
      </c>
      <c r="M301">
        <v>2</v>
      </c>
      <c r="N301">
        <v>2</v>
      </c>
      <c r="O301">
        <v>1</v>
      </c>
      <c r="P301">
        <v>8</v>
      </c>
      <c r="Q301">
        <v>10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 t="s">
        <v>112</v>
      </c>
      <c r="AP301">
        <f t="shared" si="8"/>
        <v>1</v>
      </c>
      <c r="AQ301">
        <v>0</v>
      </c>
      <c r="AR301">
        <v>0</v>
      </c>
      <c r="AT301" t="s">
        <v>113</v>
      </c>
      <c r="AU301">
        <v>0</v>
      </c>
      <c r="AY301">
        <f>IFERROR(MAX(IF(IF(AND(F301="能力",AL301="能力持续"),(参数!$B$2-1)*参数!$B$3,0)+M301*O301*参数!$B$5*IF(AND(F301="能力",AL301="能力持续"),参数!$B$2,1)+P301*参数!$B$6*IF(AND(F301="能力",AL301="能力持续"),参数!$B$2,1)+R301*参数!$B$7*IF(AND(F301="能力",AL301="能力持续"),参数!$B$2,1)+V301*参数!$B$8+IF(X301&lt;0,X301*参数!$B$13,X301*参数!$B$39)+IF(AE301&lt;0,AE301*参数!$B$13,AE301*参数!$B$12)*参数!$B$2+AQ301*参数!$B$15+AB301*参数!$B$11+AF301*参数!$B$40*参数!$B$2+AG301*参数!$B$44*参数!$B$2+AH301*参数!$B$6*参数!$B$2+AI301*参数!$B$39*参数!$B$2+AJ301*参数!$B$6*参数!$B$2+Z301*参数!$B$13-T301*参数!$B$14-AD301*参数!$B$13+IF(ISNUMBER(AU301),AU301*参数!$B$38,0)-AV301*参数!$B$41-AW301*参数!$B$14&gt;参数!$B$17,参数!$B$17+SQRT(IF(AND(F301="能力",AL301="能力持续"),(参数!$B$2-1)*参数!$B$3,0)+M301*O301*参数!$B$5*IF(AND(F301="能力",AL301="能力持续"),参数!$B$2,1)+P301*参数!$B$6*IF(AND(F301="能力",AL301="能力持续"),参数!$B$2,1)+R301*参数!$B$7*IF(AND(F301="能力",AL301="能力持续"),参数!$B$2,1)+V301*参数!$B$8+IF(X301&lt;0,X301*参数!$B$13,X301*参数!$B$39)+IF(AE301&lt;0,AE301*参数!$B$13,AE301*参数!$B$12)*参数!$B$2+AQ301*参数!$B$15+AB301*参数!$B$11+AF301*参数!$B$40*参数!$B$2+AG301*参数!$B$44*参数!$B$2+AH301*参数!$B$6*参数!$B$2+AI301*参数!$B$39*参数!$B$2+AJ301*参数!$B$6*参数!$B$2+Z301*参数!$B$13-T301*参数!$B$14-AD301*参数!$B$13+IF(ISNUMBER(AU301),AU301*参数!$B$38,0)-AV301*参数!$B$41-AW301*参数!$B$14-参数!$B$17)*参数!$B$18,IF(AND(F301="能力",AL301="能力持续"),(参数!$B$2-1)*参数!$B$3,0)+M301*O301*参数!$B$5*IF(AND(F301="能力",AL301="能力持续"),参数!$B$2,1)+P301*参数!$B$6*IF(AND(F301="能力",AL301="能力持续"),参数!$B$2,1)+R301*参数!$B$7*IF(AND(F301="能力",AL301="能力持续"),参数!$B$2,1)+V301*参数!$B$8+IF(X301&lt;0,X301*参数!$B$13,X301*参数!$B$39)+IF(AE301&lt;0,AE301*参数!$B$13,AE301*参数!$B$12)*参数!$B$2+AQ301*参数!$B$15+AB301*参数!$B$11+AF301*参数!$B$40*参数!$B$2+AG301*参数!$B$44*参数!$B$2+AH301*参数!$B$6*参数!$B$2+AI301*参数!$B$39*参数!$B$2+AJ301*参数!$B$6*参数!$B$2+Z301*参数!$B$13-T301*参数!$B$14-AD301*参数!$B$13+IF(ISNUMBER(AU301),AU301*参数!$B$38,0)-AV301*参数!$B$41-AW301*参数!$B$14),0),0)</f>
        <v>11.341640786499875</v>
      </c>
      <c r="AZ301">
        <f>AY301-MAX(AP301,0)*参数!$B$10</f>
        <v>8.3416407864998749</v>
      </c>
      <c r="BA301">
        <f t="shared" si="9"/>
        <v>11.341640786499875</v>
      </c>
    </row>
    <row r="302" spans="1:53" x14ac:dyDescent="0.3">
      <c r="A302">
        <v>301</v>
      </c>
      <c r="B302" t="s">
        <v>1322</v>
      </c>
      <c r="C302" t="s">
        <v>1083</v>
      </c>
      <c r="D302" t="s">
        <v>1323</v>
      </c>
      <c r="E302" t="s">
        <v>1324</v>
      </c>
      <c r="F302" t="s">
        <v>108</v>
      </c>
      <c r="G302" t="s">
        <v>10</v>
      </c>
      <c r="H302">
        <v>1</v>
      </c>
      <c r="I302">
        <v>1</v>
      </c>
      <c r="J302" t="s">
        <v>1325</v>
      </c>
      <c r="L302" t="s">
        <v>111</v>
      </c>
      <c r="M302">
        <v>10</v>
      </c>
      <c r="N302">
        <v>13</v>
      </c>
      <c r="O302">
        <v>1</v>
      </c>
      <c r="P302">
        <v>0</v>
      </c>
      <c r="Q302">
        <v>0</v>
      </c>
      <c r="R302">
        <v>1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 t="s">
        <v>112</v>
      </c>
      <c r="AP302">
        <f t="shared" si="8"/>
        <v>1</v>
      </c>
      <c r="AQ302">
        <v>0</v>
      </c>
      <c r="AR302">
        <v>0</v>
      </c>
      <c r="AT302" t="s">
        <v>113</v>
      </c>
      <c r="AU302">
        <v>0</v>
      </c>
      <c r="AY302">
        <f>IFERROR(MAX(IF(IF(AND(F302="能力",AL302="能力持续"),(参数!$B$2-1)*参数!$B$3,0)+M302*O302*参数!$B$5*IF(AND(F302="能力",AL302="能力持续"),参数!$B$2,1)+P302*参数!$B$6*IF(AND(F302="能力",AL302="能力持续"),参数!$B$2,1)+R302*参数!$B$7*IF(AND(F302="能力",AL302="能力持续"),参数!$B$2,1)+V302*参数!$B$8+IF(X302&lt;0,X302*参数!$B$13,X302*参数!$B$39)+IF(AE302&lt;0,AE302*参数!$B$13,AE302*参数!$B$12)*参数!$B$2+AQ302*参数!$B$15+AB302*参数!$B$11+AF302*参数!$B$40*参数!$B$2+AG302*参数!$B$44*参数!$B$2+AH302*参数!$B$6*参数!$B$2+AI302*参数!$B$39*参数!$B$2+AJ302*参数!$B$6*参数!$B$2+Z302*参数!$B$13-T302*参数!$B$14-AD302*参数!$B$13+IF(ISNUMBER(AU302),AU302*参数!$B$38,0)-AV302*参数!$B$41-AW302*参数!$B$14&gt;参数!$B$17,参数!$B$17+SQRT(IF(AND(F302="能力",AL302="能力持续"),(参数!$B$2-1)*参数!$B$3,0)+M302*O302*参数!$B$5*IF(AND(F302="能力",AL302="能力持续"),参数!$B$2,1)+P302*参数!$B$6*IF(AND(F302="能力",AL302="能力持续"),参数!$B$2,1)+R302*参数!$B$7*IF(AND(F302="能力",AL302="能力持续"),参数!$B$2,1)+V302*参数!$B$8+IF(X302&lt;0,X302*参数!$B$13,X302*参数!$B$39)+IF(AE302&lt;0,AE302*参数!$B$13,AE302*参数!$B$12)*参数!$B$2+AQ302*参数!$B$15+AB302*参数!$B$11+AF302*参数!$B$40*参数!$B$2+AG302*参数!$B$44*参数!$B$2+AH302*参数!$B$6*参数!$B$2+AI302*参数!$B$39*参数!$B$2+AJ302*参数!$B$6*参数!$B$2+Z302*参数!$B$13-T302*参数!$B$14-AD302*参数!$B$13+IF(ISNUMBER(AU302),AU302*参数!$B$38,0)-AV302*参数!$B$41-AW302*参数!$B$14-参数!$B$17)*参数!$B$18,IF(AND(F302="能力",AL302="能力持续"),(参数!$B$2-1)*参数!$B$3,0)+M302*O302*参数!$B$5*IF(AND(F302="能力",AL302="能力持续"),参数!$B$2,1)+P302*参数!$B$6*IF(AND(F302="能力",AL302="能力持续"),参数!$B$2,1)+R302*参数!$B$7*IF(AND(F302="能力",AL302="能力持续"),参数!$B$2,1)+V302*参数!$B$8+IF(X302&lt;0,X302*参数!$B$13,X302*参数!$B$39)+IF(AE302&lt;0,AE302*参数!$B$13,AE302*参数!$B$12)*参数!$B$2+AQ302*参数!$B$15+AB302*参数!$B$11+AF302*参数!$B$40*参数!$B$2+AG302*参数!$B$44*参数!$B$2+AH302*参数!$B$6*参数!$B$2+AI302*参数!$B$39*参数!$B$2+AJ302*参数!$B$6*参数!$B$2+Z302*参数!$B$13-T302*参数!$B$14-AD302*参数!$B$13+IF(ISNUMBER(AU302),AU302*参数!$B$38,0)-AV302*参数!$B$41-AW302*参数!$B$14),0),0)</f>
        <v>11.254990039801113</v>
      </c>
      <c r="AZ302">
        <f>AY302-MAX(AP302,0)*参数!$B$10</f>
        <v>8.2549900398011129</v>
      </c>
      <c r="BA302">
        <f t="shared" si="9"/>
        <v>11.254990039801113</v>
      </c>
    </row>
    <row r="303" spans="1:53" x14ac:dyDescent="0.3">
      <c r="A303">
        <v>302</v>
      </c>
      <c r="B303" t="s">
        <v>1326</v>
      </c>
      <c r="C303" t="s">
        <v>1083</v>
      </c>
      <c r="D303" t="s">
        <v>1327</v>
      </c>
      <c r="E303" t="s">
        <v>1328</v>
      </c>
      <c r="F303" t="s">
        <v>124</v>
      </c>
      <c r="G303" t="s">
        <v>12</v>
      </c>
      <c r="H303">
        <v>1</v>
      </c>
      <c r="I303">
        <v>1</v>
      </c>
      <c r="J303" t="s">
        <v>1329</v>
      </c>
      <c r="L303" t="s">
        <v>120</v>
      </c>
      <c r="M303">
        <v>0</v>
      </c>
      <c r="N303">
        <v>0</v>
      </c>
      <c r="O303">
        <v>1</v>
      </c>
      <c r="P303">
        <f>(参数!$B$25/参数!$B$2)*2</f>
        <v>5</v>
      </c>
      <c r="Q303">
        <f>(参数!$B$25/参数!$B$2)*3</f>
        <v>7.5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112</v>
      </c>
      <c r="AN303" t="s">
        <v>124</v>
      </c>
      <c r="AP303">
        <f t="shared" si="8"/>
        <v>1</v>
      </c>
      <c r="AQ303">
        <v>0</v>
      </c>
      <c r="AR303">
        <v>0</v>
      </c>
      <c r="AT303" t="s">
        <v>113</v>
      </c>
      <c r="AU303">
        <v>0</v>
      </c>
      <c r="AY303">
        <f>IFERROR(MAX(IF(IF(AND(F303="能力",AL303="能力持续"),(参数!$B$2-1)*参数!$B$3,0)+M303*O303*参数!$B$5*IF(AND(F303="能力",AL303="能力持续"),参数!$B$2,1)+P303*参数!$B$6*IF(AND(F303="能力",AL303="能力持续"),参数!$B$2,1)+R303*参数!$B$7*IF(AND(F303="能力",AL303="能力持续"),参数!$B$2,1)+V303*参数!$B$8+IF(X303&lt;0,X303*参数!$B$13,X303*参数!$B$39)+IF(AE303&lt;0,AE303*参数!$B$13,AE303*参数!$B$12)*参数!$B$2+AQ303*参数!$B$15+AB303*参数!$B$11+AF303*参数!$B$40*参数!$B$2+AG303*参数!$B$44*参数!$B$2+AH303*参数!$B$6*参数!$B$2+AI303*参数!$B$39*参数!$B$2+AJ303*参数!$B$6*参数!$B$2+Z303*参数!$B$13-T303*参数!$B$14-AD303*参数!$B$13+IF(ISNUMBER(AU303),AU303*参数!$B$38,0)-AV303*参数!$B$41-AW303*参数!$B$14&gt;参数!$B$17,参数!$B$17+SQRT(IF(AND(F303="能力",AL303="能力持续"),(参数!$B$2-1)*参数!$B$3,0)+M303*O303*参数!$B$5*IF(AND(F303="能力",AL303="能力持续"),参数!$B$2,1)+P303*参数!$B$6*IF(AND(F303="能力",AL303="能力持续"),参数!$B$2,1)+R303*参数!$B$7*IF(AND(F303="能力",AL303="能力持续"),参数!$B$2,1)+V303*参数!$B$8+IF(X303&lt;0,X303*参数!$B$13,X303*参数!$B$39)+IF(AE303&lt;0,AE303*参数!$B$13,AE303*参数!$B$12)*参数!$B$2+AQ303*参数!$B$15+AB303*参数!$B$11+AF303*参数!$B$40*参数!$B$2+AG303*参数!$B$44*参数!$B$2+AH303*参数!$B$6*参数!$B$2+AI303*参数!$B$39*参数!$B$2+AJ303*参数!$B$6*参数!$B$2+Z303*参数!$B$13-T303*参数!$B$14-AD303*参数!$B$13+IF(ISNUMBER(AU303),AU303*参数!$B$38,0)-AV303*参数!$B$41-AW303*参数!$B$14-参数!$B$17)*参数!$B$18,IF(AND(F303="能力",AL303="能力持续"),(参数!$B$2-1)*参数!$B$3,0)+M303*O303*参数!$B$5*IF(AND(F303="能力",AL303="能力持续"),参数!$B$2,1)+P303*参数!$B$6*IF(AND(F303="能力",AL303="能力持续"),参数!$B$2,1)+R303*参数!$B$7*IF(AND(F303="能力",AL303="能力持续"),参数!$B$2,1)+V303*参数!$B$8+IF(X303&lt;0,X303*参数!$B$13,X303*参数!$B$39)+IF(AE303&lt;0,AE303*参数!$B$13,AE303*参数!$B$12)*参数!$B$2+AQ303*参数!$B$15+AB303*参数!$B$11+AF303*参数!$B$40*参数!$B$2+AG303*参数!$B$44*参数!$B$2+AH303*参数!$B$6*参数!$B$2+AI303*参数!$B$39*参数!$B$2+AJ303*参数!$B$6*参数!$B$2+Z303*参数!$B$13-T303*参数!$B$14-AD303*参数!$B$13+IF(ISNUMBER(AU303),AU303*参数!$B$38,0)-AV303*参数!$B$41-AW303*参数!$B$14),0),0)</f>
        <v>5.5</v>
      </c>
      <c r="AZ303">
        <f>AY303-MAX(AP303,0)*参数!$B$10</f>
        <v>2.5</v>
      </c>
      <c r="BA303">
        <f t="shared" si="9"/>
        <v>5.5</v>
      </c>
    </row>
    <row r="304" spans="1:53" x14ac:dyDescent="0.3">
      <c r="A304">
        <v>303</v>
      </c>
      <c r="B304" t="s">
        <v>1330</v>
      </c>
      <c r="C304" t="s">
        <v>1083</v>
      </c>
      <c r="D304" t="s">
        <v>1331</v>
      </c>
      <c r="E304" t="s">
        <v>1332</v>
      </c>
      <c r="F304" t="s">
        <v>117</v>
      </c>
      <c r="G304" t="s">
        <v>12</v>
      </c>
      <c r="H304">
        <v>2</v>
      </c>
      <c r="I304">
        <v>2</v>
      </c>
      <c r="J304" t="s">
        <v>1333</v>
      </c>
      <c r="L304" t="s">
        <v>120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6</v>
      </c>
      <c r="S304">
        <v>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 t="s">
        <v>112</v>
      </c>
      <c r="AP304">
        <f t="shared" si="8"/>
        <v>2</v>
      </c>
      <c r="AQ304">
        <v>0</v>
      </c>
      <c r="AR304">
        <v>0</v>
      </c>
      <c r="AT304" t="s">
        <v>113</v>
      </c>
      <c r="AU304">
        <v>0</v>
      </c>
      <c r="AY304">
        <f>IFERROR(MAX(IF(IF(AND(F304="能力",AL304="能力持续"),(参数!$B$2-1)*参数!$B$3,0)+M304*O304*参数!$B$5*IF(AND(F304="能力",AL304="能力持续"),参数!$B$2,1)+P304*参数!$B$6*IF(AND(F304="能力",AL304="能力持续"),参数!$B$2,1)+R304*参数!$B$7*IF(AND(F304="能力",AL304="能力持续"),参数!$B$2,1)+V304*参数!$B$8+IF(X304&lt;0,X304*参数!$B$13,X304*参数!$B$39)+IF(AE304&lt;0,AE304*参数!$B$13,AE304*参数!$B$12)*参数!$B$2+AQ304*参数!$B$15+AB304*参数!$B$11+AF304*参数!$B$40*参数!$B$2+AG304*参数!$B$44*参数!$B$2+AH304*参数!$B$6*参数!$B$2+AI304*参数!$B$39*参数!$B$2+AJ304*参数!$B$6*参数!$B$2+Z304*参数!$B$13-T304*参数!$B$14-AD304*参数!$B$13+IF(ISNUMBER(AU304),AU304*参数!$B$38,0)-AV304*参数!$B$41-AW304*参数!$B$14&gt;参数!$B$17,参数!$B$17+SQRT(IF(AND(F304="能力",AL304="能力持续"),(参数!$B$2-1)*参数!$B$3,0)+M304*O304*参数!$B$5*IF(AND(F304="能力",AL304="能力持续"),参数!$B$2,1)+P304*参数!$B$6*IF(AND(F304="能力",AL304="能力持续"),参数!$B$2,1)+R304*参数!$B$7*IF(AND(F304="能力",AL304="能力持续"),参数!$B$2,1)+V304*参数!$B$8+IF(X304&lt;0,X304*参数!$B$13,X304*参数!$B$39)+IF(AE304&lt;0,AE304*参数!$B$13,AE304*参数!$B$12)*参数!$B$2+AQ304*参数!$B$15+AB304*参数!$B$11+AF304*参数!$B$40*参数!$B$2+AG304*参数!$B$44*参数!$B$2+AH304*参数!$B$6*参数!$B$2+AI304*参数!$B$39*参数!$B$2+AJ304*参数!$B$6*参数!$B$2+Z304*参数!$B$13-T304*参数!$B$14-AD304*参数!$B$13+IF(ISNUMBER(AU304),AU304*参数!$B$38,0)-AV304*参数!$B$41-AW304*参数!$B$14-参数!$B$17)*参数!$B$18,IF(AND(F304="能力",AL304="能力持续"),(参数!$B$2-1)*参数!$B$3,0)+M304*O304*参数!$B$5*IF(AND(F304="能力",AL304="能力持续"),参数!$B$2,1)+P304*参数!$B$6*IF(AND(F304="能力",AL304="能力持续"),参数!$B$2,1)+R304*参数!$B$7*IF(AND(F304="能力",AL304="能力持续"),参数!$B$2,1)+V304*参数!$B$8+IF(X304&lt;0,X304*参数!$B$13,X304*参数!$B$39)+IF(AE304&lt;0,AE304*参数!$B$13,AE304*参数!$B$12)*参数!$B$2+AQ304*参数!$B$15+AB304*参数!$B$11+AF304*参数!$B$40*参数!$B$2+AG304*参数!$B$44*参数!$B$2+AH304*参数!$B$6*参数!$B$2+AI304*参数!$B$39*参数!$B$2+AJ304*参数!$B$6*参数!$B$2+Z304*参数!$B$13-T304*参数!$B$14-AD304*参数!$B$13+IF(ISNUMBER(AU304),AU304*参数!$B$38,0)-AV304*参数!$B$41-AW304*参数!$B$14),0),0)</f>
        <v>4.1999999999999993</v>
      </c>
      <c r="AZ304">
        <f>AY304-MAX(AP304,0)*参数!$B$10</f>
        <v>-1.8000000000000007</v>
      </c>
      <c r="BA304">
        <f t="shared" si="9"/>
        <v>2.0999999999999996</v>
      </c>
    </row>
    <row r="305" spans="1:53" x14ac:dyDescent="0.3">
      <c r="A305">
        <v>304</v>
      </c>
      <c r="B305" t="s">
        <v>1334</v>
      </c>
      <c r="C305" t="s">
        <v>1083</v>
      </c>
      <c r="D305" t="s">
        <v>1335</v>
      </c>
      <c r="E305" t="s">
        <v>1336</v>
      </c>
      <c r="F305" t="s">
        <v>117</v>
      </c>
      <c r="G305" t="s">
        <v>12</v>
      </c>
      <c r="H305">
        <v>0</v>
      </c>
      <c r="I305">
        <v>0</v>
      </c>
      <c r="J305" t="s">
        <v>1337</v>
      </c>
      <c r="L305" t="s">
        <v>120</v>
      </c>
      <c r="M305">
        <f>1*参数!$B$47</f>
        <v>8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-2</v>
      </c>
      <c r="Y305">
        <v>-2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 t="s">
        <v>112</v>
      </c>
      <c r="AP305">
        <f t="shared" si="8"/>
        <v>0.4</v>
      </c>
      <c r="AQ305">
        <v>0</v>
      </c>
      <c r="AR305">
        <v>0</v>
      </c>
      <c r="AT305" t="s">
        <v>113</v>
      </c>
      <c r="AU305">
        <v>0</v>
      </c>
      <c r="AY305">
        <f>IFERROR(MAX(IF(IF(AND(F305="能力",AL305="能力持续"),(参数!$B$2-1)*参数!$B$3,0)+M305*O305*参数!$B$5*IF(AND(F305="能力",AL305="能力持续"),参数!$B$2,1)+P305*参数!$B$6*IF(AND(F305="能力",AL305="能力持续"),参数!$B$2,1)+R305*参数!$B$7*IF(AND(F305="能力",AL305="能力持续"),参数!$B$2,1)+V305*参数!$B$8+IF(X305&lt;0,X305*参数!$B$13,X305*参数!$B$39)+IF(AE305&lt;0,AE305*参数!$B$13,AE305*参数!$B$12)*参数!$B$2+AQ305*参数!$B$15+AB305*参数!$B$11+AF305*参数!$B$40*参数!$B$2+AG305*参数!$B$44*参数!$B$2+AH305*参数!$B$6*参数!$B$2+AI305*参数!$B$39*参数!$B$2+AJ305*参数!$B$6*参数!$B$2+Z305*参数!$B$13-T305*参数!$B$14-AD305*参数!$B$13+IF(ISNUMBER(AU305),AU305*参数!$B$38,0)-AV305*参数!$B$41-AW305*参数!$B$14&gt;参数!$B$17,参数!$B$17+SQRT(IF(AND(F305="能力",AL305="能力持续"),(参数!$B$2-1)*参数!$B$3,0)+M305*O305*参数!$B$5*IF(AND(F305="能力",AL305="能力持续"),参数!$B$2,1)+P305*参数!$B$6*IF(AND(F305="能力",AL305="能力持续"),参数!$B$2,1)+R305*参数!$B$7*IF(AND(F305="能力",AL305="能力持续"),参数!$B$2,1)+V305*参数!$B$8+IF(X305&lt;0,X305*参数!$B$13,X305*参数!$B$39)+IF(AE305&lt;0,AE305*参数!$B$13,AE305*参数!$B$12)*参数!$B$2+AQ305*参数!$B$15+AB305*参数!$B$11+AF305*参数!$B$40*参数!$B$2+AG305*参数!$B$44*参数!$B$2+AH305*参数!$B$6*参数!$B$2+AI305*参数!$B$39*参数!$B$2+AJ305*参数!$B$6*参数!$B$2+Z305*参数!$B$13-T305*参数!$B$14-AD305*参数!$B$13+IF(ISNUMBER(AU305),AU305*参数!$B$38,0)-AV305*参数!$B$41-AW305*参数!$B$14-参数!$B$17)*参数!$B$18,IF(AND(F305="能力",AL305="能力持续"),(参数!$B$2-1)*参数!$B$3,0)+M305*O305*参数!$B$5*IF(AND(F305="能力",AL305="能力持续"),参数!$B$2,1)+P305*参数!$B$6*IF(AND(F305="能力",AL305="能力持续"),参数!$B$2,1)+R305*参数!$B$7*IF(AND(F305="能力",AL305="能力持续"),参数!$B$2,1)+V305*参数!$B$8+IF(X305&lt;0,X305*参数!$B$13,X305*参数!$B$39)+IF(AE305&lt;0,AE305*参数!$B$13,AE305*参数!$B$12)*参数!$B$2+AQ305*参数!$B$15+AB305*参数!$B$11+AF305*参数!$B$40*参数!$B$2+AG305*参数!$B$44*参数!$B$2+AH305*参数!$B$6*参数!$B$2+AI305*参数!$B$39*参数!$B$2+AJ305*参数!$B$6*参数!$B$2+Z305*参数!$B$13-T305*参数!$B$14-AD305*参数!$B$13+IF(ISNUMBER(AU305),AU305*参数!$B$38,0)-AV305*参数!$B$41-AW305*参数!$B$14),0),0)</f>
        <v>5</v>
      </c>
      <c r="AZ305">
        <f>AY305-MAX(AP305,0)*参数!$B$10</f>
        <v>3.8</v>
      </c>
      <c r="BA305">
        <f t="shared" si="9"/>
        <v>12.5</v>
      </c>
    </row>
    <row r="306" spans="1:53" x14ac:dyDescent="0.3">
      <c r="A306">
        <v>305</v>
      </c>
      <c r="B306" t="s">
        <v>1338</v>
      </c>
      <c r="C306" t="s">
        <v>1083</v>
      </c>
      <c r="D306" t="s">
        <v>1339</v>
      </c>
      <c r="E306" t="s">
        <v>1340</v>
      </c>
      <c r="F306" t="s">
        <v>108</v>
      </c>
      <c r="G306" t="s">
        <v>12</v>
      </c>
      <c r="H306">
        <v>0</v>
      </c>
      <c r="I306">
        <v>0</v>
      </c>
      <c r="J306" t="s">
        <v>1341</v>
      </c>
      <c r="L306" t="s">
        <v>191</v>
      </c>
      <c r="M306">
        <f>参数!$B$26*3</f>
        <v>10.5</v>
      </c>
      <c r="N306">
        <f>参数!$B$26*4</f>
        <v>14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 t="s">
        <v>112</v>
      </c>
      <c r="AN306" t="s">
        <v>217</v>
      </c>
      <c r="AP306">
        <f t="shared" si="8"/>
        <v>0.4</v>
      </c>
      <c r="AQ306">
        <v>0</v>
      </c>
      <c r="AR306">
        <v>0</v>
      </c>
      <c r="AT306" t="s">
        <v>113</v>
      </c>
      <c r="AU306">
        <v>0</v>
      </c>
      <c r="AY306">
        <f>IFERROR(MAX(IF(IF(AND(F306="能力",AL306="能力持续"),(参数!$B$2-1)*参数!$B$3,0)+M306*O306*参数!$B$5*IF(AND(F306="能力",AL306="能力持续"),参数!$B$2,1)+P306*参数!$B$6*IF(AND(F306="能力",AL306="能力持续"),参数!$B$2,1)+R306*参数!$B$7*IF(AND(F306="能力",AL306="能力持续"),参数!$B$2,1)+V306*参数!$B$8+IF(X306&lt;0,X306*参数!$B$13,X306*参数!$B$39)+IF(AE306&lt;0,AE306*参数!$B$13,AE306*参数!$B$12)*参数!$B$2+AQ306*参数!$B$15+AB306*参数!$B$11+AF306*参数!$B$40*参数!$B$2+AG306*参数!$B$44*参数!$B$2+AH306*参数!$B$6*参数!$B$2+AI306*参数!$B$39*参数!$B$2+AJ306*参数!$B$6*参数!$B$2+Z306*参数!$B$13-T306*参数!$B$14-AD306*参数!$B$13+IF(ISNUMBER(AU306),AU306*参数!$B$38,0)-AV306*参数!$B$41-AW306*参数!$B$14&gt;参数!$B$17,参数!$B$17+SQRT(IF(AND(F306="能力",AL306="能力持续"),(参数!$B$2-1)*参数!$B$3,0)+M306*O306*参数!$B$5*IF(AND(F306="能力",AL306="能力持续"),参数!$B$2,1)+P306*参数!$B$6*IF(AND(F306="能力",AL306="能力持续"),参数!$B$2,1)+R306*参数!$B$7*IF(AND(F306="能力",AL306="能力持续"),参数!$B$2,1)+V306*参数!$B$8+IF(X306&lt;0,X306*参数!$B$13,X306*参数!$B$39)+IF(AE306&lt;0,AE306*参数!$B$13,AE306*参数!$B$12)*参数!$B$2+AQ306*参数!$B$15+AB306*参数!$B$11+AF306*参数!$B$40*参数!$B$2+AG306*参数!$B$44*参数!$B$2+AH306*参数!$B$6*参数!$B$2+AI306*参数!$B$39*参数!$B$2+AJ306*参数!$B$6*参数!$B$2+Z306*参数!$B$13-T306*参数!$B$14-AD306*参数!$B$13+IF(ISNUMBER(AU306),AU306*参数!$B$38,0)-AV306*参数!$B$41-AW306*参数!$B$14-参数!$B$17)*参数!$B$18,IF(AND(F306="能力",AL306="能力持续"),(参数!$B$2-1)*参数!$B$3,0)+M306*O306*参数!$B$5*IF(AND(F306="能力",AL306="能力持续"),参数!$B$2,1)+P306*参数!$B$6*IF(AND(F306="能力",AL306="能力持续"),参数!$B$2,1)+R306*参数!$B$7*IF(AND(F306="能力",AL306="能力持续"),参数!$B$2,1)+V306*参数!$B$8+IF(X306&lt;0,X306*参数!$B$13,X306*参数!$B$39)+IF(AE306&lt;0,AE306*参数!$B$13,AE306*参数!$B$12)*参数!$B$2+AQ306*参数!$B$15+AB306*参数!$B$11+AF306*参数!$B$40*参数!$B$2+AG306*参数!$B$44*参数!$B$2+AH306*参数!$B$6*参数!$B$2+AI306*参数!$B$39*参数!$B$2+AJ306*参数!$B$6*参数!$B$2+Z306*参数!$B$13-T306*参数!$B$14-AD306*参数!$B$13+IF(ISNUMBER(AU306),AU306*参数!$B$38,0)-AV306*参数!$B$41-AW306*参数!$B$14),0),0)</f>
        <v>11.060660171779821</v>
      </c>
      <c r="AZ306">
        <f>AY306-MAX(AP306,0)*参数!$B$10</f>
        <v>9.8606601717798199</v>
      </c>
      <c r="BA306">
        <f t="shared" si="9"/>
        <v>27.65165042944955</v>
      </c>
    </row>
    <row r="307" spans="1:53" x14ac:dyDescent="0.3">
      <c r="A307">
        <v>306</v>
      </c>
      <c r="B307" t="s">
        <v>1342</v>
      </c>
      <c r="C307" t="s">
        <v>1083</v>
      </c>
      <c r="D307" t="s">
        <v>1343</v>
      </c>
      <c r="E307" t="s">
        <v>1344</v>
      </c>
      <c r="F307" t="s">
        <v>117</v>
      </c>
      <c r="G307" t="s">
        <v>10</v>
      </c>
      <c r="H307">
        <v>1</v>
      </c>
      <c r="I307">
        <v>1</v>
      </c>
      <c r="J307" t="s">
        <v>1345</v>
      </c>
      <c r="L307" t="s">
        <v>120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t="s">
        <v>112</v>
      </c>
      <c r="AP307">
        <f t="shared" si="8"/>
        <v>0.4</v>
      </c>
      <c r="AQ307">
        <v>0</v>
      </c>
      <c r="AR307">
        <v>0</v>
      </c>
      <c r="AT307" t="s">
        <v>113</v>
      </c>
      <c r="AU307">
        <v>0</v>
      </c>
      <c r="AY307">
        <f>IFERROR(MAX(IF(IF(AND(F307="能力",AL307="能力持续"),(参数!$B$2-1)*参数!$B$3,0)+M307*O307*参数!$B$5*IF(AND(F307="能力",AL307="能力持续"),参数!$B$2,1)+P307*参数!$B$6*IF(AND(F307="能力",AL307="能力持续"),参数!$B$2,1)+R307*参数!$B$7*IF(AND(F307="能力",AL307="能力持续"),参数!$B$2,1)+V307*参数!$B$8+IF(X307&lt;0,X307*参数!$B$13,X307*参数!$B$39)+IF(AE307&lt;0,AE307*参数!$B$13,AE307*参数!$B$12)*参数!$B$2+AQ307*参数!$B$15+AB307*参数!$B$11+AF307*参数!$B$40*参数!$B$2+AG307*参数!$B$44*参数!$B$2+AH307*参数!$B$6*参数!$B$2+AI307*参数!$B$39*参数!$B$2+AJ307*参数!$B$6*参数!$B$2+Z307*参数!$B$13-T307*参数!$B$14-AD307*参数!$B$13+IF(ISNUMBER(AU307),AU307*参数!$B$38,0)-AV307*参数!$B$41-AW307*参数!$B$14&gt;参数!$B$17,参数!$B$17+SQRT(IF(AND(F307="能力",AL307="能力持续"),(参数!$B$2-1)*参数!$B$3,0)+M307*O307*参数!$B$5*IF(AND(F307="能力",AL307="能力持续"),参数!$B$2,1)+P307*参数!$B$6*IF(AND(F307="能力",AL307="能力持续"),参数!$B$2,1)+R307*参数!$B$7*IF(AND(F307="能力",AL307="能力持续"),参数!$B$2,1)+V307*参数!$B$8+IF(X307&lt;0,X307*参数!$B$13,X307*参数!$B$39)+IF(AE307&lt;0,AE307*参数!$B$13,AE307*参数!$B$12)*参数!$B$2+AQ307*参数!$B$15+AB307*参数!$B$11+AF307*参数!$B$40*参数!$B$2+AG307*参数!$B$44*参数!$B$2+AH307*参数!$B$6*参数!$B$2+AI307*参数!$B$39*参数!$B$2+AJ307*参数!$B$6*参数!$B$2+Z307*参数!$B$13-T307*参数!$B$14-AD307*参数!$B$13+IF(ISNUMBER(AU307),AU307*参数!$B$38,0)-AV307*参数!$B$41-AW307*参数!$B$14-参数!$B$17)*参数!$B$18,IF(AND(F307="能力",AL307="能力持续"),(参数!$B$2-1)*参数!$B$3,0)+M307*O307*参数!$B$5*IF(AND(F307="能力",AL307="能力持续"),参数!$B$2,1)+P307*参数!$B$6*IF(AND(F307="能力",AL307="能力持续"),参数!$B$2,1)+R307*参数!$B$7*IF(AND(F307="能力",AL307="能力持续"),参数!$B$2,1)+V307*参数!$B$8+IF(X307&lt;0,X307*参数!$B$13,X307*参数!$B$39)+IF(AE307&lt;0,AE307*参数!$B$13,AE307*参数!$B$12)*参数!$B$2+AQ307*参数!$B$15+AB307*参数!$B$11+AF307*参数!$B$40*参数!$B$2+AG307*参数!$B$44*参数!$B$2+AH307*参数!$B$6*参数!$B$2+AI307*参数!$B$39*参数!$B$2+AJ307*参数!$B$6*参数!$B$2+Z307*参数!$B$13-T307*参数!$B$14-AD307*参数!$B$13+IF(ISNUMBER(AU307),AU307*参数!$B$38,0)-AV307*参数!$B$41-AW307*参数!$B$14),0),0)</f>
        <v>3</v>
      </c>
      <c r="AZ307">
        <f>AY307-MAX(AP307,0)*参数!$B$10</f>
        <v>1.7999999999999998</v>
      </c>
      <c r="BA307">
        <f t="shared" si="9"/>
        <v>7.5</v>
      </c>
    </row>
    <row r="308" spans="1:53" x14ac:dyDescent="0.3">
      <c r="A308">
        <v>307</v>
      </c>
      <c r="B308" t="s">
        <v>1346</v>
      </c>
      <c r="C308" t="s">
        <v>1083</v>
      </c>
      <c r="D308" t="s">
        <v>1347</v>
      </c>
      <c r="E308" t="s">
        <v>1348</v>
      </c>
      <c r="F308" t="s">
        <v>117</v>
      </c>
      <c r="G308" t="s">
        <v>12</v>
      </c>
      <c r="H308">
        <v>1</v>
      </c>
      <c r="I308">
        <v>1</v>
      </c>
      <c r="J308" t="s">
        <v>1349</v>
      </c>
      <c r="L308" t="s">
        <v>111</v>
      </c>
      <c r="M308">
        <v>0</v>
      </c>
      <c r="N308">
        <v>0</v>
      </c>
      <c r="O308">
        <v>1</v>
      </c>
      <c r="P308">
        <v>15</v>
      </c>
      <c r="Q308">
        <v>20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-3</v>
      </c>
      <c r="Y308">
        <v>-3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t="s">
        <v>112</v>
      </c>
      <c r="AN308" t="s">
        <v>161</v>
      </c>
      <c r="AP308">
        <f t="shared" si="8"/>
        <v>1</v>
      </c>
      <c r="AQ308">
        <v>0</v>
      </c>
      <c r="AR308">
        <v>0</v>
      </c>
      <c r="AT308" t="s">
        <v>113</v>
      </c>
      <c r="AU308">
        <v>0</v>
      </c>
      <c r="AY308">
        <f>IFERROR(MAX(IF(IF(AND(F308="能力",AL308="能力持续"),(参数!$B$2-1)*参数!$B$3,0)+M308*O308*参数!$B$5*IF(AND(F308="能力",AL308="能力持续"),参数!$B$2,1)+P308*参数!$B$6*IF(AND(F308="能力",AL308="能力持续"),参数!$B$2,1)+R308*参数!$B$7*IF(AND(F308="能力",AL308="能力持续"),参数!$B$2,1)+V308*参数!$B$8+IF(X308&lt;0,X308*参数!$B$13,X308*参数!$B$39)+IF(AE308&lt;0,AE308*参数!$B$13,AE308*参数!$B$12)*参数!$B$2+AQ308*参数!$B$15+AB308*参数!$B$11+AF308*参数!$B$40*参数!$B$2+AG308*参数!$B$44*参数!$B$2+AH308*参数!$B$6*参数!$B$2+AI308*参数!$B$39*参数!$B$2+AJ308*参数!$B$6*参数!$B$2+Z308*参数!$B$13-T308*参数!$B$14-AD308*参数!$B$13+IF(ISNUMBER(AU308),AU308*参数!$B$38,0)-AV308*参数!$B$41-AW308*参数!$B$14&gt;参数!$B$17,参数!$B$17+SQRT(IF(AND(F308="能力",AL308="能力持续"),(参数!$B$2-1)*参数!$B$3,0)+M308*O308*参数!$B$5*IF(AND(F308="能力",AL308="能力持续"),参数!$B$2,1)+P308*参数!$B$6*IF(AND(F308="能力",AL308="能力持续"),参数!$B$2,1)+R308*参数!$B$7*IF(AND(F308="能力",AL308="能力持续"),参数!$B$2,1)+V308*参数!$B$8+IF(X308&lt;0,X308*参数!$B$13,X308*参数!$B$39)+IF(AE308&lt;0,AE308*参数!$B$13,AE308*参数!$B$12)*参数!$B$2+AQ308*参数!$B$15+AB308*参数!$B$11+AF308*参数!$B$40*参数!$B$2+AG308*参数!$B$44*参数!$B$2+AH308*参数!$B$6*参数!$B$2+AI308*参数!$B$39*参数!$B$2+AJ308*参数!$B$6*参数!$B$2+Z308*参数!$B$13-T308*参数!$B$14-AD308*参数!$B$13+IF(ISNUMBER(AU308),AU308*参数!$B$38,0)-AV308*参数!$B$41-AW308*参数!$B$14-参数!$B$17)*参数!$B$18,IF(AND(F308="能力",AL308="能力持续"),(参数!$B$2-1)*参数!$B$3,0)+M308*O308*参数!$B$5*IF(AND(F308="能力",AL308="能力持续"),参数!$B$2,1)+P308*参数!$B$6*IF(AND(F308="能力",AL308="能力持续"),参数!$B$2,1)+R308*参数!$B$7*IF(AND(F308="能力",AL308="能力持续"),参数!$B$2,1)+V308*参数!$B$8+IF(X308&lt;0,X308*参数!$B$13,X308*参数!$B$39)+IF(AE308&lt;0,AE308*参数!$B$13,AE308*参数!$B$12)*参数!$B$2+AQ308*参数!$B$15+AB308*参数!$B$11+AF308*参数!$B$40*参数!$B$2+AG308*参数!$B$44*参数!$B$2+AH308*参数!$B$6*参数!$B$2+AI308*参数!$B$39*参数!$B$2+AJ308*参数!$B$6*参数!$B$2+Z308*参数!$B$13-T308*参数!$B$14-AD308*参数!$B$13+IF(ISNUMBER(AU308),AU308*参数!$B$38,0)-AV308*参数!$B$41-AW308*参数!$B$14),0),0)</f>
        <v>12.121320343559642</v>
      </c>
      <c r="AZ308">
        <f>AY308-MAX(AP308,0)*参数!$B$10</f>
        <v>9.1213203435596419</v>
      </c>
      <c r="BA308">
        <f t="shared" si="9"/>
        <v>12.121320343559642</v>
      </c>
    </row>
    <row r="309" spans="1:53" x14ac:dyDescent="0.3">
      <c r="A309">
        <v>308</v>
      </c>
      <c r="B309" t="s">
        <v>1350</v>
      </c>
      <c r="C309" t="s">
        <v>1083</v>
      </c>
      <c r="D309" t="s">
        <v>1351</v>
      </c>
      <c r="E309" t="s">
        <v>1352</v>
      </c>
      <c r="F309" t="s">
        <v>117</v>
      </c>
      <c r="G309" t="s">
        <v>12</v>
      </c>
      <c r="H309">
        <v>1</v>
      </c>
      <c r="I309">
        <v>1</v>
      </c>
      <c r="J309" t="s">
        <v>1353</v>
      </c>
      <c r="K309" t="s">
        <v>1354</v>
      </c>
      <c r="L309" t="s">
        <v>191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 t="s">
        <v>112</v>
      </c>
      <c r="AN309" t="s">
        <v>192</v>
      </c>
      <c r="AP309">
        <f t="shared" si="8"/>
        <v>1</v>
      </c>
      <c r="AQ309">
        <v>0</v>
      </c>
      <c r="AR309">
        <v>0</v>
      </c>
      <c r="AT309" t="s">
        <v>113</v>
      </c>
      <c r="AU309">
        <v>0</v>
      </c>
      <c r="AY309">
        <f>IFERROR(MAX(IF(IF(AND(F309="能力",AL309="能力持续"),(参数!$B$2-1)*参数!$B$3,0)+M309*O309*参数!$B$5*IF(AND(F309="能力",AL309="能力持续"),参数!$B$2,1)+P309*参数!$B$6*IF(AND(F309="能力",AL309="能力持续"),参数!$B$2,1)+R309*参数!$B$7*IF(AND(F309="能力",AL309="能力持续"),参数!$B$2,1)+V309*参数!$B$8+IF(X309&lt;0,X309*参数!$B$13,X309*参数!$B$39)+IF(AE309&lt;0,AE309*参数!$B$13,AE309*参数!$B$12)*参数!$B$2+AQ309*参数!$B$15+AB309*参数!$B$11+AF309*参数!$B$40*参数!$B$2+AG309*参数!$B$44*参数!$B$2+AH309*参数!$B$6*参数!$B$2+AI309*参数!$B$39*参数!$B$2+AJ309*参数!$B$6*参数!$B$2+Z309*参数!$B$13-T309*参数!$B$14-AD309*参数!$B$13+IF(ISNUMBER(AU309),AU309*参数!$B$38,0)-AV309*参数!$B$41-AW309*参数!$B$14&gt;参数!$B$17,参数!$B$17+SQRT(IF(AND(F309="能力",AL309="能力持续"),(参数!$B$2-1)*参数!$B$3,0)+M309*O309*参数!$B$5*IF(AND(F309="能力",AL309="能力持续"),参数!$B$2,1)+P309*参数!$B$6*IF(AND(F309="能力",AL309="能力持续"),参数!$B$2,1)+R309*参数!$B$7*IF(AND(F309="能力",AL309="能力持续"),参数!$B$2,1)+V309*参数!$B$8+IF(X309&lt;0,X309*参数!$B$13,X309*参数!$B$39)+IF(AE309&lt;0,AE309*参数!$B$13,AE309*参数!$B$12)*参数!$B$2+AQ309*参数!$B$15+AB309*参数!$B$11+AF309*参数!$B$40*参数!$B$2+AG309*参数!$B$44*参数!$B$2+AH309*参数!$B$6*参数!$B$2+AI309*参数!$B$39*参数!$B$2+AJ309*参数!$B$6*参数!$B$2+Z309*参数!$B$13-T309*参数!$B$14-AD309*参数!$B$13+IF(ISNUMBER(AU309),AU309*参数!$B$38,0)-AV309*参数!$B$41-AW309*参数!$B$14-参数!$B$17)*参数!$B$18,IF(AND(F309="能力",AL309="能力持续"),(参数!$B$2-1)*参数!$B$3,0)+M309*O309*参数!$B$5*IF(AND(F309="能力",AL309="能力持续"),参数!$B$2,1)+P309*参数!$B$6*IF(AND(F309="能力",AL309="能力持续"),参数!$B$2,1)+R309*参数!$B$7*IF(AND(F309="能力",AL309="能力持续"),参数!$B$2,1)+V309*参数!$B$8+IF(X309&lt;0,X309*参数!$B$13,X309*参数!$B$39)+IF(AE309&lt;0,AE309*参数!$B$13,AE309*参数!$B$12)*参数!$B$2+AQ309*参数!$B$15+AB309*参数!$B$11+AF309*参数!$B$40*参数!$B$2+AG309*参数!$B$44*参数!$B$2+AH309*参数!$B$6*参数!$B$2+AI309*参数!$B$39*参数!$B$2+AJ309*参数!$B$6*参数!$B$2+Z309*参数!$B$13-T309*参数!$B$14-AD309*参数!$B$13+IF(ISNUMBER(AU309),AU309*参数!$B$38,0)-AV309*参数!$B$41-AW309*参数!$B$14),0),0)</f>
        <v>4.8</v>
      </c>
      <c r="AZ309">
        <f>AY309-MAX(AP309,0)*参数!$B$10</f>
        <v>1.7999999999999998</v>
      </c>
      <c r="BA309">
        <f t="shared" si="9"/>
        <v>4.8</v>
      </c>
    </row>
    <row r="310" spans="1:53" x14ac:dyDescent="0.3">
      <c r="A310">
        <v>309</v>
      </c>
      <c r="B310" t="s">
        <v>1355</v>
      </c>
      <c r="C310" t="s">
        <v>1083</v>
      </c>
      <c r="D310" t="s">
        <v>1356</v>
      </c>
      <c r="E310" t="s">
        <v>1357</v>
      </c>
      <c r="F310" t="s">
        <v>117</v>
      </c>
      <c r="G310" t="s">
        <v>12</v>
      </c>
      <c r="H310">
        <v>0</v>
      </c>
      <c r="I310">
        <v>0</v>
      </c>
      <c r="J310" t="s">
        <v>1358</v>
      </c>
      <c r="L310" t="s">
        <v>120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6</v>
      </c>
      <c r="Y310">
        <v>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t="s">
        <v>112</v>
      </c>
      <c r="AP310">
        <f t="shared" si="8"/>
        <v>0.4</v>
      </c>
      <c r="AQ310">
        <v>0</v>
      </c>
      <c r="AR310">
        <v>0</v>
      </c>
      <c r="AT310" t="s">
        <v>113</v>
      </c>
      <c r="AU310">
        <v>0</v>
      </c>
      <c r="AY310">
        <f>IFERROR(MAX(IF(IF(AND(F310="能力",AL310="能力持续"),(参数!$B$2-1)*参数!$B$3,0)+M310*O310*参数!$B$5*IF(AND(F310="能力",AL310="能力持续"),参数!$B$2,1)+P310*参数!$B$6*IF(AND(F310="能力",AL310="能力持续"),参数!$B$2,1)+R310*参数!$B$7*IF(AND(F310="能力",AL310="能力持续"),参数!$B$2,1)+V310*参数!$B$8+IF(X310&lt;0,X310*参数!$B$13,X310*参数!$B$39)+IF(AE310&lt;0,AE310*参数!$B$13,AE310*参数!$B$12)*参数!$B$2+AQ310*参数!$B$15+AB310*参数!$B$11+AF310*参数!$B$40*参数!$B$2+AG310*参数!$B$44*参数!$B$2+AH310*参数!$B$6*参数!$B$2+AI310*参数!$B$39*参数!$B$2+AJ310*参数!$B$6*参数!$B$2+Z310*参数!$B$13-T310*参数!$B$14-AD310*参数!$B$13+IF(ISNUMBER(AU310),AU310*参数!$B$38,0)-AV310*参数!$B$41-AW310*参数!$B$14&gt;参数!$B$17,参数!$B$17+SQRT(IF(AND(F310="能力",AL310="能力持续"),(参数!$B$2-1)*参数!$B$3,0)+M310*O310*参数!$B$5*IF(AND(F310="能力",AL310="能力持续"),参数!$B$2,1)+P310*参数!$B$6*IF(AND(F310="能力",AL310="能力持续"),参数!$B$2,1)+R310*参数!$B$7*IF(AND(F310="能力",AL310="能力持续"),参数!$B$2,1)+V310*参数!$B$8+IF(X310&lt;0,X310*参数!$B$13,X310*参数!$B$39)+IF(AE310&lt;0,AE310*参数!$B$13,AE310*参数!$B$12)*参数!$B$2+AQ310*参数!$B$15+AB310*参数!$B$11+AF310*参数!$B$40*参数!$B$2+AG310*参数!$B$44*参数!$B$2+AH310*参数!$B$6*参数!$B$2+AI310*参数!$B$39*参数!$B$2+AJ310*参数!$B$6*参数!$B$2+Z310*参数!$B$13-T310*参数!$B$14-AD310*参数!$B$13+IF(ISNUMBER(AU310),AU310*参数!$B$38,0)-AV310*参数!$B$41-AW310*参数!$B$14-参数!$B$17)*参数!$B$18,IF(AND(F310="能力",AL310="能力持续"),(参数!$B$2-1)*参数!$B$3,0)+M310*O310*参数!$B$5*IF(AND(F310="能力",AL310="能力持续"),参数!$B$2,1)+P310*参数!$B$6*IF(AND(F310="能力",AL310="能力持续"),参数!$B$2,1)+R310*参数!$B$7*IF(AND(F310="能力",AL310="能力持续"),参数!$B$2,1)+V310*参数!$B$8+IF(X310&lt;0,X310*参数!$B$13,X310*参数!$B$39)+IF(AE310&lt;0,AE310*参数!$B$13,AE310*参数!$B$12)*参数!$B$2+AQ310*参数!$B$15+AB310*参数!$B$11+AF310*参数!$B$40*参数!$B$2+AG310*参数!$B$44*参数!$B$2+AH310*参数!$B$6*参数!$B$2+AI310*参数!$B$39*参数!$B$2+AJ310*参数!$B$6*参数!$B$2+Z310*参数!$B$13-T310*参数!$B$14-AD310*参数!$B$13+IF(ISNUMBER(AU310),AU310*参数!$B$38,0)-AV310*参数!$B$41-AW310*参数!$B$14),0),0)</f>
        <v>7.8000000000000007</v>
      </c>
      <c r="AZ310">
        <f>AY310-MAX(AP310,0)*参数!$B$10</f>
        <v>6.6000000000000005</v>
      </c>
      <c r="BA310">
        <f t="shared" si="9"/>
        <v>19.5</v>
      </c>
    </row>
    <row r="311" spans="1:53" x14ac:dyDescent="0.3">
      <c r="A311">
        <v>310</v>
      </c>
      <c r="B311" t="s">
        <v>1359</v>
      </c>
      <c r="C311" t="s">
        <v>1083</v>
      </c>
      <c r="D311" t="s">
        <v>1360</v>
      </c>
      <c r="E311" t="s">
        <v>1361</v>
      </c>
      <c r="F311" t="s">
        <v>124</v>
      </c>
      <c r="G311" t="s">
        <v>14</v>
      </c>
      <c r="H311">
        <v>1</v>
      </c>
      <c r="I311">
        <v>1</v>
      </c>
      <c r="J311" t="s">
        <v>1362</v>
      </c>
      <c r="L311" t="s">
        <v>120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t="s">
        <v>112</v>
      </c>
      <c r="AN311" t="s">
        <v>124</v>
      </c>
      <c r="AP311">
        <f t="shared" si="8"/>
        <v>1</v>
      </c>
      <c r="AQ311">
        <v>7</v>
      </c>
      <c r="AR311">
        <v>0</v>
      </c>
      <c r="AT311" t="s">
        <v>113</v>
      </c>
      <c r="AU311">
        <v>0</v>
      </c>
      <c r="AY311">
        <f>IFERROR(MAX(IF(IF(AND(F311="能力",AL311="能力持续"),(参数!$B$2-1)*参数!$B$3,0)+M311*O311*参数!$B$5*IF(AND(F311="能力",AL311="能力持续"),参数!$B$2,1)+P311*参数!$B$6*IF(AND(F311="能力",AL311="能力持续"),参数!$B$2,1)+R311*参数!$B$7*IF(AND(F311="能力",AL311="能力持续"),参数!$B$2,1)+V311*参数!$B$8+IF(X311&lt;0,X311*参数!$B$13,X311*参数!$B$39)+IF(AE311&lt;0,AE311*参数!$B$13,AE311*参数!$B$12)*参数!$B$2+AQ311*参数!$B$15+AB311*参数!$B$11+AF311*参数!$B$40*参数!$B$2+AG311*参数!$B$44*参数!$B$2+AH311*参数!$B$6*参数!$B$2+AI311*参数!$B$39*参数!$B$2+AJ311*参数!$B$6*参数!$B$2+Z311*参数!$B$13-T311*参数!$B$14-AD311*参数!$B$13+IF(ISNUMBER(AU311),AU311*参数!$B$38,0)-AV311*参数!$B$41-AW311*参数!$B$14&gt;参数!$B$17,参数!$B$17+SQRT(IF(AND(F311="能力",AL311="能力持续"),(参数!$B$2-1)*参数!$B$3,0)+M311*O311*参数!$B$5*IF(AND(F311="能力",AL311="能力持续"),参数!$B$2,1)+P311*参数!$B$6*IF(AND(F311="能力",AL311="能力持续"),参数!$B$2,1)+R311*参数!$B$7*IF(AND(F311="能力",AL311="能力持续"),参数!$B$2,1)+V311*参数!$B$8+IF(X311&lt;0,X311*参数!$B$13,X311*参数!$B$39)+IF(AE311&lt;0,AE311*参数!$B$13,AE311*参数!$B$12)*参数!$B$2+AQ311*参数!$B$15+AB311*参数!$B$11+AF311*参数!$B$40*参数!$B$2+AG311*参数!$B$44*参数!$B$2+AH311*参数!$B$6*参数!$B$2+AI311*参数!$B$39*参数!$B$2+AJ311*参数!$B$6*参数!$B$2+Z311*参数!$B$13-T311*参数!$B$14-AD311*参数!$B$13+IF(ISNUMBER(AU311),AU311*参数!$B$38,0)-AV311*参数!$B$41-AW311*参数!$B$14-参数!$B$17)*参数!$B$18,IF(AND(F311="能力",AL311="能力持续"),(参数!$B$2-1)*参数!$B$3,0)+M311*O311*参数!$B$5*IF(AND(F311="能力",AL311="能力持续"),参数!$B$2,1)+P311*参数!$B$6*IF(AND(F311="能力",AL311="能力持续"),参数!$B$2,1)+R311*参数!$B$7*IF(AND(F311="能力",AL311="能力持续"),参数!$B$2,1)+V311*参数!$B$8+IF(X311&lt;0,X311*参数!$B$13,X311*参数!$B$39)+IF(AE311&lt;0,AE311*参数!$B$13,AE311*参数!$B$12)*参数!$B$2+AQ311*参数!$B$15+AB311*参数!$B$11+AF311*参数!$B$40*参数!$B$2+AG311*参数!$B$44*参数!$B$2+AH311*参数!$B$6*参数!$B$2+AI311*参数!$B$39*参数!$B$2+AJ311*参数!$B$6*参数!$B$2+Z311*参数!$B$13-T311*参数!$B$14-AD311*参数!$B$13+IF(ISNUMBER(AU311),AU311*参数!$B$38,0)-AV311*参数!$B$41-AW311*参数!$B$14),0),0)</f>
        <v>14.974937185533101</v>
      </c>
      <c r="AZ311">
        <f>AY311-MAX(AP311,0)*参数!$B$10</f>
        <v>11.974937185533101</v>
      </c>
      <c r="BA311">
        <f t="shared" si="9"/>
        <v>14.974937185533101</v>
      </c>
    </row>
    <row r="312" spans="1:53" x14ac:dyDescent="0.3">
      <c r="A312">
        <v>311</v>
      </c>
      <c r="B312" t="s">
        <v>1363</v>
      </c>
      <c r="C312" t="s">
        <v>1083</v>
      </c>
      <c r="D312" t="s">
        <v>1364</v>
      </c>
      <c r="E312" t="s">
        <v>1365</v>
      </c>
      <c r="F312" t="s">
        <v>124</v>
      </c>
      <c r="G312" t="s">
        <v>14</v>
      </c>
      <c r="H312">
        <v>1</v>
      </c>
      <c r="I312">
        <v>1</v>
      </c>
      <c r="J312" t="s">
        <v>1366</v>
      </c>
      <c r="L312" t="s">
        <v>191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 t="s">
        <v>112</v>
      </c>
      <c r="AN312" t="s">
        <v>322</v>
      </c>
      <c r="AP312">
        <f t="shared" si="8"/>
        <v>1</v>
      </c>
      <c r="AQ312">
        <f>7*参数!$B$46</f>
        <v>5.6000000000000005</v>
      </c>
      <c r="AR312">
        <v>0</v>
      </c>
      <c r="AT312" t="s">
        <v>113</v>
      </c>
      <c r="AU312">
        <v>0</v>
      </c>
      <c r="AY312">
        <f>IFERROR(MAX(IF(IF(AND(F312="能力",AL312="能力持续"),(参数!$B$2-1)*参数!$B$3,0)+M312*O312*参数!$B$5*IF(AND(F312="能力",AL312="能力持续"),参数!$B$2,1)+P312*参数!$B$6*IF(AND(F312="能力",AL312="能力持续"),参数!$B$2,1)+R312*参数!$B$7*IF(AND(F312="能力",AL312="能力持续"),参数!$B$2,1)+V312*参数!$B$8+IF(X312&lt;0,X312*参数!$B$13,X312*参数!$B$39)+IF(AE312&lt;0,AE312*参数!$B$13,AE312*参数!$B$12)*参数!$B$2+AQ312*参数!$B$15+AB312*参数!$B$11+AF312*参数!$B$40*参数!$B$2+AG312*参数!$B$44*参数!$B$2+AH312*参数!$B$6*参数!$B$2+AI312*参数!$B$39*参数!$B$2+AJ312*参数!$B$6*参数!$B$2+Z312*参数!$B$13-T312*参数!$B$14-AD312*参数!$B$13+IF(ISNUMBER(AU312),AU312*参数!$B$38,0)-AV312*参数!$B$41-AW312*参数!$B$14&gt;参数!$B$17,参数!$B$17+SQRT(IF(AND(F312="能力",AL312="能力持续"),(参数!$B$2-1)*参数!$B$3,0)+M312*O312*参数!$B$5*IF(AND(F312="能力",AL312="能力持续"),参数!$B$2,1)+P312*参数!$B$6*IF(AND(F312="能力",AL312="能力持续"),参数!$B$2,1)+R312*参数!$B$7*IF(AND(F312="能力",AL312="能力持续"),参数!$B$2,1)+V312*参数!$B$8+IF(X312&lt;0,X312*参数!$B$13,X312*参数!$B$39)+IF(AE312&lt;0,AE312*参数!$B$13,AE312*参数!$B$12)*参数!$B$2+AQ312*参数!$B$15+AB312*参数!$B$11+AF312*参数!$B$40*参数!$B$2+AG312*参数!$B$44*参数!$B$2+AH312*参数!$B$6*参数!$B$2+AI312*参数!$B$39*参数!$B$2+AJ312*参数!$B$6*参数!$B$2+Z312*参数!$B$13-T312*参数!$B$14-AD312*参数!$B$13+IF(ISNUMBER(AU312),AU312*参数!$B$38,0)-AV312*参数!$B$41-AW312*参数!$B$14-参数!$B$17)*参数!$B$18,IF(AND(F312="能力",AL312="能力持续"),(参数!$B$2-1)*参数!$B$3,0)+M312*O312*参数!$B$5*IF(AND(F312="能力",AL312="能力持续"),参数!$B$2,1)+P312*参数!$B$6*IF(AND(F312="能力",AL312="能力持续"),参数!$B$2,1)+R312*参数!$B$7*IF(AND(F312="能力",AL312="能力持续"),参数!$B$2,1)+V312*参数!$B$8+IF(X312&lt;0,X312*参数!$B$13,X312*参数!$B$39)+IF(AE312&lt;0,AE312*参数!$B$13,AE312*参数!$B$12)*参数!$B$2+AQ312*参数!$B$15+AB312*参数!$B$11+AF312*参数!$B$40*参数!$B$2+AG312*参数!$B$44*参数!$B$2+AH312*参数!$B$6*参数!$B$2+AI312*参数!$B$39*参数!$B$2+AJ312*参数!$B$6*参数!$B$2+Z312*参数!$B$13-T312*参数!$B$14-AD312*参数!$B$13+IF(ISNUMBER(AU312),AU312*参数!$B$38,0)-AV312*参数!$B$41-AW312*参数!$B$14),0),0)</f>
        <v>13.91152144312159</v>
      </c>
      <c r="AZ312">
        <f>AY312-MAX(AP312,0)*参数!$B$10</f>
        <v>10.91152144312159</v>
      </c>
      <c r="BA312">
        <f t="shared" si="9"/>
        <v>13.91152144312159</v>
      </c>
    </row>
    <row r="313" spans="1:53" x14ac:dyDescent="0.3">
      <c r="A313">
        <v>312</v>
      </c>
      <c r="B313" t="s">
        <v>1367</v>
      </c>
      <c r="C313" t="s">
        <v>1083</v>
      </c>
      <c r="D313" t="s">
        <v>1368</v>
      </c>
      <c r="E313" t="s">
        <v>1369</v>
      </c>
      <c r="F313" t="s">
        <v>108</v>
      </c>
      <c r="G313" t="s">
        <v>14</v>
      </c>
      <c r="H313">
        <v>2</v>
      </c>
      <c r="I313">
        <v>1</v>
      </c>
      <c r="J313" t="s">
        <v>1370</v>
      </c>
      <c r="L313" t="s">
        <v>191</v>
      </c>
      <c r="M313">
        <v>7</v>
      </c>
      <c r="N313">
        <v>7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-7</v>
      </c>
      <c r="Y313">
        <v>-7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 t="s">
        <v>112</v>
      </c>
      <c r="AN313" t="s">
        <v>192</v>
      </c>
      <c r="AP313">
        <f t="shared" si="8"/>
        <v>2</v>
      </c>
      <c r="AQ313">
        <v>0</v>
      </c>
      <c r="AR313">
        <v>0</v>
      </c>
      <c r="AT313" t="s">
        <v>113</v>
      </c>
      <c r="AU313">
        <v>0</v>
      </c>
      <c r="AY313">
        <f>IFERROR(MAX(IF(IF(AND(F313="能力",AL313="能力持续"),(参数!$B$2-1)*参数!$B$3,0)+M313*O313*参数!$B$5*IF(AND(F313="能力",AL313="能力持续"),参数!$B$2,1)+P313*参数!$B$6*IF(AND(F313="能力",AL313="能力持续"),参数!$B$2,1)+R313*参数!$B$7*IF(AND(F313="能力",AL313="能力持续"),参数!$B$2,1)+V313*参数!$B$8+IF(X313&lt;0,X313*参数!$B$13,X313*参数!$B$39)+IF(AE313&lt;0,AE313*参数!$B$13,AE313*参数!$B$12)*参数!$B$2+AQ313*参数!$B$15+AB313*参数!$B$11+AF313*参数!$B$40*参数!$B$2+AG313*参数!$B$44*参数!$B$2+AH313*参数!$B$6*参数!$B$2+AI313*参数!$B$39*参数!$B$2+AJ313*参数!$B$6*参数!$B$2+Z313*参数!$B$13-T313*参数!$B$14-AD313*参数!$B$13+IF(ISNUMBER(AU313),AU313*参数!$B$38,0)-AV313*参数!$B$41-AW313*参数!$B$14&gt;参数!$B$17,参数!$B$17+SQRT(IF(AND(F313="能力",AL313="能力持续"),(参数!$B$2-1)*参数!$B$3,0)+M313*O313*参数!$B$5*IF(AND(F313="能力",AL313="能力持续"),参数!$B$2,1)+P313*参数!$B$6*IF(AND(F313="能力",AL313="能力持续"),参数!$B$2,1)+R313*参数!$B$7*IF(AND(F313="能力",AL313="能力持续"),参数!$B$2,1)+V313*参数!$B$8+IF(X313&lt;0,X313*参数!$B$13,X313*参数!$B$39)+IF(AE313&lt;0,AE313*参数!$B$13,AE313*参数!$B$12)*参数!$B$2+AQ313*参数!$B$15+AB313*参数!$B$11+AF313*参数!$B$40*参数!$B$2+AG313*参数!$B$44*参数!$B$2+AH313*参数!$B$6*参数!$B$2+AI313*参数!$B$39*参数!$B$2+AJ313*参数!$B$6*参数!$B$2+Z313*参数!$B$13-T313*参数!$B$14-AD313*参数!$B$13+IF(ISNUMBER(AU313),AU313*参数!$B$38,0)-AV313*参数!$B$41-AW313*参数!$B$14-参数!$B$17)*参数!$B$18,IF(AND(F313="能力",AL313="能力持续"),(参数!$B$2-1)*参数!$B$3,0)+M313*O313*参数!$B$5*IF(AND(F313="能力",AL313="能力持续"),参数!$B$2,1)+P313*参数!$B$6*IF(AND(F313="能力",AL313="能力持续"),参数!$B$2,1)+R313*参数!$B$7*IF(AND(F313="能力",AL313="能力持续"),参数!$B$2,1)+V313*参数!$B$8+IF(X313&lt;0,X313*参数!$B$13,X313*参数!$B$39)+IF(AE313&lt;0,AE313*参数!$B$13,AE313*参数!$B$12)*参数!$B$2+AQ313*参数!$B$15+AB313*参数!$B$11+AF313*参数!$B$40*参数!$B$2+AG313*参数!$B$44*参数!$B$2+AH313*参数!$B$6*参数!$B$2+AI313*参数!$B$39*参数!$B$2+AJ313*参数!$B$6*参数!$B$2+Z313*参数!$B$13-T313*参数!$B$14-AD313*参数!$B$13+IF(ISNUMBER(AU313),AU313*参数!$B$38,0)-AV313*参数!$B$41-AW313*参数!$B$14),0),0)</f>
        <v>18.007808689023484</v>
      </c>
      <c r="AZ313">
        <f>AY313-MAX(AP313,0)*参数!$B$10</f>
        <v>12.007808689023484</v>
      </c>
      <c r="BA313">
        <f t="shared" si="9"/>
        <v>9.0039043445117422</v>
      </c>
    </row>
    <row r="314" spans="1:53" x14ac:dyDescent="0.3">
      <c r="A314">
        <v>313</v>
      </c>
      <c r="B314" t="s">
        <v>1371</v>
      </c>
      <c r="C314" t="s">
        <v>1083</v>
      </c>
      <c r="D314" t="s">
        <v>1372</v>
      </c>
      <c r="E314" t="s">
        <v>1373</v>
      </c>
      <c r="F314" t="s">
        <v>108</v>
      </c>
      <c r="G314" t="s">
        <v>12</v>
      </c>
      <c r="H314">
        <v>1</v>
      </c>
      <c r="I314">
        <v>1</v>
      </c>
      <c r="J314" t="s">
        <v>1374</v>
      </c>
      <c r="K314" t="s">
        <v>472</v>
      </c>
      <c r="L314" t="s">
        <v>111</v>
      </c>
      <c r="M314">
        <v>8</v>
      </c>
      <c r="N314">
        <v>11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t="s">
        <v>112</v>
      </c>
      <c r="AO314" t="s">
        <v>472</v>
      </c>
      <c r="AP314">
        <f t="shared" si="8"/>
        <v>1</v>
      </c>
      <c r="AQ314">
        <v>0</v>
      </c>
      <c r="AR314">
        <v>0</v>
      </c>
      <c r="AT314" t="s">
        <v>113</v>
      </c>
      <c r="AU314">
        <v>0</v>
      </c>
      <c r="AY314">
        <f>IFERROR(MAX(IF(IF(AND(F314="能力",AL314="能力持续"),(参数!$B$2-1)*参数!$B$3,0)+M314*O314*参数!$B$5*IF(AND(F314="能力",AL314="能力持续"),参数!$B$2,1)+P314*参数!$B$6*IF(AND(F314="能力",AL314="能力持续"),参数!$B$2,1)+R314*参数!$B$7*IF(AND(F314="能力",AL314="能力持续"),参数!$B$2,1)+V314*参数!$B$8+IF(X314&lt;0,X314*参数!$B$13,X314*参数!$B$39)+IF(AE314&lt;0,AE314*参数!$B$13,AE314*参数!$B$12)*参数!$B$2+AQ314*参数!$B$15+AB314*参数!$B$11+AF314*参数!$B$40*参数!$B$2+AG314*参数!$B$44*参数!$B$2+AH314*参数!$B$6*参数!$B$2+AI314*参数!$B$39*参数!$B$2+AJ314*参数!$B$6*参数!$B$2+Z314*参数!$B$13-T314*参数!$B$14-AD314*参数!$B$13+IF(ISNUMBER(AU314),AU314*参数!$B$38,0)-AV314*参数!$B$41-AW314*参数!$B$14&gt;参数!$B$17,参数!$B$17+SQRT(IF(AND(F314="能力",AL314="能力持续"),(参数!$B$2-1)*参数!$B$3,0)+M314*O314*参数!$B$5*IF(AND(F314="能力",AL314="能力持续"),参数!$B$2,1)+P314*参数!$B$6*IF(AND(F314="能力",AL314="能力持续"),参数!$B$2,1)+R314*参数!$B$7*IF(AND(F314="能力",AL314="能力持续"),参数!$B$2,1)+V314*参数!$B$8+IF(X314&lt;0,X314*参数!$B$13,X314*参数!$B$39)+IF(AE314&lt;0,AE314*参数!$B$13,AE314*参数!$B$12)*参数!$B$2+AQ314*参数!$B$15+AB314*参数!$B$11+AF314*参数!$B$40*参数!$B$2+AG314*参数!$B$44*参数!$B$2+AH314*参数!$B$6*参数!$B$2+AI314*参数!$B$39*参数!$B$2+AJ314*参数!$B$6*参数!$B$2+Z314*参数!$B$13-T314*参数!$B$14-AD314*参数!$B$13+IF(ISNUMBER(AU314),AU314*参数!$B$38,0)-AV314*参数!$B$41-AW314*参数!$B$14-参数!$B$17)*参数!$B$18,IF(AND(F314="能力",AL314="能力持续"),(参数!$B$2-1)*参数!$B$3,0)+M314*O314*参数!$B$5*IF(AND(F314="能力",AL314="能力持续"),参数!$B$2,1)+P314*参数!$B$6*IF(AND(F314="能力",AL314="能力持续"),参数!$B$2,1)+R314*参数!$B$7*IF(AND(F314="能力",AL314="能力持续"),参数!$B$2,1)+V314*参数!$B$8+IF(X314&lt;0,X314*参数!$B$13,X314*参数!$B$39)+IF(AE314&lt;0,AE314*参数!$B$13,AE314*参数!$B$12)*参数!$B$2+AQ314*参数!$B$15+AB314*参数!$B$11+AF314*参数!$B$40*参数!$B$2+AG314*参数!$B$44*参数!$B$2+AH314*参数!$B$6*参数!$B$2+AI314*参数!$B$39*参数!$B$2+AJ314*参数!$B$6*参数!$B$2+Z314*参数!$B$13-T314*参数!$B$14-AD314*参数!$B$13+IF(ISNUMBER(AU314),AU314*参数!$B$38,0)-AV314*参数!$B$41-AW314*参数!$B$14),0),0)</f>
        <v>11.161895003862224</v>
      </c>
      <c r="AZ314">
        <f>AY314-MAX(AP314,0)*参数!$B$10</f>
        <v>8.1618950038622238</v>
      </c>
      <c r="BA314">
        <f t="shared" si="9"/>
        <v>11.161895003862224</v>
      </c>
    </row>
    <row r="315" spans="1:53" x14ac:dyDescent="0.3">
      <c r="A315">
        <v>314</v>
      </c>
      <c r="B315" t="s">
        <v>1375</v>
      </c>
      <c r="C315" t="s">
        <v>1083</v>
      </c>
      <c r="D315" t="s">
        <v>1376</v>
      </c>
      <c r="E315" t="s">
        <v>1377</v>
      </c>
      <c r="F315" t="s">
        <v>108</v>
      </c>
      <c r="G315" t="s">
        <v>10</v>
      </c>
      <c r="H315">
        <v>1</v>
      </c>
      <c r="I315">
        <v>1</v>
      </c>
      <c r="J315" t="s">
        <v>1378</v>
      </c>
      <c r="K315" t="s">
        <v>472</v>
      </c>
      <c r="L315" t="s">
        <v>111</v>
      </c>
      <c r="M315">
        <v>9</v>
      </c>
      <c r="N315">
        <v>10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t="s">
        <v>112</v>
      </c>
      <c r="AO315" t="s">
        <v>472</v>
      </c>
      <c r="AP315">
        <f t="shared" si="8"/>
        <v>1</v>
      </c>
      <c r="AQ315">
        <v>0</v>
      </c>
      <c r="AR315">
        <v>0</v>
      </c>
      <c r="AT315" t="s">
        <v>113</v>
      </c>
      <c r="AU315">
        <v>0</v>
      </c>
      <c r="AY315">
        <f>IFERROR(MAX(IF(IF(AND(F315="能力",AL315="能力持续"),(参数!$B$2-1)*参数!$B$3,0)+M315*O315*参数!$B$5*IF(AND(F315="能力",AL315="能力持续"),参数!$B$2,1)+P315*参数!$B$6*IF(AND(F315="能力",AL315="能力持续"),参数!$B$2,1)+R315*参数!$B$7*IF(AND(F315="能力",AL315="能力持续"),参数!$B$2,1)+V315*参数!$B$8+IF(X315&lt;0,X315*参数!$B$13,X315*参数!$B$39)+IF(AE315&lt;0,AE315*参数!$B$13,AE315*参数!$B$12)*参数!$B$2+AQ315*参数!$B$15+AB315*参数!$B$11+AF315*参数!$B$40*参数!$B$2+AG315*参数!$B$44*参数!$B$2+AH315*参数!$B$6*参数!$B$2+AI315*参数!$B$39*参数!$B$2+AJ315*参数!$B$6*参数!$B$2+Z315*参数!$B$13-T315*参数!$B$14-AD315*参数!$B$13+IF(ISNUMBER(AU315),AU315*参数!$B$38,0)-AV315*参数!$B$41-AW315*参数!$B$14&gt;参数!$B$17,参数!$B$17+SQRT(IF(AND(F315="能力",AL315="能力持续"),(参数!$B$2-1)*参数!$B$3,0)+M315*O315*参数!$B$5*IF(AND(F315="能力",AL315="能力持续"),参数!$B$2,1)+P315*参数!$B$6*IF(AND(F315="能力",AL315="能力持续"),参数!$B$2,1)+R315*参数!$B$7*IF(AND(F315="能力",AL315="能力持续"),参数!$B$2,1)+V315*参数!$B$8+IF(X315&lt;0,X315*参数!$B$13,X315*参数!$B$39)+IF(AE315&lt;0,AE315*参数!$B$13,AE315*参数!$B$12)*参数!$B$2+AQ315*参数!$B$15+AB315*参数!$B$11+AF315*参数!$B$40*参数!$B$2+AG315*参数!$B$44*参数!$B$2+AH315*参数!$B$6*参数!$B$2+AI315*参数!$B$39*参数!$B$2+AJ315*参数!$B$6*参数!$B$2+Z315*参数!$B$13-T315*参数!$B$14-AD315*参数!$B$13+IF(ISNUMBER(AU315),AU315*参数!$B$38,0)-AV315*参数!$B$41-AW315*参数!$B$14-参数!$B$17)*参数!$B$18,IF(AND(F315="能力",AL315="能力持续"),(参数!$B$2-1)*参数!$B$3,0)+M315*O315*参数!$B$5*IF(AND(F315="能力",AL315="能力持续"),参数!$B$2,1)+P315*参数!$B$6*IF(AND(F315="能力",AL315="能力持续"),参数!$B$2,1)+R315*参数!$B$7*IF(AND(F315="能力",AL315="能力持续"),参数!$B$2,1)+V315*参数!$B$8+IF(X315&lt;0,X315*参数!$B$13,X315*参数!$B$39)+IF(AE315&lt;0,AE315*参数!$B$13,AE315*参数!$B$12)*参数!$B$2+AQ315*参数!$B$15+AB315*参数!$B$11+AF315*参数!$B$40*参数!$B$2+AG315*参数!$B$44*参数!$B$2+AH315*参数!$B$6*参数!$B$2+AI315*参数!$B$39*参数!$B$2+AJ315*参数!$B$6*参数!$B$2+Z315*参数!$B$13-T315*参数!$B$14-AD315*参数!$B$13+IF(ISNUMBER(AU315),AU315*参数!$B$38,0)-AV315*参数!$B$41-AW315*参数!$B$14),0),0)</f>
        <v>10.82158383625775</v>
      </c>
      <c r="AZ315">
        <f>AY315-MAX(AP315,0)*参数!$B$10</f>
        <v>7.8215838362577497</v>
      </c>
      <c r="BA315">
        <f t="shared" si="9"/>
        <v>10.82158383625775</v>
      </c>
    </row>
    <row r="316" spans="1:53" x14ac:dyDescent="0.3">
      <c r="A316">
        <v>315</v>
      </c>
      <c r="B316" t="s">
        <v>1379</v>
      </c>
      <c r="C316" t="s">
        <v>1083</v>
      </c>
      <c r="D316" t="s">
        <v>1380</v>
      </c>
      <c r="E316" t="s">
        <v>1381</v>
      </c>
      <c r="F316" t="s">
        <v>124</v>
      </c>
      <c r="G316" t="s">
        <v>12</v>
      </c>
      <c r="H316">
        <v>2</v>
      </c>
      <c r="I316">
        <v>1</v>
      </c>
      <c r="J316" t="s">
        <v>1382</v>
      </c>
      <c r="L316" t="s">
        <v>120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 t="s">
        <v>112</v>
      </c>
      <c r="AL316" t="s">
        <v>127</v>
      </c>
      <c r="AN316" t="s">
        <v>124</v>
      </c>
      <c r="AP316">
        <f t="shared" si="8"/>
        <v>2</v>
      </c>
      <c r="AQ316">
        <v>0</v>
      </c>
      <c r="AR316">
        <v>0</v>
      </c>
      <c r="AT316" t="s">
        <v>113</v>
      </c>
      <c r="AU316">
        <v>0</v>
      </c>
      <c r="AY316">
        <f>IFERROR(MAX(IF(IF(AND(F316="能力",AL316="能力持续"),(参数!$B$2-1)*参数!$B$3,0)+M316*O316*参数!$B$5*IF(AND(F316="能力",AL316="能力持续"),参数!$B$2,1)+P316*参数!$B$6*IF(AND(F316="能力",AL316="能力持续"),参数!$B$2,1)+R316*参数!$B$7*IF(AND(F316="能力",AL316="能力持续"),参数!$B$2,1)+V316*参数!$B$8+IF(X316&lt;0,X316*参数!$B$13,X316*参数!$B$39)+IF(AE316&lt;0,AE316*参数!$B$13,AE316*参数!$B$12)*参数!$B$2+AQ316*参数!$B$15+AB316*参数!$B$11+AF316*参数!$B$40*参数!$B$2+AG316*参数!$B$44*参数!$B$2+AH316*参数!$B$6*参数!$B$2+AI316*参数!$B$39*参数!$B$2+AJ316*参数!$B$6*参数!$B$2+Z316*参数!$B$13-T316*参数!$B$14-AD316*参数!$B$13+IF(ISNUMBER(AU316),AU316*参数!$B$38,0)-AV316*参数!$B$41-AW316*参数!$B$14&gt;参数!$B$17,参数!$B$17+SQRT(IF(AND(F316="能力",AL316="能力持续"),(参数!$B$2-1)*参数!$B$3,0)+M316*O316*参数!$B$5*IF(AND(F316="能力",AL316="能力持续"),参数!$B$2,1)+P316*参数!$B$6*IF(AND(F316="能力",AL316="能力持续"),参数!$B$2,1)+R316*参数!$B$7*IF(AND(F316="能力",AL316="能力持续"),参数!$B$2,1)+V316*参数!$B$8+IF(X316&lt;0,X316*参数!$B$13,X316*参数!$B$39)+IF(AE316&lt;0,AE316*参数!$B$13,AE316*参数!$B$12)*参数!$B$2+AQ316*参数!$B$15+AB316*参数!$B$11+AF316*参数!$B$40*参数!$B$2+AG316*参数!$B$44*参数!$B$2+AH316*参数!$B$6*参数!$B$2+AI316*参数!$B$39*参数!$B$2+AJ316*参数!$B$6*参数!$B$2+Z316*参数!$B$13-T316*参数!$B$14-AD316*参数!$B$13+IF(ISNUMBER(AU316),AU316*参数!$B$38,0)-AV316*参数!$B$41-AW316*参数!$B$14-参数!$B$17)*参数!$B$18,IF(AND(F316="能力",AL316="能力持续"),(参数!$B$2-1)*参数!$B$3,0)+M316*O316*参数!$B$5*IF(AND(F316="能力",AL316="能力持续"),参数!$B$2,1)+P316*参数!$B$6*IF(AND(F316="能力",AL316="能力持续"),参数!$B$2,1)+R316*参数!$B$7*IF(AND(F316="能力",AL316="能力持续"),参数!$B$2,1)+V316*参数!$B$8+IF(X316&lt;0,X316*参数!$B$13,X316*参数!$B$39)+IF(AE316&lt;0,AE316*参数!$B$13,AE316*参数!$B$12)*参数!$B$2+AQ316*参数!$B$15+AB316*参数!$B$11+AF316*参数!$B$40*参数!$B$2+AG316*参数!$B$44*参数!$B$2+AH316*参数!$B$6*参数!$B$2+AI316*参数!$B$39*参数!$B$2+AJ316*参数!$B$6*参数!$B$2+Z316*参数!$B$13-T316*参数!$B$14-AD316*参数!$B$13+IF(ISNUMBER(AU316),AU316*参数!$B$38,0)-AV316*参数!$B$41-AW316*参数!$B$14),0),0)</f>
        <v>3.5999999999999996</v>
      </c>
      <c r="AZ316">
        <f>AY316-MAX(AP316,0)*参数!$B$10</f>
        <v>-2.4000000000000004</v>
      </c>
      <c r="BA316">
        <f t="shared" si="9"/>
        <v>1.7999999999999998</v>
      </c>
    </row>
    <row r="317" spans="1:53" x14ac:dyDescent="0.3">
      <c r="A317">
        <v>316</v>
      </c>
      <c r="B317" t="s">
        <v>1383</v>
      </c>
      <c r="C317" t="s">
        <v>1083</v>
      </c>
      <c r="D317" t="s">
        <v>1384</v>
      </c>
      <c r="E317" t="s">
        <v>1385</v>
      </c>
      <c r="F317" t="s">
        <v>117</v>
      </c>
      <c r="G317" t="s">
        <v>10</v>
      </c>
      <c r="H317">
        <v>1</v>
      </c>
      <c r="I317">
        <v>1</v>
      </c>
      <c r="J317" t="s">
        <v>1386</v>
      </c>
      <c r="L317" t="s">
        <v>111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2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t="s">
        <v>112</v>
      </c>
      <c r="AP317">
        <f t="shared" si="8"/>
        <v>1</v>
      </c>
      <c r="AQ317">
        <v>0</v>
      </c>
      <c r="AR317">
        <v>0</v>
      </c>
      <c r="AT317" t="s">
        <v>113</v>
      </c>
      <c r="AU317">
        <v>0</v>
      </c>
      <c r="AY317">
        <f>IFERROR(MAX(IF(IF(AND(F317="能力",AL317="能力持续"),(参数!$B$2-1)*参数!$B$3,0)+M317*O317*参数!$B$5*IF(AND(F317="能力",AL317="能力持续"),参数!$B$2,1)+P317*参数!$B$6*IF(AND(F317="能力",AL317="能力持续"),参数!$B$2,1)+R317*参数!$B$7*IF(AND(F317="能力",AL317="能力持续"),参数!$B$2,1)+V317*参数!$B$8+IF(X317&lt;0,X317*参数!$B$13,X317*参数!$B$39)+IF(AE317&lt;0,AE317*参数!$B$13,AE317*参数!$B$12)*参数!$B$2+AQ317*参数!$B$15+AB317*参数!$B$11+AF317*参数!$B$40*参数!$B$2+AG317*参数!$B$44*参数!$B$2+AH317*参数!$B$6*参数!$B$2+AI317*参数!$B$39*参数!$B$2+AJ317*参数!$B$6*参数!$B$2+Z317*参数!$B$13-T317*参数!$B$14-AD317*参数!$B$13+IF(ISNUMBER(AU317),AU317*参数!$B$38,0)-AV317*参数!$B$41-AW317*参数!$B$14&gt;参数!$B$17,参数!$B$17+SQRT(IF(AND(F317="能力",AL317="能力持续"),(参数!$B$2-1)*参数!$B$3,0)+M317*O317*参数!$B$5*IF(AND(F317="能力",AL317="能力持续"),参数!$B$2,1)+P317*参数!$B$6*IF(AND(F317="能力",AL317="能力持续"),参数!$B$2,1)+R317*参数!$B$7*IF(AND(F317="能力",AL317="能力持续"),参数!$B$2,1)+V317*参数!$B$8+IF(X317&lt;0,X317*参数!$B$13,X317*参数!$B$39)+IF(AE317&lt;0,AE317*参数!$B$13,AE317*参数!$B$12)*参数!$B$2+AQ317*参数!$B$15+AB317*参数!$B$11+AF317*参数!$B$40*参数!$B$2+AG317*参数!$B$44*参数!$B$2+AH317*参数!$B$6*参数!$B$2+AI317*参数!$B$39*参数!$B$2+AJ317*参数!$B$6*参数!$B$2+Z317*参数!$B$13-T317*参数!$B$14-AD317*参数!$B$13+IF(ISNUMBER(AU317),AU317*参数!$B$38,0)-AV317*参数!$B$41-AW317*参数!$B$14-参数!$B$17)*参数!$B$18,IF(AND(F317="能力",AL317="能力持续"),(参数!$B$2-1)*参数!$B$3,0)+M317*O317*参数!$B$5*IF(AND(F317="能力",AL317="能力持续"),参数!$B$2,1)+P317*参数!$B$6*IF(AND(F317="能力",AL317="能力持续"),参数!$B$2,1)+R317*参数!$B$7*IF(AND(F317="能力",AL317="能力持续"),参数!$B$2,1)+V317*参数!$B$8+IF(X317&lt;0,X317*参数!$B$13,X317*参数!$B$39)+IF(AE317&lt;0,AE317*参数!$B$13,AE317*参数!$B$12)*参数!$B$2+AQ317*参数!$B$15+AB317*参数!$B$11+AF317*参数!$B$40*参数!$B$2+AG317*参数!$B$44*参数!$B$2+AH317*参数!$B$6*参数!$B$2+AI317*参数!$B$39*参数!$B$2+AJ317*参数!$B$6*参数!$B$2+Z317*参数!$B$13-T317*参数!$B$14-AD317*参数!$B$13+IF(ISNUMBER(AU317),AU317*参数!$B$38,0)-AV317*参数!$B$41-AW317*参数!$B$14),0),0)</f>
        <v>1.4</v>
      </c>
      <c r="AZ317">
        <f>AY317-MAX(AP317,0)*参数!$B$10</f>
        <v>-1.6</v>
      </c>
      <c r="BA317">
        <f t="shared" si="9"/>
        <v>1.4</v>
      </c>
    </row>
    <row r="318" spans="1:53" x14ac:dyDescent="0.3">
      <c r="A318">
        <v>317</v>
      </c>
      <c r="B318" t="s">
        <v>1387</v>
      </c>
      <c r="C318" t="s">
        <v>1083</v>
      </c>
      <c r="D318" t="s">
        <v>1388</v>
      </c>
      <c r="E318" t="s">
        <v>1389</v>
      </c>
      <c r="F318" t="s">
        <v>108</v>
      </c>
      <c r="G318" t="s">
        <v>12</v>
      </c>
      <c r="H318">
        <v>0</v>
      </c>
      <c r="I318">
        <v>0</v>
      </c>
      <c r="J318" t="s">
        <v>1390</v>
      </c>
      <c r="L318" t="s">
        <v>301</v>
      </c>
      <c r="M318">
        <v>5</v>
      </c>
      <c r="N318">
        <v>7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 t="s">
        <v>112</v>
      </c>
      <c r="AP318">
        <f t="shared" si="8"/>
        <v>0.4</v>
      </c>
      <c r="AQ318">
        <v>0</v>
      </c>
      <c r="AR318">
        <v>0</v>
      </c>
      <c r="AT318" t="s">
        <v>113</v>
      </c>
      <c r="AU318">
        <v>0</v>
      </c>
      <c r="AY318">
        <f>IFERROR(MAX(IF(IF(AND(F318="能力",AL318="能力持续"),(参数!$B$2-1)*参数!$B$3,0)+M318*O318*参数!$B$5*IF(AND(F318="能力",AL318="能力持续"),参数!$B$2,1)+P318*参数!$B$6*IF(AND(F318="能力",AL318="能力持续"),参数!$B$2,1)+R318*参数!$B$7*IF(AND(F318="能力",AL318="能力持续"),参数!$B$2,1)+V318*参数!$B$8+IF(X318&lt;0,X318*参数!$B$13,X318*参数!$B$39)+IF(AE318&lt;0,AE318*参数!$B$13,AE318*参数!$B$12)*参数!$B$2+AQ318*参数!$B$15+AB318*参数!$B$11+AF318*参数!$B$40*参数!$B$2+AG318*参数!$B$44*参数!$B$2+AH318*参数!$B$6*参数!$B$2+AI318*参数!$B$39*参数!$B$2+AJ318*参数!$B$6*参数!$B$2+Z318*参数!$B$13-T318*参数!$B$14-AD318*参数!$B$13+IF(ISNUMBER(AU318),AU318*参数!$B$38,0)-AV318*参数!$B$41-AW318*参数!$B$14&gt;参数!$B$17,参数!$B$17+SQRT(IF(AND(F318="能力",AL318="能力持续"),(参数!$B$2-1)*参数!$B$3,0)+M318*O318*参数!$B$5*IF(AND(F318="能力",AL318="能力持续"),参数!$B$2,1)+P318*参数!$B$6*IF(AND(F318="能力",AL318="能力持续"),参数!$B$2,1)+R318*参数!$B$7*IF(AND(F318="能力",AL318="能力持续"),参数!$B$2,1)+V318*参数!$B$8+IF(X318&lt;0,X318*参数!$B$13,X318*参数!$B$39)+IF(AE318&lt;0,AE318*参数!$B$13,AE318*参数!$B$12)*参数!$B$2+AQ318*参数!$B$15+AB318*参数!$B$11+AF318*参数!$B$40*参数!$B$2+AG318*参数!$B$44*参数!$B$2+AH318*参数!$B$6*参数!$B$2+AI318*参数!$B$39*参数!$B$2+AJ318*参数!$B$6*参数!$B$2+Z318*参数!$B$13-T318*参数!$B$14-AD318*参数!$B$13+IF(ISNUMBER(AU318),AU318*参数!$B$38,0)-AV318*参数!$B$41-AW318*参数!$B$14-参数!$B$17)*参数!$B$18,IF(AND(F318="能力",AL318="能力持续"),(参数!$B$2-1)*参数!$B$3,0)+M318*O318*参数!$B$5*IF(AND(F318="能力",AL318="能力持续"),参数!$B$2,1)+P318*参数!$B$6*IF(AND(F318="能力",AL318="能力持续"),参数!$B$2,1)+R318*参数!$B$7*IF(AND(F318="能力",AL318="能力持续"),参数!$B$2,1)+V318*参数!$B$8+IF(X318&lt;0,X318*参数!$B$13,X318*参数!$B$39)+IF(AE318&lt;0,AE318*参数!$B$13,AE318*参数!$B$12)*参数!$B$2+AQ318*参数!$B$15+AB318*参数!$B$11+AF318*参数!$B$40*参数!$B$2+AG318*参数!$B$44*参数!$B$2+AH318*参数!$B$6*参数!$B$2+AI318*参数!$B$39*参数!$B$2+AJ318*参数!$B$6*参数!$B$2+Z318*参数!$B$13-T318*参数!$B$14-AD318*参数!$B$13+IF(ISNUMBER(AU318),AU318*参数!$B$38,0)-AV318*参数!$B$41-AW318*参数!$B$14),0),0)</f>
        <v>10</v>
      </c>
      <c r="AZ318">
        <f>AY318-MAX(AP318,0)*参数!$B$10</f>
        <v>8.8000000000000007</v>
      </c>
      <c r="BA318">
        <f t="shared" si="9"/>
        <v>25</v>
      </c>
    </row>
    <row r="319" spans="1:53" x14ac:dyDescent="0.3">
      <c r="A319">
        <v>318</v>
      </c>
      <c r="B319" t="s">
        <v>1391</v>
      </c>
      <c r="C319" t="s">
        <v>1083</v>
      </c>
      <c r="D319" t="s">
        <v>106</v>
      </c>
      <c r="E319" t="s">
        <v>107</v>
      </c>
      <c r="F319" t="s">
        <v>108</v>
      </c>
      <c r="G319" t="s">
        <v>8</v>
      </c>
      <c r="H319">
        <v>1</v>
      </c>
      <c r="I319">
        <v>1</v>
      </c>
      <c r="J319" t="s">
        <v>1053</v>
      </c>
      <c r="L319" t="s">
        <v>111</v>
      </c>
      <c r="M319">
        <v>6</v>
      </c>
      <c r="N319">
        <v>9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112</v>
      </c>
      <c r="AP319">
        <f t="shared" si="8"/>
        <v>1</v>
      </c>
      <c r="AQ319">
        <v>0</v>
      </c>
      <c r="AR319">
        <v>0</v>
      </c>
      <c r="AT319" t="s">
        <v>113</v>
      </c>
      <c r="AU319">
        <v>0</v>
      </c>
      <c r="AY319">
        <f>IFERROR(MAX(IF(IF(AND(F319="能力",AL319="能力持续"),(参数!$B$2-1)*参数!$B$3,0)+M319*O319*参数!$B$5*IF(AND(F319="能力",AL319="能力持续"),参数!$B$2,1)+P319*参数!$B$6*IF(AND(F319="能力",AL319="能力持续"),参数!$B$2,1)+R319*参数!$B$7*IF(AND(F319="能力",AL319="能力持续"),参数!$B$2,1)+V319*参数!$B$8+IF(X319&lt;0,X319*参数!$B$13,X319*参数!$B$39)+IF(AE319&lt;0,AE319*参数!$B$13,AE319*参数!$B$12)*参数!$B$2+AQ319*参数!$B$15+AB319*参数!$B$11+AF319*参数!$B$40*参数!$B$2+AG319*参数!$B$44*参数!$B$2+AH319*参数!$B$6*参数!$B$2+AI319*参数!$B$39*参数!$B$2+AJ319*参数!$B$6*参数!$B$2+Z319*参数!$B$13-T319*参数!$B$14-AD319*参数!$B$13+IF(ISNUMBER(AU319),AU319*参数!$B$38,0)-AV319*参数!$B$41-AW319*参数!$B$14&gt;参数!$B$17,参数!$B$17+SQRT(IF(AND(F319="能力",AL319="能力持续"),(参数!$B$2-1)*参数!$B$3,0)+M319*O319*参数!$B$5*IF(AND(F319="能力",AL319="能力持续"),参数!$B$2,1)+P319*参数!$B$6*IF(AND(F319="能力",AL319="能力持续"),参数!$B$2,1)+R319*参数!$B$7*IF(AND(F319="能力",AL319="能力持续"),参数!$B$2,1)+V319*参数!$B$8+IF(X319&lt;0,X319*参数!$B$13,X319*参数!$B$39)+IF(AE319&lt;0,AE319*参数!$B$13,AE319*参数!$B$12)*参数!$B$2+AQ319*参数!$B$15+AB319*参数!$B$11+AF319*参数!$B$40*参数!$B$2+AG319*参数!$B$44*参数!$B$2+AH319*参数!$B$6*参数!$B$2+AI319*参数!$B$39*参数!$B$2+AJ319*参数!$B$6*参数!$B$2+Z319*参数!$B$13-T319*参数!$B$14-AD319*参数!$B$13+IF(ISNUMBER(AU319),AU319*参数!$B$38,0)-AV319*参数!$B$41-AW319*参数!$B$14-参数!$B$17)*参数!$B$18,IF(AND(F319="能力",AL319="能力持续"),(参数!$B$2-1)*参数!$B$3,0)+M319*O319*参数!$B$5*IF(AND(F319="能力",AL319="能力持续"),参数!$B$2,1)+P319*参数!$B$6*IF(AND(F319="能力",AL319="能力持续"),参数!$B$2,1)+R319*参数!$B$7*IF(AND(F319="能力",AL319="能力持续"),参数!$B$2,1)+V319*参数!$B$8+IF(X319&lt;0,X319*参数!$B$13,X319*参数!$B$39)+IF(AE319&lt;0,AE319*参数!$B$13,AE319*参数!$B$12)*参数!$B$2+AQ319*参数!$B$15+AB319*参数!$B$11+AF319*参数!$B$40*参数!$B$2+AG319*参数!$B$44*参数!$B$2+AH319*参数!$B$6*参数!$B$2+AI319*参数!$B$39*参数!$B$2+AJ319*参数!$B$6*参数!$B$2+Z319*参数!$B$13-T319*参数!$B$14-AD319*参数!$B$13+IF(ISNUMBER(AU319),AU319*参数!$B$38,0)-AV319*参数!$B$41-AW319*参数!$B$14),0),0)</f>
        <v>6</v>
      </c>
      <c r="AZ319">
        <f>AY319-MAX(AP319,0)*参数!$B$10</f>
        <v>3</v>
      </c>
      <c r="BA319">
        <f t="shared" si="9"/>
        <v>6</v>
      </c>
    </row>
    <row r="320" spans="1:53" x14ac:dyDescent="0.3">
      <c r="A320">
        <v>319</v>
      </c>
      <c r="B320" t="s">
        <v>1392</v>
      </c>
      <c r="C320" t="s">
        <v>1083</v>
      </c>
      <c r="D320" t="s">
        <v>1393</v>
      </c>
      <c r="E320" t="s">
        <v>1394</v>
      </c>
      <c r="F320" t="s">
        <v>117</v>
      </c>
      <c r="G320" t="s">
        <v>12</v>
      </c>
      <c r="H320">
        <v>1</v>
      </c>
      <c r="I320">
        <v>1</v>
      </c>
      <c r="J320" t="s">
        <v>1395</v>
      </c>
      <c r="L320" t="s">
        <v>111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 t="s">
        <v>112</v>
      </c>
      <c r="AP320">
        <f t="shared" si="8"/>
        <v>1</v>
      </c>
      <c r="AQ320">
        <f>8*参数!$B$46</f>
        <v>6.4</v>
      </c>
      <c r="AR320">
        <v>0</v>
      </c>
      <c r="AT320" t="s">
        <v>113</v>
      </c>
      <c r="AU320">
        <v>0</v>
      </c>
      <c r="AY320">
        <f>IFERROR(MAX(IF(IF(AND(F320="能力",AL320="能力持续"),(参数!$B$2-1)*参数!$B$3,0)+M320*O320*参数!$B$5*IF(AND(F320="能力",AL320="能力持续"),参数!$B$2,1)+P320*参数!$B$6*IF(AND(F320="能力",AL320="能力持续"),参数!$B$2,1)+R320*参数!$B$7*IF(AND(F320="能力",AL320="能力持续"),参数!$B$2,1)+V320*参数!$B$8+IF(X320&lt;0,X320*参数!$B$13,X320*参数!$B$39)+IF(AE320&lt;0,AE320*参数!$B$13,AE320*参数!$B$12)*参数!$B$2+AQ320*参数!$B$15+AB320*参数!$B$11+AF320*参数!$B$40*参数!$B$2+AG320*参数!$B$44*参数!$B$2+AH320*参数!$B$6*参数!$B$2+AI320*参数!$B$39*参数!$B$2+AJ320*参数!$B$6*参数!$B$2+Z320*参数!$B$13-T320*参数!$B$14-AD320*参数!$B$13+IF(ISNUMBER(AU320),AU320*参数!$B$38,0)-AV320*参数!$B$41-AW320*参数!$B$14&gt;参数!$B$17,参数!$B$17+SQRT(IF(AND(F320="能力",AL320="能力持续"),(参数!$B$2-1)*参数!$B$3,0)+M320*O320*参数!$B$5*IF(AND(F320="能力",AL320="能力持续"),参数!$B$2,1)+P320*参数!$B$6*IF(AND(F320="能力",AL320="能力持续"),参数!$B$2,1)+R320*参数!$B$7*IF(AND(F320="能力",AL320="能力持续"),参数!$B$2,1)+V320*参数!$B$8+IF(X320&lt;0,X320*参数!$B$13,X320*参数!$B$39)+IF(AE320&lt;0,AE320*参数!$B$13,AE320*参数!$B$12)*参数!$B$2+AQ320*参数!$B$15+AB320*参数!$B$11+AF320*参数!$B$40*参数!$B$2+AG320*参数!$B$44*参数!$B$2+AH320*参数!$B$6*参数!$B$2+AI320*参数!$B$39*参数!$B$2+AJ320*参数!$B$6*参数!$B$2+Z320*参数!$B$13-T320*参数!$B$14-AD320*参数!$B$13+IF(ISNUMBER(AU320),AU320*参数!$B$38,0)-AV320*参数!$B$41-AW320*参数!$B$14-参数!$B$17)*参数!$B$18,IF(AND(F320="能力",AL320="能力持续"),(参数!$B$2-1)*参数!$B$3,0)+M320*O320*参数!$B$5*IF(AND(F320="能力",AL320="能力持续"),参数!$B$2,1)+P320*参数!$B$6*IF(AND(F320="能力",AL320="能力持续"),参数!$B$2,1)+R320*参数!$B$7*IF(AND(F320="能力",AL320="能力持续"),参数!$B$2,1)+V320*参数!$B$8+IF(X320&lt;0,X320*参数!$B$13,X320*参数!$B$39)+IF(AE320&lt;0,AE320*参数!$B$13,AE320*参数!$B$12)*参数!$B$2+AQ320*参数!$B$15+AB320*参数!$B$11+AF320*参数!$B$40*参数!$B$2+AG320*参数!$B$44*参数!$B$2+AH320*参数!$B$6*参数!$B$2+AI320*参数!$B$39*参数!$B$2+AJ320*参数!$B$6*参数!$B$2+Z320*参数!$B$13-T320*参数!$B$14-AD320*参数!$B$13+IF(ISNUMBER(AU320),AU320*参数!$B$38,0)-AV320*参数!$B$41-AW320*参数!$B$14),0),0)</f>
        <v>14.549725266430931</v>
      </c>
      <c r="AZ320">
        <f>AY320-MAX(AP320,0)*参数!$B$10</f>
        <v>11.549725266430931</v>
      </c>
      <c r="BA320">
        <f t="shared" si="9"/>
        <v>14.549725266430931</v>
      </c>
    </row>
    <row r="321" spans="1:53" x14ac:dyDescent="0.3">
      <c r="A321">
        <v>320</v>
      </c>
      <c r="B321" t="s">
        <v>1396</v>
      </c>
      <c r="C321" t="s">
        <v>1083</v>
      </c>
      <c r="D321" t="s">
        <v>1397</v>
      </c>
      <c r="E321" t="s">
        <v>1398</v>
      </c>
      <c r="F321" t="s">
        <v>108</v>
      </c>
      <c r="G321" t="s">
        <v>12</v>
      </c>
      <c r="H321">
        <v>1</v>
      </c>
      <c r="I321">
        <v>1</v>
      </c>
      <c r="J321" t="s">
        <v>1399</v>
      </c>
      <c r="L321" t="s">
        <v>111</v>
      </c>
      <c r="M321">
        <f>参数!$B$25/参数!$B$2*3+5</f>
        <v>12.5</v>
      </c>
      <c r="N321">
        <f>参数!$B$25/参数!$B$2*4+5</f>
        <v>15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 t="s">
        <v>112</v>
      </c>
      <c r="AP321">
        <f t="shared" si="8"/>
        <v>1</v>
      </c>
      <c r="AQ321">
        <v>0</v>
      </c>
      <c r="AR321">
        <v>0</v>
      </c>
      <c r="AT321" t="s">
        <v>113</v>
      </c>
      <c r="AU321">
        <v>0</v>
      </c>
      <c r="AY321">
        <f>IFERROR(MAX(IF(IF(AND(F321="能力",AL321="能力持续"),(参数!$B$2-1)*参数!$B$3,0)+M321*O321*参数!$B$5*IF(AND(F321="能力",AL321="能力持续"),参数!$B$2,1)+P321*参数!$B$6*IF(AND(F321="能力",AL321="能力持续"),参数!$B$2,1)+R321*参数!$B$7*IF(AND(F321="能力",AL321="能力持续"),参数!$B$2,1)+V321*参数!$B$8+IF(X321&lt;0,X321*参数!$B$13,X321*参数!$B$39)+IF(AE321&lt;0,AE321*参数!$B$13,AE321*参数!$B$12)*参数!$B$2+AQ321*参数!$B$15+AB321*参数!$B$11+AF321*参数!$B$40*参数!$B$2+AG321*参数!$B$44*参数!$B$2+AH321*参数!$B$6*参数!$B$2+AI321*参数!$B$39*参数!$B$2+AJ321*参数!$B$6*参数!$B$2+Z321*参数!$B$13-T321*参数!$B$14-AD321*参数!$B$13+IF(ISNUMBER(AU321),AU321*参数!$B$38,0)-AV321*参数!$B$41-AW321*参数!$B$14&gt;参数!$B$17,参数!$B$17+SQRT(IF(AND(F321="能力",AL321="能力持续"),(参数!$B$2-1)*参数!$B$3,0)+M321*O321*参数!$B$5*IF(AND(F321="能力",AL321="能力持续"),参数!$B$2,1)+P321*参数!$B$6*IF(AND(F321="能力",AL321="能力持续"),参数!$B$2,1)+R321*参数!$B$7*IF(AND(F321="能力",AL321="能力持续"),参数!$B$2,1)+V321*参数!$B$8+IF(X321&lt;0,X321*参数!$B$13,X321*参数!$B$39)+IF(AE321&lt;0,AE321*参数!$B$13,AE321*参数!$B$12)*参数!$B$2+AQ321*参数!$B$15+AB321*参数!$B$11+AF321*参数!$B$40*参数!$B$2+AG321*参数!$B$44*参数!$B$2+AH321*参数!$B$6*参数!$B$2+AI321*参数!$B$39*参数!$B$2+AJ321*参数!$B$6*参数!$B$2+Z321*参数!$B$13-T321*参数!$B$14-AD321*参数!$B$13+IF(ISNUMBER(AU321),AU321*参数!$B$38,0)-AV321*参数!$B$41-AW321*参数!$B$14-参数!$B$17)*参数!$B$18,IF(AND(F321="能力",AL321="能力持续"),(参数!$B$2-1)*参数!$B$3,0)+M321*O321*参数!$B$5*IF(AND(F321="能力",AL321="能力持续"),参数!$B$2,1)+P321*参数!$B$6*IF(AND(F321="能力",AL321="能力持续"),参数!$B$2,1)+R321*参数!$B$7*IF(AND(F321="能力",AL321="能力持续"),参数!$B$2,1)+V321*参数!$B$8+IF(X321&lt;0,X321*参数!$B$13,X321*参数!$B$39)+IF(AE321&lt;0,AE321*参数!$B$13,AE321*参数!$B$12)*参数!$B$2+AQ321*参数!$B$15+AB321*参数!$B$11+AF321*参数!$B$40*参数!$B$2+AG321*参数!$B$44*参数!$B$2+AH321*参数!$B$6*参数!$B$2+AI321*参数!$B$39*参数!$B$2+AJ321*参数!$B$6*参数!$B$2+Z321*参数!$B$13-T321*参数!$B$14-AD321*参数!$B$13+IF(ISNUMBER(AU321),AU321*参数!$B$38,0)-AV321*参数!$B$41-AW321*参数!$B$14),0),0)</f>
        <v>12.371708245126285</v>
      </c>
      <c r="AZ321">
        <f>AY321-MAX(AP321,0)*参数!$B$10</f>
        <v>9.3717082451262854</v>
      </c>
      <c r="BA321">
        <f t="shared" si="9"/>
        <v>12.371708245126285</v>
      </c>
    </row>
    <row r="322" spans="1:53" s="13" customFormat="1" x14ac:dyDescent="0.3">
      <c r="A322" s="13">
        <v>321</v>
      </c>
      <c r="B322" s="13" t="s">
        <v>1400</v>
      </c>
      <c r="C322" s="13" t="s">
        <v>1401</v>
      </c>
      <c r="D322" s="13" t="s">
        <v>1402</v>
      </c>
      <c r="E322" s="13" t="s">
        <v>1403</v>
      </c>
      <c r="F322" s="13" t="s">
        <v>117</v>
      </c>
      <c r="G322" s="13" t="s">
        <v>10</v>
      </c>
      <c r="H322" s="13">
        <v>1</v>
      </c>
      <c r="I322" s="13">
        <v>1</v>
      </c>
      <c r="J322" s="13" t="s">
        <v>1404</v>
      </c>
      <c r="L322" s="13" t="s">
        <v>111</v>
      </c>
      <c r="M322" s="13">
        <v>0</v>
      </c>
      <c r="N322" s="13">
        <v>0</v>
      </c>
      <c r="O322" s="13">
        <v>1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3">
        <v>0</v>
      </c>
      <c r="AK322" s="13" t="s">
        <v>112</v>
      </c>
      <c r="AP322" s="13">
        <f t="shared" ref="AP322:AP385" si="10">IF(ISNUMBER(H322),IF(AND(H322=0,V322=0,AK322="none"),0.4,IF(AK322="exhaust",MAX(H322-V322,0.4),IF(AK322="ethereal",MAX(H322-V322,0.4),MAX(H322-V322,0.4)))),IF(AND(AK322="exhaust",OR(H322="X",H322="∞")),0.4,IF(OR(H322="X",H322="∞"),0.4,0.4)))</f>
        <v>1</v>
      </c>
      <c r="AQ322" s="13">
        <v>0</v>
      </c>
      <c r="AR322" s="13">
        <v>0</v>
      </c>
      <c r="AT322" s="13" t="s">
        <v>113</v>
      </c>
      <c r="AU322" s="13">
        <v>6</v>
      </c>
      <c r="AY322" s="13">
        <f>IFERROR(MAX(IF(IF(AND(F322="能力",AL322="能力持续"),(参数!$B$2-1)*参数!$B$3,0)+M322*O322*参数!$B$5*IF(AND(F322="能力",AL322="能力持续"),参数!$B$2,1)+P322*参数!$B$6*IF(AND(F322="能力",AL322="能力持续"),参数!$B$2,1)+R322*参数!$B$7*IF(AND(F322="能力",AL322="能力持续"),参数!$B$2,1)+V322*参数!$B$8+IF(X322&lt;0,X322*参数!$B$13,X322*参数!$B$39)+IF(AE322&lt;0,AE322*参数!$B$13,AE322*参数!$B$12)*参数!$B$2+AQ322*参数!$B$15+AB322*参数!$B$11+AF322*参数!$B$40*参数!$B$2+AG322*参数!$B$44*参数!$B$2+AH322*参数!$B$6*参数!$B$2+AI322*参数!$B$39*参数!$B$2+AJ322*参数!$B$6*参数!$B$2+Z322*参数!$B$13-T322*参数!$B$14-AD322*参数!$B$13+IF(ISNUMBER(AU322),AU322*参数!$B$38,0)-AV322*参数!$B$41-AW322*参数!$B$14&gt;参数!$B$17,参数!$B$17+SQRT(IF(AND(F322="能力",AL322="能力持续"),(参数!$B$2-1)*参数!$B$3,0)+M322*O322*参数!$B$5*IF(AND(F322="能力",AL322="能力持续"),参数!$B$2,1)+P322*参数!$B$6*IF(AND(F322="能力",AL322="能力持续"),参数!$B$2,1)+R322*参数!$B$7*IF(AND(F322="能力",AL322="能力持续"),参数!$B$2,1)+V322*参数!$B$8+IF(X322&lt;0,X322*参数!$B$13,X322*参数!$B$39)+IF(AE322&lt;0,AE322*参数!$B$13,AE322*参数!$B$12)*参数!$B$2+AQ322*参数!$B$15+AB322*参数!$B$11+AF322*参数!$B$40*参数!$B$2+AG322*参数!$B$44*参数!$B$2+AH322*参数!$B$6*参数!$B$2+AI322*参数!$B$39*参数!$B$2+AJ322*参数!$B$6*参数!$B$2+Z322*参数!$B$13-T322*参数!$B$14-AD322*参数!$B$13+IF(ISNUMBER(AU322),AU322*参数!$B$38,0)-AV322*参数!$B$41-AW322*参数!$B$14-参数!$B$17)*参数!$B$18,IF(AND(F322="能力",AL322="能力持续"),(参数!$B$2-1)*参数!$B$3,0)+M322*O322*参数!$B$5*IF(AND(F322="能力",AL322="能力持续"),参数!$B$2,1)+P322*参数!$B$6*IF(AND(F322="能力",AL322="能力持续"),参数!$B$2,1)+R322*参数!$B$7*IF(AND(F322="能力",AL322="能力持续"),参数!$B$2,1)+V322*参数!$B$8+IF(X322&lt;0,X322*参数!$B$13,X322*参数!$B$39)+IF(AE322&lt;0,AE322*参数!$B$13,AE322*参数!$B$12)*参数!$B$2+AQ322*参数!$B$15+AB322*参数!$B$11+AF322*参数!$B$40*参数!$B$2+AG322*参数!$B$44*参数!$B$2+AH322*参数!$B$6*参数!$B$2+AI322*参数!$B$39*参数!$B$2+AJ322*参数!$B$6*参数!$B$2+Z322*参数!$B$13-T322*参数!$B$14-AD322*参数!$B$13+IF(ISNUMBER(AU322),AU322*参数!$B$38,0)-AV322*参数!$B$41-AW322*参数!$B$14),0),0)</f>
        <v>6</v>
      </c>
      <c r="AZ322" s="13">
        <f>AY322-MAX(AP322,0)*参数!$B$10</f>
        <v>3</v>
      </c>
      <c r="BA322" s="13">
        <f t="shared" ref="BA322:BA385" si="11">IF(MAX(AP322,0)=0,AY322,AY322/MAX(AP322,0))</f>
        <v>6</v>
      </c>
    </row>
    <row r="323" spans="1:53" x14ac:dyDescent="0.3">
      <c r="A323">
        <v>322</v>
      </c>
      <c r="B323" t="s">
        <v>1405</v>
      </c>
      <c r="C323" t="s">
        <v>1401</v>
      </c>
      <c r="D323" t="s">
        <v>1406</v>
      </c>
      <c r="E323" t="s">
        <v>1407</v>
      </c>
      <c r="F323" t="s">
        <v>108</v>
      </c>
      <c r="G323" t="s">
        <v>14</v>
      </c>
      <c r="H323">
        <v>9</v>
      </c>
      <c r="I323">
        <v>7</v>
      </c>
      <c r="J323" t="s">
        <v>1408</v>
      </c>
      <c r="L323" t="s">
        <v>191</v>
      </c>
      <c r="M323">
        <v>33</v>
      </c>
      <c r="N323">
        <v>33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112</v>
      </c>
      <c r="AN323" t="s">
        <v>192</v>
      </c>
      <c r="AP323">
        <f t="shared" si="10"/>
        <v>9</v>
      </c>
      <c r="AQ323">
        <v>0</v>
      </c>
      <c r="AR323">
        <v>0</v>
      </c>
      <c r="AT323" t="s">
        <v>113</v>
      </c>
      <c r="AU323">
        <v>0</v>
      </c>
      <c r="AY323">
        <f>IFERROR(MAX(IF(IF(AND(F323="能力",AL323="能力持续"),(参数!$B$2-1)*参数!$B$3,0)+M323*O323*参数!$B$5*IF(AND(F323="能力",AL323="能力持续"),参数!$B$2,1)+P323*参数!$B$6*IF(AND(F323="能力",AL323="能力持续"),参数!$B$2,1)+R323*参数!$B$7*IF(AND(F323="能力",AL323="能力持续"),参数!$B$2,1)+V323*参数!$B$8+IF(X323&lt;0,X323*参数!$B$13,X323*参数!$B$39)+IF(AE323&lt;0,AE323*参数!$B$13,AE323*参数!$B$12)*参数!$B$2+AQ323*参数!$B$15+AB323*参数!$B$11+AF323*参数!$B$40*参数!$B$2+AG323*参数!$B$44*参数!$B$2+AH323*参数!$B$6*参数!$B$2+AI323*参数!$B$39*参数!$B$2+AJ323*参数!$B$6*参数!$B$2+Z323*参数!$B$13-T323*参数!$B$14-AD323*参数!$B$13+IF(ISNUMBER(AU323),AU323*参数!$B$38,0)-AV323*参数!$B$41-AW323*参数!$B$14&gt;参数!$B$17,参数!$B$17+SQRT(IF(AND(F323="能力",AL323="能力持续"),(参数!$B$2-1)*参数!$B$3,0)+M323*O323*参数!$B$5*IF(AND(F323="能力",AL323="能力持续"),参数!$B$2,1)+P323*参数!$B$6*IF(AND(F323="能力",AL323="能力持续"),参数!$B$2,1)+R323*参数!$B$7*IF(AND(F323="能力",AL323="能力持续"),参数!$B$2,1)+V323*参数!$B$8+IF(X323&lt;0,X323*参数!$B$13,X323*参数!$B$39)+IF(AE323&lt;0,AE323*参数!$B$13,AE323*参数!$B$12)*参数!$B$2+AQ323*参数!$B$15+AB323*参数!$B$11+AF323*参数!$B$40*参数!$B$2+AG323*参数!$B$44*参数!$B$2+AH323*参数!$B$6*参数!$B$2+AI323*参数!$B$39*参数!$B$2+AJ323*参数!$B$6*参数!$B$2+Z323*参数!$B$13-T323*参数!$B$14-AD323*参数!$B$13+IF(ISNUMBER(AU323),AU323*参数!$B$38,0)-AV323*参数!$B$41-AW323*参数!$B$14-参数!$B$17)*参数!$B$18,IF(AND(F323="能力",AL323="能力持续"),(参数!$B$2-1)*参数!$B$3,0)+M323*O323*参数!$B$5*IF(AND(F323="能力",AL323="能力持续"),参数!$B$2,1)+P323*参数!$B$6*IF(AND(F323="能力",AL323="能力持续"),参数!$B$2,1)+R323*参数!$B$7*IF(AND(F323="能力",AL323="能力持续"),参数!$B$2,1)+V323*参数!$B$8+IF(X323&lt;0,X323*参数!$B$13,X323*参数!$B$39)+IF(AE323&lt;0,AE323*参数!$B$13,AE323*参数!$B$12)*参数!$B$2+AQ323*参数!$B$15+AB323*参数!$B$11+AF323*参数!$B$40*参数!$B$2+AG323*参数!$B$44*参数!$B$2+AH323*参数!$B$6*参数!$B$2+AI323*参数!$B$39*参数!$B$2+AJ323*参数!$B$6*参数!$B$2+Z323*参数!$B$13-T323*参数!$B$14-AD323*参数!$B$13+IF(ISNUMBER(AU323),AU323*参数!$B$38,0)-AV323*参数!$B$41-AW323*参数!$B$14),0),0)</f>
        <v>17.193747284969078</v>
      </c>
      <c r="AZ323">
        <f>AY323-MAX(AP323,0)*参数!$B$10</f>
        <v>-9.8062527150309222</v>
      </c>
      <c r="BA323">
        <f t="shared" si="11"/>
        <v>1.9104163649965642</v>
      </c>
    </row>
    <row r="324" spans="1:53" x14ac:dyDescent="0.3">
      <c r="A324">
        <v>323</v>
      </c>
      <c r="B324" t="s">
        <v>1409</v>
      </c>
      <c r="C324" t="s">
        <v>1401</v>
      </c>
      <c r="D324" t="s">
        <v>1410</v>
      </c>
      <c r="E324" t="s">
        <v>1411</v>
      </c>
      <c r="F324" t="s">
        <v>108</v>
      </c>
      <c r="G324" t="s">
        <v>10</v>
      </c>
      <c r="H324">
        <v>1</v>
      </c>
      <c r="I324">
        <v>1</v>
      </c>
      <c r="J324" t="s">
        <v>1412</v>
      </c>
      <c r="L324" t="s">
        <v>111</v>
      </c>
      <c r="M324">
        <v>8</v>
      </c>
      <c r="N324">
        <v>10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8</v>
      </c>
      <c r="AH324">
        <v>0</v>
      </c>
      <c r="AI324">
        <v>0</v>
      </c>
      <c r="AJ324">
        <v>0</v>
      </c>
      <c r="AK324" t="s">
        <v>112</v>
      </c>
      <c r="AP324">
        <f t="shared" si="10"/>
        <v>1</v>
      </c>
      <c r="AQ324">
        <v>0</v>
      </c>
      <c r="AR324">
        <v>0</v>
      </c>
      <c r="AT324" t="s">
        <v>113</v>
      </c>
      <c r="AU324">
        <v>0</v>
      </c>
      <c r="AY324">
        <f>IFERROR(MAX(IF(IF(AND(F324="能力",AL324="能力持续"),(参数!$B$2-1)*参数!$B$3,0)+M324*O324*参数!$B$5*IF(AND(F324="能力",AL324="能力持续"),参数!$B$2,1)+P324*参数!$B$6*IF(AND(F324="能力",AL324="能力持续"),参数!$B$2,1)+R324*参数!$B$7*IF(AND(F324="能力",AL324="能力持续"),参数!$B$2,1)+V324*参数!$B$8+IF(X324&lt;0,X324*参数!$B$13,X324*参数!$B$39)+IF(AE324&lt;0,AE324*参数!$B$13,AE324*参数!$B$12)*参数!$B$2+AQ324*参数!$B$15+AB324*参数!$B$11+AF324*参数!$B$40*参数!$B$2+AG324*参数!$B$44*参数!$B$2+AH324*参数!$B$6*参数!$B$2+AI324*参数!$B$39*参数!$B$2+AJ324*参数!$B$6*参数!$B$2+Z324*参数!$B$13-T324*参数!$B$14-AD324*参数!$B$13+IF(ISNUMBER(AU324),AU324*参数!$B$38,0)-AV324*参数!$B$41-AW324*参数!$B$14&gt;参数!$B$17,参数!$B$17+SQRT(IF(AND(F324="能力",AL324="能力持续"),(参数!$B$2-1)*参数!$B$3,0)+M324*O324*参数!$B$5*IF(AND(F324="能力",AL324="能力持续"),参数!$B$2,1)+P324*参数!$B$6*IF(AND(F324="能力",AL324="能力持续"),参数!$B$2,1)+R324*参数!$B$7*IF(AND(F324="能力",AL324="能力持续"),参数!$B$2,1)+V324*参数!$B$8+IF(X324&lt;0,X324*参数!$B$13,X324*参数!$B$39)+IF(AE324&lt;0,AE324*参数!$B$13,AE324*参数!$B$12)*参数!$B$2+AQ324*参数!$B$15+AB324*参数!$B$11+AF324*参数!$B$40*参数!$B$2+AG324*参数!$B$44*参数!$B$2+AH324*参数!$B$6*参数!$B$2+AI324*参数!$B$39*参数!$B$2+AJ324*参数!$B$6*参数!$B$2+Z324*参数!$B$13-T324*参数!$B$14-AD324*参数!$B$13+IF(ISNUMBER(AU324),AU324*参数!$B$38,0)-AV324*参数!$B$41-AW324*参数!$B$14-参数!$B$17)*参数!$B$18,IF(AND(F324="能力",AL324="能力持续"),(参数!$B$2-1)*参数!$B$3,0)+M324*O324*参数!$B$5*IF(AND(F324="能力",AL324="能力持续"),参数!$B$2,1)+P324*参数!$B$6*IF(AND(F324="能力",AL324="能力持续"),参数!$B$2,1)+R324*参数!$B$7*IF(AND(F324="能力",AL324="能力持续"),参数!$B$2,1)+V324*参数!$B$8+IF(X324&lt;0,X324*参数!$B$13,X324*参数!$B$39)+IF(AE324&lt;0,AE324*参数!$B$13,AE324*参数!$B$12)*参数!$B$2+AQ324*参数!$B$15+AB324*参数!$B$11+AF324*参数!$B$40*参数!$B$2+AG324*参数!$B$44*参数!$B$2+AH324*参数!$B$6*参数!$B$2+AI324*参数!$B$39*参数!$B$2+AJ324*参数!$B$6*参数!$B$2+Z324*参数!$B$13-T324*参数!$B$14-AD324*参数!$B$13+IF(ISNUMBER(AU324),AU324*参数!$B$38,0)-AV324*参数!$B$41-AW324*参数!$B$14),0),0)</f>
        <v>16.77495387438173</v>
      </c>
      <c r="AZ324">
        <f>AY324-MAX(AP324,0)*参数!$B$10</f>
        <v>13.77495387438173</v>
      </c>
      <c r="BA324">
        <f t="shared" si="11"/>
        <v>16.77495387438173</v>
      </c>
    </row>
    <row r="325" spans="1:53" x14ac:dyDescent="0.3">
      <c r="A325">
        <v>324</v>
      </c>
      <c r="B325" t="s">
        <v>1413</v>
      </c>
      <c r="C325" t="s">
        <v>1401</v>
      </c>
      <c r="D325" t="s">
        <v>1414</v>
      </c>
      <c r="E325" t="s">
        <v>1415</v>
      </c>
      <c r="F325" t="s">
        <v>117</v>
      </c>
      <c r="G325" t="s">
        <v>8</v>
      </c>
      <c r="H325">
        <v>1</v>
      </c>
      <c r="I325">
        <v>1</v>
      </c>
      <c r="J325" t="s">
        <v>1416</v>
      </c>
      <c r="L325" t="s">
        <v>111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t="s">
        <v>112</v>
      </c>
      <c r="AP325">
        <f t="shared" si="10"/>
        <v>1</v>
      </c>
      <c r="AQ325">
        <v>0</v>
      </c>
      <c r="AR325">
        <v>0</v>
      </c>
      <c r="AT325" t="s">
        <v>113</v>
      </c>
      <c r="AU325">
        <v>5</v>
      </c>
      <c r="AY325">
        <f>IFERROR(MAX(IF(IF(AND(F325="能力",AL325="能力持续"),(参数!$B$2-1)*参数!$B$3,0)+M325*O325*参数!$B$5*IF(AND(F325="能力",AL325="能力持续"),参数!$B$2,1)+P325*参数!$B$6*IF(AND(F325="能力",AL325="能力持续"),参数!$B$2,1)+R325*参数!$B$7*IF(AND(F325="能力",AL325="能力持续"),参数!$B$2,1)+V325*参数!$B$8+IF(X325&lt;0,X325*参数!$B$13,X325*参数!$B$39)+IF(AE325&lt;0,AE325*参数!$B$13,AE325*参数!$B$12)*参数!$B$2+AQ325*参数!$B$15+AB325*参数!$B$11+AF325*参数!$B$40*参数!$B$2+AG325*参数!$B$44*参数!$B$2+AH325*参数!$B$6*参数!$B$2+AI325*参数!$B$39*参数!$B$2+AJ325*参数!$B$6*参数!$B$2+Z325*参数!$B$13-T325*参数!$B$14-AD325*参数!$B$13+IF(ISNUMBER(AU325),AU325*参数!$B$38,0)-AV325*参数!$B$41-AW325*参数!$B$14&gt;参数!$B$17,参数!$B$17+SQRT(IF(AND(F325="能力",AL325="能力持续"),(参数!$B$2-1)*参数!$B$3,0)+M325*O325*参数!$B$5*IF(AND(F325="能力",AL325="能力持续"),参数!$B$2,1)+P325*参数!$B$6*IF(AND(F325="能力",AL325="能力持续"),参数!$B$2,1)+R325*参数!$B$7*IF(AND(F325="能力",AL325="能力持续"),参数!$B$2,1)+V325*参数!$B$8+IF(X325&lt;0,X325*参数!$B$13,X325*参数!$B$39)+IF(AE325&lt;0,AE325*参数!$B$13,AE325*参数!$B$12)*参数!$B$2+AQ325*参数!$B$15+AB325*参数!$B$11+AF325*参数!$B$40*参数!$B$2+AG325*参数!$B$44*参数!$B$2+AH325*参数!$B$6*参数!$B$2+AI325*参数!$B$39*参数!$B$2+AJ325*参数!$B$6*参数!$B$2+Z325*参数!$B$13-T325*参数!$B$14-AD325*参数!$B$13+IF(ISNUMBER(AU325),AU325*参数!$B$38,0)-AV325*参数!$B$41-AW325*参数!$B$14-参数!$B$17)*参数!$B$18,IF(AND(F325="能力",AL325="能力持续"),(参数!$B$2-1)*参数!$B$3,0)+M325*O325*参数!$B$5*IF(AND(F325="能力",AL325="能力持续"),参数!$B$2,1)+P325*参数!$B$6*IF(AND(F325="能力",AL325="能力持续"),参数!$B$2,1)+R325*参数!$B$7*IF(AND(F325="能力",AL325="能力持续"),参数!$B$2,1)+V325*参数!$B$8+IF(X325&lt;0,X325*参数!$B$13,X325*参数!$B$39)+IF(AE325&lt;0,AE325*参数!$B$13,AE325*参数!$B$12)*参数!$B$2+AQ325*参数!$B$15+AB325*参数!$B$11+AF325*参数!$B$40*参数!$B$2+AG325*参数!$B$44*参数!$B$2+AH325*参数!$B$6*参数!$B$2+AI325*参数!$B$39*参数!$B$2+AJ325*参数!$B$6*参数!$B$2+Z325*参数!$B$13-T325*参数!$B$14-AD325*参数!$B$13+IF(ISNUMBER(AU325),AU325*参数!$B$38,0)-AV325*参数!$B$41-AW325*参数!$B$14),0),0)</f>
        <v>5</v>
      </c>
      <c r="AZ325">
        <f>AY325-MAX(AP325,0)*参数!$B$10</f>
        <v>2</v>
      </c>
      <c r="BA325">
        <f t="shared" si="11"/>
        <v>5</v>
      </c>
    </row>
    <row r="326" spans="1:53" x14ac:dyDescent="0.3">
      <c r="A326">
        <v>325</v>
      </c>
      <c r="B326" t="s">
        <v>1417</v>
      </c>
      <c r="C326" t="s">
        <v>1401</v>
      </c>
      <c r="D326" t="s">
        <v>1418</v>
      </c>
      <c r="E326" t="s">
        <v>1419</v>
      </c>
      <c r="F326" t="s">
        <v>108</v>
      </c>
      <c r="G326" t="s">
        <v>12</v>
      </c>
      <c r="H326">
        <v>1</v>
      </c>
      <c r="I326">
        <v>1</v>
      </c>
      <c r="J326" t="s">
        <v>1420</v>
      </c>
      <c r="L326" t="s">
        <v>191</v>
      </c>
      <c r="M326">
        <v>9</v>
      </c>
      <c r="N326">
        <v>12</v>
      </c>
      <c r="O326">
        <v>1</v>
      </c>
      <c r="P326">
        <v>9</v>
      </c>
      <c r="Q326">
        <v>12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112</v>
      </c>
      <c r="AN326" t="s">
        <v>192</v>
      </c>
      <c r="AP326">
        <f t="shared" si="10"/>
        <v>1</v>
      </c>
      <c r="AQ326">
        <v>0</v>
      </c>
      <c r="AR326">
        <v>0</v>
      </c>
      <c r="AT326" t="s">
        <v>113</v>
      </c>
      <c r="AU326">
        <v>0</v>
      </c>
      <c r="AY326">
        <f>IFERROR(MAX(IF(IF(AND(F326="能力",AL326="能力持续"),(参数!$B$2-1)*参数!$B$3,0)+M326*O326*参数!$B$5*IF(AND(F326="能力",AL326="能力持续"),参数!$B$2,1)+P326*参数!$B$6*IF(AND(F326="能力",AL326="能力持续"),参数!$B$2,1)+R326*参数!$B$7*IF(AND(F326="能力",AL326="能力持续"),参数!$B$2,1)+V326*参数!$B$8+IF(X326&lt;0,X326*参数!$B$13,X326*参数!$B$39)+IF(AE326&lt;0,AE326*参数!$B$13,AE326*参数!$B$12)*参数!$B$2+AQ326*参数!$B$15+AB326*参数!$B$11+AF326*参数!$B$40*参数!$B$2+AG326*参数!$B$44*参数!$B$2+AH326*参数!$B$6*参数!$B$2+AI326*参数!$B$39*参数!$B$2+AJ326*参数!$B$6*参数!$B$2+Z326*参数!$B$13-T326*参数!$B$14-AD326*参数!$B$13+IF(ISNUMBER(AU326),AU326*参数!$B$38,0)-AV326*参数!$B$41-AW326*参数!$B$14&gt;参数!$B$17,参数!$B$17+SQRT(IF(AND(F326="能力",AL326="能力持续"),(参数!$B$2-1)*参数!$B$3,0)+M326*O326*参数!$B$5*IF(AND(F326="能力",AL326="能力持续"),参数!$B$2,1)+P326*参数!$B$6*IF(AND(F326="能力",AL326="能力持续"),参数!$B$2,1)+R326*参数!$B$7*IF(AND(F326="能力",AL326="能力持续"),参数!$B$2,1)+V326*参数!$B$8+IF(X326&lt;0,X326*参数!$B$13,X326*参数!$B$39)+IF(AE326&lt;0,AE326*参数!$B$13,AE326*参数!$B$12)*参数!$B$2+AQ326*参数!$B$15+AB326*参数!$B$11+AF326*参数!$B$40*参数!$B$2+AG326*参数!$B$44*参数!$B$2+AH326*参数!$B$6*参数!$B$2+AI326*参数!$B$39*参数!$B$2+AJ326*参数!$B$6*参数!$B$2+Z326*参数!$B$13-T326*参数!$B$14-AD326*参数!$B$13+IF(ISNUMBER(AU326),AU326*参数!$B$38,0)-AV326*参数!$B$41-AW326*参数!$B$14-参数!$B$17)*参数!$B$18,IF(AND(F326="能力",AL326="能力持续"),(参数!$B$2-1)*参数!$B$3,0)+M326*O326*参数!$B$5*IF(AND(F326="能力",AL326="能力持续"),参数!$B$2,1)+P326*参数!$B$6*IF(AND(F326="能力",AL326="能力持续"),参数!$B$2,1)+R326*参数!$B$7*IF(AND(F326="能力",AL326="能力持续"),参数!$B$2,1)+V326*参数!$B$8+IF(X326&lt;0,X326*参数!$B$13,X326*参数!$B$39)+IF(AE326&lt;0,AE326*参数!$B$13,AE326*参数!$B$12)*参数!$B$2+AQ326*参数!$B$15+AB326*参数!$B$11+AF326*参数!$B$40*参数!$B$2+AG326*参数!$B$44*参数!$B$2+AH326*参数!$B$6*参数!$B$2+AI326*参数!$B$39*参数!$B$2+AJ326*参数!$B$6*参数!$B$2+Z326*参数!$B$13-T326*参数!$B$14-AD326*参数!$B$13+IF(ISNUMBER(AU326),AU326*参数!$B$38,0)-AV326*参数!$B$41-AW326*参数!$B$14),0),0)</f>
        <v>14.474930167052889</v>
      </c>
      <c r="AZ326">
        <f>AY326-MAX(AP326,0)*参数!$B$10</f>
        <v>11.474930167052889</v>
      </c>
      <c r="BA326">
        <f t="shared" si="11"/>
        <v>14.474930167052889</v>
      </c>
    </row>
    <row r="327" spans="1:53" x14ac:dyDescent="0.3">
      <c r="A327">
        <v>326</v>
      </c>
      <c r="B327" t="s">
        <v>1421</v>
      </c>
      <c r="C327" t="s">
        <v>1401</v>
      </c>
      <c r="D327" t="s">
        <v>1422</v>
      </c>
      <c r="E327" t="s">
        <v>1423</v>
      </c>
      <c r="F327" t="s">
        <v>117</v>
      </c>
      <c r="G327" t="s">
        <v>12</v>
      </c>
      <c r="H327">
        <v>0</v>
      </c>
      <c r="I327">
        <v>0</v>
      </c>
      <c r="J327" t="s">
        <v>1424</v>
      </c>
      <c r="K327" t="s">
        <v>472</v>
      </c>
      <c r="L327" t="s">
        <v>120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</v>
      </c>
      <c r="W327">
        <v>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 t="s">
        <v>112</v>
      </c>
      <c r="AO327" t="s">
        <v>472</v>
      </c>
      <c r="AP327">
        <f t="shared" si="10"/>
        <v>0.4</v>
      </c>
      <c r="AQ327">
        <v>0</v>
      </c>
      <c r="AR327">
        <v>0</v>
      </c>
      <c r="AT327" t="s">
        <v>113</v>
      </c>
      <c r="AU327">
        <v>0</v>
      </c>
      <c r="AY327">
        <f>IFERROR(MAX(IF(IF(AND(F327="能力",AL327="能力持续"),(参数!$B$2-1)*参数!$B$3,0)+M327*O327*参数!$B$5*IF(AND(F327="能力",AL327="能力持续"),参数!$B$2,1)+P327*参数!$B$6*IF(AND(F327="能力",AL327="能力持续"),参数!$B$2,1)+R327*参数!$B$7*IF(AND(F327="能力",AL327="能力持续"),参数!$B$2,1)+V327*参数!$B$8+IF(X327&lt;0,X327*参数!$B$13,X327*参数!$B$39)+IF(AE327&lt;0,AE327*参数!$B$13,AE327*参数!$B$12)*参数!$B$2+AQ327*参数!$B$15+AB327*参数!$B$11+AF327*参数!$B$40*参数!$B$2+AG327*参数!$B$44*参数!$B$2+AH327*参数!$B$6*参数!$B$2+AI327*参数!$B$39*参数!$B$2+AJ327*参数!$B$6*参数!$B$2+Z327*参数!$B$13-T327*参数!$B$14-AD327*参数!$B$13+IF(ISNUMBER(AU327),AU327*参数!$B$38,0)-AV327*参数!$B$41-AW327*参数!$B$14&gt;参数!$B$17,参数!$B$17+SQRT(IF(AND(F327="能力",AL327="能力持续"),(参数!$B$2-1)*参数!$B$3,0)+M327*O327*参数!$B$5*IF(AND(F327="能力",AL327="能力持续"),参数!$B$2,1)+P327*参数!$B$6*IF(AND(F327="能力",AL327="能力持续"),参数!$B$2,1)+R327*参数!$B$7*IF(AND(F327="能力",AL327="能力持续"),参数!$B$2,1)+V327*参数!$B$8+IF(X327&lt;0,X327*参数!$B$13,X327*参数!$B$39)+IF(AE327&lt;0,AE327*参数!$B$13,AE327*参数!$B$12)*参数!$B$2+AQ327*参数!$B$15+AB327*参数!$B$11+AF327*参数!$B$40*参数!$B$2+AG327*参数!$B$44*参数!$B$2+AH327*参数!$B$6*参数!$B$2+AI327*参数!$B$39*参数!$B$2+AJ327*参数!$B$6*参数!$B$2+Z327*参数!$B$13-T327*参数!$B$14-AD327*参数!$B$13+IF(ISNUMBER(AU327),AU327*参数!$B$38,0)-AV327*参数!$B$41-AW327*参数!$B$14-参数!$B$17)*参数!$B$18,IF(AND(F327="能力",AL327="能力持续"),(参数!$B$2-1)*参数!$B$3,0)+M327*O327*参数!$B$5*IF(AND(F327="能力",AL327="能力持续"),参数!$B$2,1)+P327*参数!$B$6*IF(AND(F327="能力",AL327="能力持续"),参数!$B$2,1)+R327*参数!$B$7*IF(AND(F327="能力",AL327="能力持续"),参数!$B$2,1)+V327*参数!$B$8+IF(X327&lt;0,X327*参数!$B$13,X327*参数!$B$39)+IF(AE327&lt;0,AE327*参数!$B$13,AE327*参数!$B$12)*参数!$B$2+AQ327*参数!$B$15+AB327*参数!$B$11+AF327*参数!$B$40*参数!$B$2+AG327*参数!$B$44*参数!$B$2+AH327*参数!$B$6*参数!$B$2+AI327*参数!$B$39*参数!$B$2+AJ327*参数!$B$6*参数!$B$2+Z327*参数!$B$13-T327*参数!$B$14-AD327*参数!$B$13+IF(ISNUMBER(AU327),AU327*参数!$B$38,0)-AV327*参数!$B$41-AW327*参数!$B$14),0),0)</f>
        <v>12.121320343559642</v>
      </c>
      <c r="AZ327">
        <f>AY327-MAX(AP327,0)*参数!$B$10</f>
        <v>10.921320343559643</v>
      </c>
      <c r="BA327">
        <f t="shared" si="11"/>
        <v>30.303300858899103</v>
      </c>
    </row>
    <row r="328" spans="1:53" x14ac:dyDescent="0.3">
      <c r="A328">
        <v>327</v>
      </c>
      <c r="B328" t="s">
        <v>1425</v>
      </c>
      <c r="C328" t="s">
        <v>1401</v>
      </c>
      <c r="D328" t="s">
        <v>1426</v>
      </c>
      <c r="E328" t="s">
        <v>1427</v>
      </c>
      <c r="F328" t="s">
        <v>108</v>
      </c>
      <c r="G328" t="s">
        <v>12</v>
      </c>
      <c r="H328">
        <v>4</v>
      </c>
      <c r="I328">
        <v>4</v>
      </c>
      <c r="J328" t="s">
        <v>1428</v>
      </c>
      <c r="L328" t="s">
        <v>111</v>
      </c>
      <c r="M328">
        <v>52</v>
      </c>
      <c r="N328">
        <v>63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112</v>
      </c>
      <c r="AP328">
        <f t="shared" si="10"/>
        <v>4</v>
      </c>
      <c r="AQ328">
        <v>0</v>
      </c>
      <c r="AR328">
        <v>0</v>
      </c>
      <c r="AT328" t="s">
        <v>113</v>
      </c>
      <c r="AU328">
        <v>0</v>
      </c>
      <c r="AY328">
        <f>IFERROR(MAX(IF(IF(AND(F328="能力",AL328="能力持续"),(参数!$B$2-1)*参数!$B$3,0)+M328*O328*参数!$B$5*IF(AND(F328="能力",AL328="能力持续"),参数!$B$2,1)+P328*参数!$B$6*IF(AND(F328="能力",AL328="能力持续"),参数!$B$2,1)+R328*参数!$B$7*IF(AND(F328="能力",AL328="能力持续"),参数!$B$2,1)+V328*参数!$B$8+IF(X328&lt;0,X328*参数!$B$13,X328*参数!$B$39)+IF(AE328&lt;0,AE328*参数!$B$13,AE328*参数!$B$12)*参数!$B$2+AQ328*参数!$B$15+AB328*参数!$B$11+AF328*参数!$B$40*参数!$B$2+AG328*参数!$B$44*参数!$B$2+AH328*参数!$B$6*参数!$B$2+AI328*参数!$B$39*参数!$B$2+AJ328*参数!$B$6*参数!$B$2+Z328*参数!$B$13-T328*参数!$B$14-AD328*参数!$B$13+IF(ISNUMBER(AU328),AU328*参数!$B$38,0)-AV328*参数!$B$41-AW328*参数!$B$14&gt;参数!$B$17,参数!$B$17+SQRT(IF(AND(F328="能力",AL328="能力持续"),(参数!$B$2-1)*参数!$B$3,0)+M328*O328*参数!$B$5*IF(AND(F328="能力",AL328="能力持续"),参数!$B$2,1)+P328*参数!$B$6*IF(AND(F328="能力",AL328="能力持续"),参数!$B$2,1)+R328*参数!$B$7*IF(AND(F328="能力",AL328="能力持续"),参数!$B$2,1)+V328*参数!$B$8+IF(X328&lt;0,X328*参数!$B$13,X328*参数!$B$39)+IF(AE328&lt;0,AE328*参数!$B$13,AE328*参数!$B$12)*参数!$B$2+AQ328*参数!$B$15+AB328*参数!$B$11+AF328*参数!$B$40*参数!$B$2+AG328*参数!$B$44*参数!$B$2+AH328*参数!$B$6*参数!$B$2+AI328*参数!$B$39*参数!$B$2+AJ328*参数!$B$6*参数!$B$2+Z328*参数!$B$13-T328*参数!$B$14-AD328*参数!$B$13+IF(ISNUMBER(AU328),AU328*参数!$B$38,0)-AV328*参数!$B$41-AW328*参数!$B$14-参数!$B$17)*参数!$B$18,IF(AND(F328="能力",AL328="能力持续"),(参数!$B$2-1)*参数!$B$3,0)+M328*O328*参数!$B$5*IF(AND(F328="能力",AL328="能力持续"),参数!$B$2,1)+P328*参数!$B$6*IF(AND(F328="能力",AL328="能力持续"),参数!$B$2,1)+R328*参数!$B$7*IF(AND(F328="能力",AL328="能力持续"),参数!$B$2,1)+V328*参数!$B$8+IF(X328&lt;0,X328*参数!$B$13,X328*参数!$B$39)+IF(AE328&lt;0,AE328*参数!$B$13,AE328*参数!$B$12)*参数!$B$2+AQ328*参数!$B$15+AB328*参数!$B$11+AF328*参数!$B$40*参数!$B$2+AG328*参数!$B$44*参数!$B$2+AH328*参数!$B$6*参数!$B$2+AI328*参数!$B$39*参数!$B$2+AJ328*参数!$B$6*参数!$B$2+Z328*参数!$B$13-T328*参数!$B$14-AD328*参数!$B$13+IF(ISNUMBER(AU328),AU328*参数!$B$38,0)-AV328*参数!$B$41-AW328*参数!$B$14),0),0)</f>
        <v>19.721111047611792</v>
      </c>
      <c r="AZ328">
        <f>AY328-MAX(AP328,0)*参数!$B$10</f>
        <v>7.7211110476117923</v>
      </c>
      <c r="BA328">
        <f t="shared" si="11"/>
        <v>4.9302777619029481</v>
      </c>
    </row>
    <row r="329" spans="1:53" x14ac:dyDescent="0.3">
      <c r="A329">
        <v>328</v>
      </c>
      <c r="B329" t="s">
        <v>1429</v>
      </c>
      <c r="C329" t="s">
        <v>1401</v>
      </c>
      <c r="D329" t="s">
        <v>1430</v>
      </c>
      <c r="E329" t="s">
        <v>1431</v>
      </c>
      <c r="F329" t="s">
        <v>124</v>
      </c>
      <c r="G329" t="s">
        <v>12</v>
      </c>
      <c r="H329">
        <v>1</v>
      </c>
      <c r="I329">
        <v>1</v>
      </c>
      <c r="J329" t="s">
        <v>1432</v>
      </c>
      <c r="L329" t="s">
        <v>120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112</v>
      </c>
      <c r="AL329" t="s">
        <v>127</v>
      </c>
      <c r="AN329" t="s">
        <v>124</v>
      </c>
      <c r="AP329">
        <f t="shared" si="10"/>
        <v>1</v>
      </c>
      <c r="AQ329">
        <v>4</v>
      </c>
      <c r="AR329">
        <v>0</v>
      </c>
      <c r="AT329" t="s">
        <v>113</v>
      </c>
      <c r="AU329">
        <v>0</v>
      </c>
      <c r="AY329">
        <f>IFERROR(MAX(IF(IF(AND(F329="能力",AL329="能力持续"),(参数!$B$2-1)*参数!$B$3,0)+M329*O329*参数!$B$5*IF(AND(F329="能力",AL329="能力持续"),参数!$B$2,1)+P329*参数!$B$6*IF(AND(F329="能力",AL329="能力持续"),参数!$B$2,1)+R329*参数!$B$7*IF(AND(F329="能力",AL329="能力持续"),参数!$B$2,1)+V329*参数!$B$8+IF(X329&lt;0,X329*参数!$B$13,X329*参数!$B$39)+IF(AE329&lt;0,AE329*参数!$B$13,AE329*参数!$B$12)*参数!$B$2+AQ329*参数!$B$15+AB329*参数!$B$11+AF329*参数!$B$40*参数!$B$2+AG329*参数!$B$44*参数!$B$2+AH329*参数!$B$6*参数!$B$2+AI329*参数!$B$39*参数!$B$2+AJ329*参数!$B$6*参数!$B$2+Z329*参数!$B$13-T329*参数!$B$14-AD329*参数!$B$13+IF(ISNUMBER(AU329),AU329*参数!$B$38,0)-AV329*参数!$B$41-AW329*参数!$B$14&gt;参数!$B$17,参数!$B$17+SQRT(IF(AND(F329="能力",AL329="能力持续"),(参数!$B$2-1)*参数!$B$3,0)+M329*O329*参数!$B$5*IF(AND(F329="能力",AL329="能力持续"),参数!$B$2,1)+P329*参数!$B$6*IF(AND(F329="能力",AL329="能力持续"),参数!$B$2,1)+R329*参数!$B$7*IF(AND(F329="能力",AL329="能力持续"),参数!$B$2,1)+V329*参数!$B$8+IF(X329&lt;0,X329*参数!$B$13,X329*参数!$B$39)+IF(AE329&lt;0,AE329*参数!$B$13,AE329*参数!$B$12)*参数!$B$2+AQ329*参数!$B$15+AB329*参数!$B$11+AF329*参数!$B$40*参数!$B$2+AG329*参数!$B$44*参数!$B$2+AH329*参数!$B$6*参数!$B$2+AI329*参数!$B$39*参数!$B$2+AJ329*参数!$B$6*参数!$B$2+Z329*参数!$B$13-T329*参数!$B$14-AD329*参数!$B$13+IF(ISNUMBER(AU329),AU329*参数!$B$38,0)-AV329*参数!$B$41-AW329*参数!$B$14-参数!$B$17)*参数!$B$18,IF(AND(F329="能力",AL329="能力持续"),(参数!$B$2-1)*参数!$B$3,0)+M329*O329*参数!$B$5*IF(AND(F329="能力",AL329="能力持续"),参数!$B$2,1)+P329*参数!$B$6*IF(AND(F329="能力",AL329="能力持续"),参数!$B$2,1)+R329*参数!$B$7*IF(AND(F329="能力",AL329="能力持续"),参数!$B$2,1)+V329*参数!$B$8+IF(X329&lt;0,X329*参数!$B$13,X329*参数!$B$39)+IF(AE329&lt;0,AE329*参数!$B$13,AE329*参数!$B$12)*参数!$B$2+AQ329*参数!$B$15+AB329*参数!$B$11+AF329*参数!$B$40*参数!$B$2+AG329*参数!$B$44*参数!$B$2+AH329*参数!$B$6*参数!$B$2+AI329*参数!$B$39*参数!$B$2+AJ329*参数!$B$6*参数!$B$2+Z329*参数!$B$13-T329*参数!$B$14-AD329*参数!$B$13+IF(ISNUMBER(AU329),AU329*参数!$B$38,0)-AV329*参数!$B$41-AW329*参数!$B$14),0),0)</f>
        <v>13.549647869859768</v>
      </c>
      <c r="AZ329">
        <f>AY329-MAX(AP329,0)*参数!$B$10</f>
        <v>10.549647869859768</v>
      </c>
      <c r="BA329">
        <f t="shared" si="11"/>
        <v>13.549647869859768</v>
      </c>
    </row>
    <row r="330" spans="1:53" x14ac:dyDescent="0.3">
      <c r="A330">
        <v>329</v>
      </c>
      <c r="B330" t="s">
        <v>1433</v>
      </c>
      <c r="C330" t="s">
        <v>1401</v>
      </c>
      <c r="D330" t="s">
        <v>1434</v>
      </c>
      <c r="E330" t="s">
        <v>1435</v>
      </c>
      <c r="F330" t="s">
        <v>124</v>
      </c>
      <c r="G330" t="s">
        <v>14</v>
      </c>
      <c r="H330">
        <v>1</v>
      </c>
      <c r="I330">
        <v>1</v>
      </c>
      <c r="J330" t="s">
        <v>1436</v>
      </c>
      <c r="L330" t="s">
        <v>120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 t="s">
        <v>112</v>
      </c>
      <c r="AL330" t="s">
        <v>127</v>
      </c>
      <c r="AN330" t="s">
        <v>124</v>
      </c>
      <c r="AP330">
        <f t="shared" si="10"/>
        <v>1</v>
      </c>
      <c r="AQ330">
        <v>0</v>
      </c>
      <c r="AR330">
        <v>0</v>
      </c>
      <c r="AT330" t="s">
        <v>113</v>
      </c>
      <c r="AU330">
        <v>0</v>
      </c>
      <c r="AY330">
        <f>IFERROR(MAX(IF(IF(AND(F330="能力",AL330="能力持续"),(参数!$B$2-1)*参数!$B$3,0)+M330*O330*参数!$B$5*IF(AND(F330="能力",AL330="能力持续"),参数!$B$2,1)+P330*参数!$B$6*IF(AND(F330="能力",AL330="能力持续"),参数!$B$2,1)+R330*参数!$B$7*IF(AND(F330="能力",AL330="能力持续"),参数!$B$2,1)+V330*参数!$B$8+IF(X330&lt;0,X330*参数!$B$13,X330*参数!$B$39)+IF(AE330&lt;0,AE330*参数!$B$13,AE330*参数!$B$12)*参数!$B$2+AQ330*参数!$B$15+AB330*参数!$B$11+AF330*参数!$B$40*参数!$B$2+AG330*参数!$B$44*参数!$B$2+AH330*参数!$B$6*参数!$B$2+AI330*参数!$B$39*参数!$B$2+AJ330*参数!$B$6*参数!$B$2+Z330*参数!$B$13-T330*参数!$B$14-AD330*参数!$B$13+IF(ISNUMBER(AU330),AU330*参数!$B$38,0)-AV330*参数!$B$41-AW330*参数!$B$14&gt;参数!$B$17,参数!$B$17+SQRT(IF(AND(F330="能力",AL330="能力持续"),(参数!$B$2-1)*参数!$B$3,0)+M330*O330*参数!$B$5*IF(AND(F330="能力",AL330="能力持续"),参数!$B$2,1)+P330*参数!$B$6*IF(AND(F330="能力",AL330="能力持续"),参数!$B$2,1)+R330*参数!$B$7*IF(AND(F330="能力",AL330="能力持续"),参数!$B$2,1)+V330*参数!$B$8+IF(X330&lt;0,X330*参数!$B$13,X330*参数!$B$39)+IF(AE330&lt;0,AE330*参数!$B$13,AE330*参数!$B$12)*参数!$B$2+AQ330*参数!$B$15+AB330*参数!$B$11+AF330*参数!$B$40*参数!$B$2+AG330*参数!$B$44*参数!$B$2+AH330*参数!$B$6*参数!$B$2+AI330*参数!$B$39*参数!$B$2+AJ330*参数!$B$6*参数!$B$2+Z330*参数!$B$13-T330*参数!$B$14-AD330*参数!$B$13+IF(ISNUMBER(AU330),AU330*参数!$B$38,0)-AV330*参数!$B$41-AW330*参数!$B$14-参数!$B$17)*参数!$B$18,IF(AND(F330="能力",AL330="能力持续"),(参数!$B$2-1)*参数!$B$3,0)+M330*O330*参数!$B$5*IF(AND(F330="能力",AL330="能力持续"),参数!$B$2,1)+P330*参数!$B$6*IF(AND(F330="能力",AL330="能力持续"),参数!$B$2,1)+R330*参数!$B$7*IF(AND(F330="能力",AL330="能力持续"),参数!$B$2,1)+V330*参数!$B$8+IF(X330&lt;0,X330*参数!$B$13,X330*参数!$B$39)+IF(AE330&lt;0,AE330*参数!$B$13,AE330*参数!$B$12)*参数!$B$2+AQ330*参数!$B$15+AB330*参数!$B$11+AF330*参数!$B$40*参数!$B$2+AG330*参数!$B$44*参数!$B$2+AH330*参数!$B$6*参数!$B$2+AI330*参数!$B$39*参数!$B$2+AJ330*参数!$B$6*参数!$B$2+Z330*参数!$B$13-T330*参数!$B$14-AD330*参数!$B$13+IF(ISNUMBER(AU330),AU330*参数!$B$38,0)-AV330*参数!$B$41-AW330*参数!$B$14),0),0)</f>
        <v>3.5999999999999996</v>
      </c>
      <c r="AZ330">
        <f>AY330-MAX(AP330,0)*参数!$B$10</f>
        <v>0.59999999999999964</v>
      </c>
      <c r="BA330">
        <f t="shared" si="11"/>
        <v>3.5999999999999996</v>
      </c>
    </row>
    <row r="331" spans="1:53" x14ac:dyDescent="0.3">
      <c r="A331">
        <v>330</v>
      </c>
      <c r="B331" t="s">
        <v>1437</v>
      </c>
      <c r="C331" t="s">
        <v>1401</v>
      </c>
      <c r="D331" t="s">
        <v>1438</v>
      </c>
      <c r="E331" t="s">
        <v>1439</v>
      </c>
      <c r="F331" t="s">
        <v>117</v>
      </c>
      <c r="G331" t="s">
        <v>12</v>
      </c>
      <c r="H331">
        <v>1</v>
      </c>
      <c r="I331">
        <v>1</v>
      </c>
      <c r="J331" t="s">
        <v>1440</v>
      </c>
      <c r="L331" t="s">
        <v>111</v>
      </c>
      <c r="M331">
        <v>3</v>
      </c>
      <c r="N331">
        <v>4</v>
      </c>
      <c r="O331">
        <v>1</v>
      </c>
      <c r="P331">
        <v>0</v>
      </c>
      <c r="Q331">
        <v>0</v>
      </c>
      <c r="R331">
        <v>3</v>
      </c>
      <c r="S331">
        <v>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 t="s">
        <v>112</v>
      </c>
      <c r="AP331">
        <f t="shared" si="10"/>
        <v>1</v>
      </c>
      <c r="AQ331">
        <v>0</v>
      </c>
      <c r="AR331">
        <v>0</v>
      </c>
      <c r="AT331" t="s">
        <v>113</v>
      </c>
      <c r="AU331">
        <v>0</v>
      </c>
      <c r="AY331">
        <f>IFERROR(MAX(IF(IF(AND(F331="能力",AL331="能力持续"),(参数!$B$2-1)*参数!$B$3,0)+M331*O331*参数!$B$5*IF(AND(F331="能力",AL331="能力持续"),参数!$B$2,1)+P331*参数!$B$6*IF(AND(F331="能力",AL331="能力持续"),参数!$B$2,1)+R331*参数!$B$7*IF(AND(F331="能力",AL331="能力持续"),参数!$B$2,1)+V331*参数!$B$8+IF(X331&lt;0,X331*参数!$B$13,X331*参数!$B$39)+IF(AE331&lt;0,AE331*参数!$B$13,AE331*参数!$B$12)*参数!$B$2+AQ331*参数!$B$15+AB331*参数!$B$11+AF331*参数!$B$40*参数!$B$2+AG331*参数!$B$44*参数!$B$2+AH331*参数!$B$6*参数!$B$2+AI331*参数!$B$39*参数!$B$2+AJ331*参数!$B$6*参数!$B$2+Z331*参数!$B$13-T331*参数!$B$14-AD331*参数!$B$13+IF(ISNUMBER(AU331),AU331*参数!$B$38,0)-AV331*参数!$B$41-AW331*参数!$B$14&gt;参数!$B$17,参数!$B$17+SQRT(IF(AND(F331="能力",AL331="能力持续"),(参数!$B$2-1)*参数!$B$3,0)+M331*O331*参数!$B$5*IF(AND(F331="能力",AL331="能力持续"),参数!$B$2,1)+P331*参数!$B$6*IF(AND(F331="能力",AL331="能力持续"),参数!$B$2,1)+R331*参数!$B$7*IF(AND(F331="能力",AL331="能力持续"),参数!$B$2,1)+V331*参数!$B$8+IF(X331&lt;0,X331*参数!$B$13,X331*参数!$B$39)+IF(AE331&lt;0,AE331*参数!$B$13,AE331*参数!$B$12)*参数!$B$2+AQ331*参数!$B$15+AB331*参数!$B$11+AF331*参数!$B$40*参数!$B$2+AG331*参数!$B$44*参数!$B$2+AH331*参数!$B$6*参数!$B$2+AI331*参数!$B$39*参数!$B$2+AJ331*参数!$B$6*参数!$B$2+Z331*参数!$B$13-T331*参数!$B$14-AD331*参数!$B$13+IF(ISNUMBER(AU331),AU331*参数!$B$38,0)-AV331*参数!$B$41-AW331*参数!$B$14-参数!$B$17)*参数!$B$18,IF(AND(F331="能力",AL331="能力持续"),(参数!$B$2-1)*参数!$B$3,0)+M331*O331*参数!$B$5*IF(AND(F331="能力",AL331="能力持续"),参数!$B$2,1)+P331*参数!$B$6*IF(AND(F331="能力",AL331="能力持续"),参数!$B$2,1)+R331*参数!$B$7*IF(AND(F331="能力",AL331="能力持续"),参数!$B$2,1)+V331*参数!$B$8+IF(X331&lt;0,X331*参数!$B$13,X331*参数!$B$39)+IF(AE331&lt;0,AE331*参数!$B$13,AE331*参数!$B$12)*参数!$B$2+AQ331*参数!$B$15+AB331*参数!$B$11+AF331*参数!$B$40*参数!$B$2+AG331*参数!$B$44*参数!$B$2+AH331*参数!$B$6*参数!$B$2+AI331*参数!$B$39*参数!$B$2+AJ331*参数!$B$6*参数!$B$2+Z331*参数!$B$13-T331*参数!$B$14-AD331*参数!$B$13+IF(ISNUMBER(AU331),AU331*参数!$B$38,0)-AV331*参数!$B$41-AW331*参数!$B$14),0),0)</f>
        <v>5.0999999999999996</v>
      </c>
      <c r="AZ331">
        <f>AY331-MAX(AP331,0)*参数!$B$10</f>
        <v>2.0999999999999996</v>
      </c>
      <c r="BA331">
        <f t="shared" si="11"/>
        <v>5.0999999999999996</v>
      </c>
    </row>
    <row r="332" spans="1:53" x14ac:dyDescent="0.3">
      <c r="A332">
        <v>331</v>
      </c>
      <c r="B332" t="s">
        <v>1441</v>
      </c>
      <c r="C332" t="s">
        <v>1401</v>
      </c>
      <c r="D332" t="s">
        <v>1442</v>
      </c>
      <c r="E332" t="s">
        <v>1443</v>
      </c>
      <c r="F332" t="s">
        <v>117</v>
      </c>
      <c r="G332" t="s">
        <v>12</v>
      </c>
      <c r="H332">
        <v>1</v>
      </c>
      <c r="I332">
        <v>1</v>
      </c>
      <c r="J332" t="s">
        <v>1444</v>
      </c>
      <c r="K332" t="s">
        <v>182</v>
      </c>
      <c r="L332" t="s">
        <v>111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112</v>
      </c>
      <c r="AO332" t="s">
        <v>182</v>
      </c>
      <c r="AP332">
        <f t="shared" si="10"/>
        <v>1</v>
      </c>
      <c r="AQ332">
        <v>0</v>
      </c>
      <c r="AR332">
        <v>0</v>
      </c>
      <c r="AT332" t="s">
        <v>113</v>
      </c>
      <c r="AU332">
        <v>3</v>
      </c>
      <c r="AY332">
        <f>IFERROR(MAX(IF(IF(AND(F332="能力",AL332="能力持续"),(参数!$B$2-1)*参数!$B$3,0)+M332*O332*参数!$B$5*IF(AND(F332="能力",AL332="能力持续"),参数!$B$2,1)+P332*参数!$B$6*IF(AND(F332="能力",AL332="能力持续"),参数!$B$2,1)+R332*参数!$B$7*IF(AND(F332="能力",AL332="能力持续"),参数!$B$2,1)+V332*参数!$B$8+IF(X332&lt;0,X332*参数!$B$13,X332*参数!$B$39)+IF(AE332&lt;0,AE332*参数!$B$13,AE332*参数!$B$12)*参数!$B$2+AQ332*参数!$B$15+AB332*参数!$B$11+AF332*参数!$B$40*参数!$B$2+AG332*参数!$B$44*参数!$B$2+AH332*参数!$B$6*参数!$B$2+AI332*参数!$B$39*参数!$B$2+AJ332*参数!$B$6*参数!$B$2+Z332*参数!$B$13-T332*参数!$B$14-AD332*参数!$B$13+IF(ISNUMBER(AU332),AU332*参数!$B$38,0)-AV332*参数!$B$41-AW332*参数!$B$14&gt;参数!$B$17,参数!$B$17+SQRT(IF(AND(F332="能力",AL332="能力持续"),(参数!$B$2-1)*参数!$B$3,0)+M332*O332*参数!$B$5*IF(AND(F332="能力",AL332="能力持续"),参数!$B$2,1)+P332*参数!$B$6*IF(AND(F332="能力",AL332="能力持续"),参数!$B$2,1)+R332*参数!$B$7*IF(AND(F332="能力",AL332="能力持续"),参数!$B$2,1)+V332*参数!$B$8+IF(X332&lt;0,X332*参数!$B$13,X332*参数!$B$39)+IF(AE332&lt;0,AE332*参数!$B$13,AE332*参数!$B$12)*参数!$B$2+AQ332*参数!$B$15+AB332*参数!$B$11+AF332*参数!$B$40*参数!$B$2+AG332*参数!$B$44*参数!$B$2+AH332*参数!$B$6*参数!$B$2+AI332*参数!$B$39*参数!$B$2+AJ332*参数!$B$6*参数!$B$2+Z332*参数!$B$13-T332*参数!$B$14-AD332*参数!$B$13+IF(ISNUMBER(AU332),AU332*参数!$B$38,0)-AV332*参数!$B$41-AW332*参数!$B$14-参数!$B$17)*参数!$B$18,IF(AND(F332="能力",AL332="能力持续"),(参数!$B$2-1)*参数!$B$3,0)+M332*O332*参数!$B$5*IF(AND(F332="能力",AL332="能力持续"),参数!$B$2,1)+P332*参数!$B$6*IF(AND(F332="能力",AL332="能力持续"),参数!$B$2,1)+R332*参数!$B$7*IF(AND(F332="能力",AL332="能力持续"),参数!$B$2,1)+V332*参数!$B$8+IF(X332&lt;0,X332*参数!$B$13,X332*参数!$B$39)+IF(AE332&lt;0,AE332*参数!$B$13,AE332*参数!$B$12)*参数!$B$2+AQ332*参数!$B$15+AB332*参数!$B$11+AF332*参数!$B$40*参数!$B$2+AG332*参数!$B$44*参数!$B$2+AH332*参数!$B$6*参数!$B$2+AI332*参数!$B$39*参数!$B$2+AJ332*参数!$B$6*参数!$B$2+Z332*参数!$B$13-T332*参数!$B$14-AD332*参数!$B$13+IF(ISNUMBER(AU332),AU332*参数!$B$38,0)-AV332*参数!$B$41-AW332*参数!$B$14),0),0)</f>
        <v>1.5</v>
      </c>
      <c r="AZ332">
        <f>AY332-MAX(AP332,0)*参数!$B$10</f>
        <v>-1.5</v>
      </c>
      <c r="BA332">
        <f t="shared" si="11"/>
        <v>1.5</v>
      </c>
    </row>
    <row r="333" spans="1:53" x14ac:dyDescent="0.3">
      <c r="A333">
        <v>332</v>
      </c>
      <c r="B333" t="s">
        <v>1445</v>
      </c>
      <c r="C333" t="s">
        <v>1401</v>
      </c>
      <c r="D333" t="s">
        <v>1446</v>
      </c>
      <c r="E333" t="s">
        <v>1447</v>
      </c>
      <c r="F333" t="s">
        <v>124</v>
      </c>
      <c r="G333" t="s">
        <v>12</v>
      </c>
      <c r="H333">
        <v>1</v>
      </c>
      <c r="I333">
        <v>1</v>
      </c>
      <c r="J333" t="s">
        <v>1448</v>
      </c>
      <c r="L333" t="s">
        <v>301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</v>
      </c>
      <c r="AH333">
        <v>0</v>
      </c>
      <c r="AI333">
        <v>0</v>
      </c>
      <c r="AJ333">
        <v>0</v>
      </c>
      <c r="AK333" t="s">
        <v>112</v>
      </c>
      <c r="AL333" t="s">
        <v>127</v>
      </c>
      <c r="AN333" t="s">
        <v>124</v>
      </c>
      <c r="AP333">
        <f t="shared" si="10"/>
        <v>1</v>
      </c>
      <c r="AQ333">
        <v>0</v>
      </c>
      <c r="AR333">
        <v>0</v>
      </c>
      <c r="AT333" t="s">
        <v>113</v>
      </c>
      <c r="AU333">
        <v>0</v>
      </c>
      <c r="AY333">
        <f>IFERROR(MAX(IF(IF(AND(F333="能力",AL333="能力持续"),(参数!$B$2-1)*参数!$B$3,0)+M333*O333*参数!$B$5*IF(AND(F333="能力",AL333="能力持续"),参数!$B$2,1)+P333*参数!$B$6*IF(AND(F333="能力",AL333="能力持续"),参数!$B$2,1)+R333*参数!$B$7*IF(AND(F333="能力",AL333="能力持续"),参数!$B$2,1)+V333*参数!$B$8+IF(X333&lt;0,X333*参数!$B$13,X333*参数!$B$39)+IF(AE333&lt;0,AE333*参数!$B$13,AE333*参数!$B$12)*参数!$B$2+AQ333*参数!$B$15+AB333*参数!$B$11+AF333*参数!$B$40*参数!$B$2+AG333*参数!$B$44*参数!$B$2+AH333*参数!$B$6*参数!$B$2+AI333*参数!$B$39*参数!$B$2+AJ333*参数!$B$6*参数!$B$2+Z333*参数!$B$13-T333*参数!$B$14-AD333*参数!$B$13+IF(ISNUMBER(AU333),AU333*参数!$B$38,0)-AV333*参数!$B$41-AW333*参数!$B$14&gt;参数!$B$17,参数!$B$17+SQRT(IF(AND(F333="能力",AL333="能力持续"),(参数!$B$2-1)*参数!$B$3,0)+M333*O333*参数!$B$5*IF(AND(F333="能力",AL333="能力持续"),参数!$B$2,1)+P333*参数!$B$6*IF(AND(F333="能力",AL333="能力持续"),参数!$B$2,1)+R333*参数!$B$7*IF(AND(F333="能力",AL333="能力持续"),参数!$B$2,1)+V333*参数!$B$8+IF(X333&lt;0,X333*参数!$B$13,X333*参数!$B$39)+IF(AE333&lt;0,AE333*参数!$B$13,AE333*参数!$B$12)*参数!$B$2+AQ333*参数!$B$15+AB333*参数!$B$11+AF333*参数!$B$40*参数!$B$2+AG333*参数!$B$44*参数!$B$2+AH333*参数!$B$6*参数!$B$2+AI333*参数!$B$39*参数!$B$2+AJ333*参数!$B$6*参数!$B$2+Z333*参数!$B$13-T333*参数!$B$14-AD333*参数!$B$13+IF(ISNUMBER(AU333),AU333*参数!$B$38,0)-AV333*参数!$B$41-AW333*参数!$B$14-参数!$B$17)*参数!$B$18,IF(AND(F333="能力",AL333="能力持续"),(参数!$B$2-1)*参数!$B$3,0)+M333*O333*参数!$B$5*IF(AND(F333="能力",AL333="能力持续"),参数!$B$2,1)+P333*参数!$B$6*IF(AND(F333="能力",AL333="能力持续"),参数!$B$2,1)+R333*参数!$B$7*IF(AND(F333="能力",AL333="能力持续"),参数!$B$2,1)+V333*参数!$B$8+IF(X333&lt;0,X333*参数!$B$13,X333*参数!$B$39)+IF(AE333&lt;0,AE333*参数!$B$13,AE333*参数!$B$12)*参数!$B$2+AQ333*参数!$B$15+AB333*参数!$B$11+AF333*参数!$B$40*参数!$B$2+AG333*参数!$B$44*参数!$B$2+AH333*参数!$B$6*参数!$B$2+AI333*参数!$B$39*参数!$B$2+AJ333*参数!$B$6*参数!$B$2+Z333*参数!$B$13-T333*参数!$B$14-AD333*参数!$B$13+IF(ISNUMBER(AU333),AU333*参数!$B$38,0)-AV333*参数!$B$41-AW333*参数!$B$14),0),0)</f>
        <v>14.837354648979129</v>
      </c>
      <c r="AZ333">
        <f>AY333-MAX(AP333,0)*参数!$B$10</f>
        <v>11.837354648979129</v>
      </c>
      <c r="BA333">
        <f t="shared" si="11"/>
        <v>14.837354648979129</v>
      </c>
    </row>
    <row r="334" spans="1:53" x14ac:dyDescent="0.3">
      <c r="A334">
        <v>333</v>
      </c>
      <c r="B334" t="s">
        <v>1449</v>
      </c>
      <c r="C334" t="s">
        <v>1401</v>
      </c>
      <c r="D334" t="s">
        <v>1450</v>
      </c>
      <c r="E334" t="s">
        <v>1451</v>
      </c>
      <c r="F334" t="s">
        <v>124</v>
      </c>
      <c r="G334" t="s">
        <v>12</v>
      </c>
      <c r="H334">
        <v>1</v>
      </c>
      <c r="I334">
        <v>1</v>
      </c>
      <c r="J334" t="s">
        <v>1452</v>
      </c>
      <c r="L334" t="s">
        <v>120</v>
      </c>
      <c r="M334">
        <v>0</v>
      </c>
      <c r="N334">
        <v>0</v>
      </c>
      <c r="O334">
        <v>1</v>
      </c>
      <c r="P334">
        <f>参数!$B$27*4</f>
        <v>6</v>
      </c>
      <c r="Q334">
        <f>参数!$B$27*6</f>
        <v>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 t="s">
        <v>112</v>
      </c>
      <c r="AL334" t="s">
        <v>127</v>
      </c>
      <c r="AN334" t="s">
        <v>124</v>
      </c>
      <c r="AP334">
        <f t="shared" si="10"/>
        <v>1</v>
      </c>
      <c r="AQ334">
        <v>0</v>
      </c>
      <c r="AR334">
        <v>0</v>
      </c>
      <c r="AT334" t="s">
        <v>113</v>
      </c>
      <c r="AU334">
        <v>0</v>
      </c>
      <c r="AY334">
        <f>IFERROR(MAX(IF(IF(AND(F334="能力",AL334="能力持续"),(参数!$B$2-1)*参数!$B$3,0)+M334*O334*参数!$B$5*IF(AND(F334="能力",AL334="能力持续"),参数!$B$2,1)+P334*参数!$B$6*IF(AND(F334="能力",AL334="能力持续"),参数!$B$2,1)+R334*参数!$B$7*IF(AND(F334="能力",AL334="能力持续"),参数!$B$2,1)+V334*参数!$B$8+IF(X334&lt;0,X334*参数!$B$13,X334*参数!$B$39)+IF(AE334&lt;0,AE334*参数!$B$13,AE334*参数!$B$12)*参数!$B$2+AQ334*参数!$B$15+AB334*参数!$B$11+AF334*参数!$B$40*参数!$B$2+AG334*参数!$B$44*参数!$B$2+AH334*参数!$B$6*参数!$B$2+AI334*参数!$B$39*参数!$B$2+AJ334*参数!$B$6*参数!$B$2+Z334*参数!$B$13-T334*参数!$B$14-AD334*参数!$B$13+IF(ISNUMBER(AU334),AU334*参数!$B$38,0)-AV334*参数!$B$41-AW334*参数!$B$14&gt;参数!$B$17,参数!$B$17+SQRT(IF(AND(F334="能力",AL334="能力持续"),(参数!$B$2-1)*参数!$B$3,0)+M334*O334*参数!$B$5*IF(AND(F334="能力",AL334="能力持续"),参数!$B$2,1)+P334*参数!$B$6*IF(AND(F334="能力",AL334="能力持续"),参数!$B$2,1)+R334*参数!$B$7*IF(AND(F334="能力",AL334="能力持续"),参数!$B$2,1)+V334*参数!$B$8+IF(X334&lt;0,X334*参数!$B$13,X334*参数!$B$39)+IF(AE334&lt;0,AE334*参数!$B$13,AE334*参数!$B$12)*参数!$B$2+AQ334*参数!$B$15+AB334*参数!$B$11+AF334*参数!$B$40*参数!$B$2+AG334*参数!$B$44*参数!$B$2+AH334*参数!$B$6*参数!$B$2+AI334*参数!$B$39*参数!$B$2+AJ334*参数!$B$6*参数!$B$2+Z334*参数!$B$13-T334*参数!$B$14-AD334*参数!$B$13+IF(ISNUMBER(AU334),AU334*参数!$B$38,0)-AV334*参数!$B$41-AW334*参数!$B$14-参数!$B$17)*参数!$B$18,IF(AND(F334="能力",AL334="能力持续"),(参数!$B$2-1)*参数!$B$3,0)+M334*O334*参数!$B$5*IF(AND(F334="能力",AL334="能力持续"),参数!$B$2,1)+P334*参数!$B$6*IF(AND(F334="能力",AL334="能力持续"),参数!$B$2,1)+R334*参数!$B$7*IF(AND(F334="能力",AL334="能力持续"),参数!$B$2,1)+V334*参数!$B$8+IF(X334&lt;0,X334*参数!$B$13,X334*参数!$B$39)+IF(AE334&lt;0,AE334*参数!$B$13,AE334*参数!$B$12)*参数!$B$2+AQ334*参数!$B$15+AB334*参数!$B$11+AF334*参数!$B$40*参数!$B$2+AG334*参数!$B$44*参数!$B$2+AH334*参数!$B$6*参数!$B$2+AI334*参数!$B$39*参数!$B$2+AJ334*参数!$B$6*参数!$B$2+Z334*参数!$B$13-T334*参数!$B$14-AD334*参数!$B$13+IF(ISNUMBER(AU334),AU334*参数!$B$38,0)-AV334*参数!$B$41-AW334*参数!$B$14),0),0)</f>
        <v>16.708203932499369</v>
      </c>
      <c r="AZ334">
        <f>AY334-MAX(AP334,0)*参数!$B$10</f>
        <v>13.708203932499369</v>
      </c>
      <c r="BA334">
        <f t="shared" si="11"/>
        <v>16.708203932499369</v>
      </c>
    </row>
    <row r="335" spans="1:53" x14ac:dyDescent="0.3">
      <c r="A335">
        <v>334</v>
      </c>
      <c r="B335" t="s">
        <v>1453</v>
      </c>
      <c r="C335" t="s">
        <v>1401</v>
      </c>
      <c r="D335" t="s">
        <v>1454</v>
      </c>
      <c r="E335" t="s">
        <v>1455</v>
      </c>
      <c r="F335" t="s">
        <v>108</v>
      </c>
      <c r="G335" t="s">
        <v>12</v>
      </c>
      <c r="H335">
        <v>1</v>
      </c>
      <c r="I335">
        <v>1</v>
      </c>
      <c r="J335" t="s">
        <v>1456</v>
      </c>
      <c r="L335" t="s">
        <v>111</v>
      </c>
      <c r="M335">
        <f>参数!$B$28*3+8</f>
        <v>14.899999999999999</v>
      </c>
      <c r="N335">
        <f>参数!$B$28*4+9</f>
        <v>18.2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 t="s">
        <v>112</v>
      </c>
      <c r="AP335">
        <f t="shared" si="10"/>
        <v>1</v>
      </c>
      <c r="AQ335">
        <v>0</v>
      </c>
      <c r="AR335">
        <v>0</v>
      </c>
      <c r="AT335" t="s">
        <v>113</v>
      </c>
      <c r="AU335">
        <v>0</v>
      </c>
      <c r="AY335">
        <f>IFERROR(MAX(IF(IF(AND(F335="能力",AL335="能力持续"),(参数!$B$2-1)*参数!$B$3,0)+M335*O335*参数!$B$5*IF(AND(F335="能力",AL335="能力持续"),参数!$B$2,1)+P335*参数!$B$6*IF(AND(F335="能力",AL335="能力持续"),参数!$B$2,1)+R335*参数!$B$7*IF(AND(F335="能力",AL335="能力持续"),参数!$B$2,1)+V335*参数!$B$8+IF(X335&lt;0,X335*参数!$B$13,X335*参数!$B$39)+IF(AE335&lt;0,AE335*参数!$B$13,AE335*参数!$B$12)*参数!$B$2+AQ335*参数!$B$15+AB335*参数!$B$11+AF335*参数!$B$40*参数!$B$2+AG335*参数!$B$44*参数!$B$2+AH335*参数!$B$6*参数!$B$2+AI335*参数!$B$39*参数!$B$2+AJ335*参数!$B$6*参数!$B$2+Z335*参数!$B$13-T335*参数!$B$14-AD335*参数!$B$13+IF(ISNUMBER(AU335),AU335*参数!$B$38,0)-AV335*参数!$B$41-AW335*参数!$B$14&gt;参数!$B$17,参数!$B$17+SQRT(IF(AND(F335="能力",AL335="能力持续"),(参数!$B$2-1)*参数!$B$3,0)+M335*O335*参数!$B$5*IF(AND(F335="能力",AL335="能力持续"),参数!$B$2,1)+P335*参数!$B$6*IF(AND(F335="能力",AL335="能力持续"),参数!$B$2,1)+R335*参数!$B$7*IF(AND(F335="能力",AL335="能力持续"),参数!$B$2,1)+V335*参数!$B$8+IF(X335&lt;0,X335*参数!$B$13,X335*参数!$B$39)+IF(AE335&lt;0,AE335*参数!$B$13,AE335*参数!$B$12)*参数!$B$2+AQ335*参数!$B$15+AB335*参数!$B$11+AF335*参数!$B$40*参数!$B$2+AG335*参数!$B$44*参数!$B$2+AH335*参数!$B$6*参数!$B$2+AI335*参数!$B$39*参数!$B$2+AJ335*参数!$B$6*参数!$B$2+Z335*参数!$B$13-T335*参数!$B$14-AD335*参数!$B$13+IF(ISNUMBER(AU335),AU335*参数!$B$38,0)-AV335*参数!$B$41-AW335*参数!$B$14-参数!$B$17)*参数!$B$18,IF(AND(F335="能力",AL335="能力持续"),(参数!$B$2-1)*参数!$B$3,0)+M335*O335*参数!$B$5*IF(AND(F335="能力",AL335="能力持续"),参数!$B$2,1)+P335*参数!$B$6*IF(AND(F335="能力",AL335="能力持续"),参数!$B$2,1)+R335*参数!$B$7*IF(AND(F335="能力",AL335="能力持续"),参数!$B$2,1)+V335*参数!$B$8+IF(X335&lt;0,X335*参数!$B$13,X335*参数!$B$39)+IF(AE335&lt;0,AE335*参数!$B$13,AE335*参数!$B$12)*参数!$B$2+AQ335*参数!$B$15+AB335*参数!$B$11+AF335*参数!$B$40*参数!$B$2+AG335*参数!$B$44*参数!$B$2+AH335*参数!$B$6*参数!$B$2+AI335*参数!$B$39*参数!$B$2+AJ335*参数!$B$6*参数!$B$2+Z335*参数!$B$13-T335*参数!$B$14-AD335*参数!$B$13+IF(ISNUMBER(AU335),AU335*参数!$B$38,0)-AV335*参数!$B$41-AW335*参数!$B$14),0),0)</f>
        <v>13.320391543176797</v>
      </c>
      <c r="AZ335">
        <f>AY335-MAX(AP335,0)*参数!$B$10</f>
        <v>10.320391543176797</v>
      </c>
      <c r="BA335">
        <f t="shared" si="11"/>
        <v>13.320391543176797</v>
      </c>
    </row>
    <row r="336" spans="1:53" x14ac:dyDescent="0.3">
      <c r="A336">
        <v>335</v>
      </c>
      <c r="B336" t="s">
        <v>1457</v>
      </c>
      <c r="C336" t="s">
        <v>1401</v>
      </c>
      <c r="D336" t="s">
        <v>1458</v>
      </c>
      <c r="E336" t="s">
        <v>1459</v>
      </c>
      <c r="F336" t="s">
        <v>117</v>
      </c>
      <c r="G336" t="s">
        <v>12</v>
      </c>
      <c r="H336">
        <v>2</v>
      </c>
      <c r="I336">
        <v>2</v>
      </c>
      <c r="J336" t="s">
        <v>1460</v>
      </c>
      <c r="L336" t="s">
        <v>191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21</v>
      </c>
      <c r="AH336">
        <v>0</v>
      </c>
      <c r="AI336">
        <v>0</v>
      </c>
      <c r="AJ336">
        <v>0</v>
      </c>
      <c r="AK336" t="s">
        <v>112</v>
      </c>
      <c r="AN336" t="s">
        <v>192</v>
      </c>
      <c r="AP336">
        <f t="shared" si="10"/>
        <v>2</v>
      </c>
      <c r="AQ336">
        <v>0</v>
      </c>
      <c r="AR336">
        <v>0</v>
      </c>
      <c r="AT336" t="s">
        <v>113</v>
      </c>
      <c r="AU336">
        <v>0</v>
      </c>
      <c r="AY336">
        <f>IFERROR(MAX(IF(IF(AND(F336="能力",AL336="能力持续"),(参数!$B$2-1)*参数!$B$3,0)+M336*O336*参数!$B$5*IF(AND(F336="能力",AL336="能力持续"),参数!$B$2,1)+P336*参数!$B$6*IF(AND(F336="能力",AL336="能力持续"),参数!$B$2,1)+R336*参数!$B$7*IF(AND(F336="能力",AL336="能力持续"),参数!$B$2,1)+V336*参数!$B$8+IF(X336&lt;0,X336*参数!$B$13,X336*参数!$B$39)+IF(AE336&lt;0,AE336*参数!$B$13,AE336*参数!$B$12)*参数!$B$2+AQ336*参数!$B$15+AB336*参数!$B$11+AF336*参数!$B$40*参数!$B$2+AG336*参数!$B$44*参数!$B$2+AH336*参数!$B$6*参数!$B$2+AI336*参数!$B$39*参数!$B$2+AJ336*参数!$B$6*参数!$B$2+Z336*参数!$B$13-T336*参数!$B$14-AD336*参数!$B$13+IF(ISNUMBER(AU336),AU336*参数!$B$38,0)-AV336*参数!$B$41-AW336*参数!$B$14&gt;参数!$B$17,参数!$B$17+SQRT(IF(AND(F336="能力",AL336="能力持续"),(参数!$B$2-1)*参数!$B$3,0)+M336*O336*参数!$B$5*IF(AND(F336="能力",AL336="能力持续"),参数!$B$2,1)+P336*参数!$B$6*IF(AND(F336="能力",AL336="能力持续"),参数!$B$2,1)+R336*参数!$B$7*IF(AND(F336="能力",AL336="能力持续"),参数!$B$2,1)+V336*参数!$B$8+IF(X336&lt;0,X336*参数!$B$13,X336*参数!$B$39)+IF(AE336&lt;0,AE336*参数!$B$13,AE336*参数!$B$12)*参数!$B$2+AQ336*参数!$B$15+AB336*参数!$B$11+AF336*参数!$B$40*参数!$B$2+AG336*参数!$B$44*参数!$B$2+AH336*参数!$B$6*参数!$B$2+AI336*参数!$B$39*参数!$B$2+AJ336*参数!$B$6*参数!$B$2+Z336*参数!$B$13-T336*参数!$B$14-AD336*参数!$B$13+IF(ISNUMBER(AU336),AU336*参数!$B$38,0)-AV336*参数!$B$41-AW336*参数!$B$14-参数!$B$17)*参数!$B$18,IF(AND(F336="能力",AL336="能力持续"),(参数!$B$2-1)*参数!$B$3,0)+M336*O336*参数!$B$5*IF(AND(F336="能力",AL336="能力持续"),参数!$B$2,1)+P336*参数!$B$6*IF(AND(F336="能力",AL336="能力持续"),参数!$B$2,1)+R336*参数!$B$7*IF(AND(F336="能力",AL336="能力持续"),参数!$B$2,1)+V336*参数!$B$8+IF(X336&lt;0,X336*参数!$B$13,X336*参数!$B$39)+IF(AE336&lt;0,AE336*参数!$B$13,AE336*参数!$B$12)*参数!$B$2+AQ336*参数!$B$15+AB336*参数!$B$11+AF336*参数!$B$40*参数!$B$2+AG336*参数!$B$44*参数!$B$2+AH336*参数!$B$6*参数!$B$2+AI336*参数!$B$39*参数!$B$2+AJ336*参数!$B$6*参数!$B$2+Z336*参数!$B$13-T336*参数!$B$14-AD336*参数!$B$13+IF(ISNUMBER(AU336),AU336*参数!$B$38,0)-AV336*参数!$B$41-AW336*参数!$B$14),0),0)</f>
        <v>20.638373935898287</v>
      </c>
      <c r="AZ336">
        <f>AY336-MAX(AP336,0)*参数!$B$10</f>
        <v>14.638373935898287</v>
      </c>
      <c r="BA336">
        <f t="shared" si="11"/>
        <v>10.319186967949143</v>
      </c>
    </row>
    <row r="337" spans="1:53" x14ac:dyDescent="0.3">
      <c r="A337">
        <v>336</v>
      </c>
      <c r="B337" t="s">
        <v>1461</v>
      </c>
      <c r="C337" t="s">
        <v>1401</v>
      </c>
      <c r="D337" t="s">
        <v>1462</v>
      </c>
      <c r="E337" t="s">
        <v>1463</v>
      </c>
      <c r="F337" t="s">
        <v>117</v>
      </c>
      <c r="G337" t="s">
        <v>12</v>
      </c>
      <c r="H337">
        <v>1</v>
      </c>
      <c r="I337">
        <v>1</v>
      </c>
      <c r="J337" t="s">
        <v>1464</v>
      </c>
      <c r="L337" t="s">
        <v>120</v>
      </c>
      <c r="M337">
        <v>0</v>
      </c>
      <c r="N337">
        <v>0</v>
      </c>
      <c r="O337">
        <v>3</v>
      </c>
      <c r="P337">
        <v>6</v>
      </c>
      <c r="Q337">
        <v>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 t="s">
        <v>112</v>
      </c>
      <c r="AN337" t="s">
        <v>161</v>
      </c>
      <c r="AP337">
        <f t="shared" si="10"/>
        <v>1</v>
      </c>
      <c r="AQ337">
        <v>0</v>
      </c>
      <c r="AR337">
        <v>0</v>
      </c>
      <c r="AT337" t="s">
        <v>113</v>
      </c>
      <c r="AU337">
        <v>0</v>
      </c>
      <c r="AY337">
        <f>IFERROR(MAX(IF(IF(AND(F337="能力",AL337="能力持续"),(参数!$B$2-1)*参数!$B$3,0)+M337*O337*参数!$B$5*IF(AND(F337="能力",AL337="能力持续"),参数!$B$2,1)+P337*参数!$B$6*IF(AND(F337="能力",AL337="能力持续"),参数!$B$2,1)+R337*参数!$B$7*IF(AND(F337="能力",AL337="能力持续"),参数!$B$2,1)+V337*参数!$B$8+IF(X337&lt;0,X337*参数!$B$13,X337*参数!$B$39)+IF(AE337&lt;0,AE337*参数!$B$13,AE337*参数!$B$12)*参数!$B$2+AQ337*参数!$B$15+AB337*参数!$B$11+AF337*参数!$B$40*参数!$B$2+AG337*参数!$B$44*参数!$B$2+AH337*参数!$B$6*参数!$B$2+AI337*参数!$B$39*参数!$B$2+AJ337*参数!$B$6*参数!$B$2+Z337*参数!$B$13-T337*参数!$B$14-AD337*参数!$B$13+IF(ISNUMBER(AU337),AU337*参数!$B$38,0)-AV337*参数!$B$41-AW337*参数!$B$14&gt;参数!$B$17,参数!$B$17+SQRT(IF(AND(F337="能力",AL337="能力持续"),(参数!$B$2-1)*参数!$B$3,0)+M337*O337*参数!$B$5*IF(AND(F337="能力",AL337="能力持续"),参数!$B$2,1)+P337*参数!$B$6*IF(AND(F337="能力",AL337="能力持续"),参数!$B$2,1)+R337*参数!$B$7*IF(AND(F337="能力",AL337="能力持续"),参数!$B$2,1)+V337*参数!$B$8+IF(X337&lt;0,X337*参数!$B$13,X337*参数!$B$39)+IF(AE337&lt;0,AE337*参数!$B$13,AE337*参数!$B$12)*参数!$B$2+AQ337*参数!$B$15+AB337*参数!$B$11+AF337*参数!$B$40*参数!$B$2+AG337*参数!$B$44*参数!$B$2+AH337*参数!$B$6*参数!$B$2+AI337*参数!$B$39*参数!$B$2+AJ337*参数!$B$6*参数!$B$2+Z337*参数!$B$13-T337*参数!$B$14-AD337*参数!$B$13+IF(ISNUMBER(AU337),AU337*参数!$B$38,0)-AV337*参数!$B$41-AW337*参数!$B$14-参数!$B$17)*参数!$B$18,IF(AND(F337="能力",AL337="能力持续"),(参数!$B$2-1)*参数!$B$3,0)+M337*O337*参数!$B$5*IF(AND(F337="能力",AL337="能力持续"),参数!$B$2,1)+P337*参数!$B$6*IF(AND(F337="能力",AL337="能力持续"),参数!$B$2,1)+R337*参数!$B$7*IF(AND(F337="能力",AL337="能力持续"),参数!$B$2,1)+V337*参数!$B$8+IF(X337&lt;0,X337*参数!$B$13,X337*参数!$B$39)+IF(AE337&lt;0,AE337*参数!$B$13,AE337*参数!$B$12)*参数!$B$2+AQ337*参数!$B$15+AB337*参数!$B$11+AF337*参数!$B$40*参数!$B$2+AG337*参数!$B$44*参数!$B$2+AH337*参数!$B$6*参数!$B$2+AI337*参数!$B$39*参数!$B$2+AJ337*参数!$B$6*参数!$B$2+Z337*参数!$B$13-T337*参数!$B$14-AD337*参数!$B$13+IF(ISNUMBER(AU337),AU337*参数!$B$38,0)-AV337*参数!$B$41-AW337*参数!$B$14),0),0)</f>
        <v>6.6000000000000005</v>
      </c>
      <c r="AZ337">
        <f>AY337-MAX(AP337,0)*参数!$B$10</f>
        <v>3.6000000000000005</v>
      </c>
      <c r="BA337">
        <f t="shared" si="11"/>
        <v>6.6000000000000005</v>
      </c>
    </row>
    <row r="338" spans="1:53" x14ac:dyDescent="0.3">
      <c r="A338">
        <v>337</v>
      </c>
      <c r="B338" t="s">
        <v>1465</v>
      </c>
      <c r="C338" t="s">
        <v>1401</v>
      </c>
      <c r="D338" t="s">
        <v>1466</v>
      </c>
      <c r="E338" t="s">
        <v>1467</v>
      </c>
      <c r="F338" t="s">
        <v>108</v>
      </c>
      <c r="G338" t="s">
        <v>12</v>
      </c>
      <c r="H338">
        <v>1</v>
      </c>
      <c r="I338">
        <v>1</v>
      </c>
      <c r="J338" t="s">
        <v>1468</v>
      </c>
      <c r="K338" t="s">
        <v>1469</v>
      </c>
      <c r="L338" t="s">
        <v>111</v>
      </c>
      <c r="M338">
        <v>10</v>
      </c>
      <c r="N338">
        <v>12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</v>
      </c>
      <c r="AA338">
        <v>4</v>
      </c>
      <c r="AB338">
        <v>3</v>
      </c>
      <c r="AC338">
        <v>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112</v>
      </c>
      <c r="AP338">
        <f t="shared" si="10"/>
        <v>1</v>
      </c>
      <c r="AQ338">
        <v>0</v>
      </c>
      <c r="AR338">
        <v>0</v>
      </c>
      <c r="AT338" t="s">
        <v>113</v>
      </c>
      <c r="AU338">
        <v>0</v>
      </c>
      <c r="AY338">
        <f>IFERROR(MAX(IF(IF(AND(F338="能力",AL338="能力持续"),(参数!$B$2-1)*参数!$B$3,0)+M338*O338*参数!$B$5*IF(AND(F338="能力",AL338="能力持续"),参数!$B$2,1)+P338*参数!$B$6*IF(AND(F338="能力",AL338="能力持续"),参数!$B$2,1)+R338*参数!$B$7*IF(AND(F338="能力",AL338="能力持续"),参数!$B$2,1)+V338*参数!$B$8+IF(X338&lt;0,X338*参数!$B$13,X338*参数!$B$39)+IF(AE338&lt;0,AE338*参数!$B$13,AE338*参数!$B$12)*参数!$B$2+AQ338*参数!$B$15+AB338*参数!$B$11+AF338*参数!$B$40*参数!$B$2+AG338*参数!$B$44*参数!$B$2+AH338*参数!$B$6*参数!$B$2+AI338*参数!$B$39*参数!$B$2+AJ338*参数!$B$6*参数!$B$2+Z338*参数!$B$13-T338*参数!$B$14-AD338*参数!$B$13+IF(ISNUMBER(AU338),AU338*参数!$B$38,0)-AV338*参数!$B$41-AW338*参数!$B$14&gt;参数!$B$17,参数!$B$17+SQRT(IF(AND(F338="能力",AL338="能力持续"),(参数!$B$2-1)*参数!$B$3,0)+M338*O338*参数!$B$5*IF(AND(F338="能力",AL338="能力持续"),参数!$B$2,1)+P338*参数!$B$6*IF(AND(F338="能力",AL338="能力持续"),参数!$B$2,1)+R338*参数!$B$7*IF(AND(F338="能力",AL338="能力持续"),参数!$B$2,1)+V338*参数!$B$8+IF(X338&lt;0,X338*参数!$B$13,X338*参数!$B$39)+IF(AE338&lt;0,AE338*参数!$B$13,AE338*参数!$B$12)*参数!$B$2+AQ338*参数!$B$15+AB338*参数!$B$11+AF338*参数!$B$40*参数!$B$2+AG338*参数!$B$44*参数!$B$2+AH338*参数!$B$6*参数!$B$2+AI338*参数!$B$39*参数!$B$2+AJ338*参数!$B$6*参数!$B$2+Z338*参数!$B$13-T338*参数!$B$14-AD338*参数!$B$13+IF(ISNUMBER(AU338),AU338*参数!$B$38,0)-AV338*参数!$B$41-AW338*参数!$B$14-参数!$B$17)*参数!$B$18,IF(AND(F338="能力",AL338="能力持续"),(参数!$B$2-1)*参数!$B$3,0)+M338*O338*参数!$B$5*IF(AND(F338="能力",AL338="能力持续"),参数!$B$2,1)+P338*参数!$B$6*IF(AND(F338="能力",AL338="能力持续"),参数!$B$2,1)+R338*参数!$B$7*IF(AND(F338="能力",AL338="能力持续"),参数!$B$2,1)+V338*参数!$B$8+IF(X338&lt;0,X338*参数!$B$13,X338*参数!$B$39)+IF(AE338&lt;0,AE338*参数!$B$13,AE338*参数!$B$12)*参数!$B$2+AQ338*参数!$B$15+AB338*参数!$B$11+AF338*参数!$B$40*参数!$B$2+AG338*参数!$B$44*参数!$B$2+AH338*参数!$B$6*参数!$B$2+AI338*参数!$B$39*参数!$B$2+AJ338*参数!$B$6*参数!$B$2+Z338*参数!$B$13-T338*参数!$B$14-AD338*参数!$B$13+IF(ISNUMBER(AU338),AU338*参数!$B$38,0)-AV338*参数!$B$41-AW338*参数!$B$14),0),0)</f>
        <v>14.347413023856831</v>
      </c>
      <c r="AZ338">
        <f>AY338-MAX(AP338,0)*参数!$B$10</f>
        <v>11.347413023856831</v>
      </c>
      <c r="BA338">
        <f t="shared" si="11"/>
        <v>14.347413023856831</v>
      </c>
    </row>
    <row r="339" spans="1:53" x14ac:dyDescent="0.3">
      <c r="A339">
        <v>338</v>
      </c>
      <c r="B339" t="s">
        <v>1470</v>
      </c>
      <c r="C339" t="s">
        <v>1401</v>
      </c>
      <c r="D339" t="s">
        <v>115</v>
      </c>
      <c r="E339" t="s">
        <v>116</v>
      </c>
      <c r="F339" t="s">
        <v>117</v>
      </c>
      <c r="G339" t="s">
        <v>8</v>
      </c>
      <c r="H339">
        <v>1</v>
      </c>
      <c r="I339">
        <v>1</v>
      </c>
      <c r="J339" t="s">
        <v>118</v>
      </c>
      <c r="L339" t="s">
        <v>120</v>
      </c>
      <c r="M339">
        <v>0</v>
      </c>
      <c r="N339">
        <v>0</v>
      </c>
      <c r="O339">
        <v>1</v>
      </c>
      <c r="P339">
        <v>5</v>
      </c>
      <c r="Q339">
        <v>8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 t="s">
        <v>112</v>
      </c>
      <c r="AP339">
        <f t="shared" si="10"/>
        <v>1</v>
      </c>
      <c r="AQ339">
        <v>0</v>
      </c>
      <c r="AR339">
        <v>0</v>
      </c>
      <c r="AT339" t="s">
        <v>113</v>
      </c>
      <c r="AU339">
        <v>0</v>
      </c>
      <c r="AY339">
        <f>IFERROR(MAX(IF(IF(AND(F339="能力",AL339="能力持续"),(参数!$B$2-1)*参数!$B$3,0)+M339*O339*参数!$B$5*IF(AND(F339="能力",AL339="能力持续"),参数!$B$2,1)+P339*参数!$B$6*IF(AND(F339="能力",AL339="能力持续"),参数!$B$2,1)+R339*参数!$B$7*IF(AND(F339="能力",AL339="能力持续"),参数!$B$2,1)+V339*参数!$B$8+IF(X339&lt;0,X339*参数!$B$13,X339*参数!$B$39)+IF(AE339&lt;0,AE339*参数!$B$13,AE339*参数!$B$12)*参数!$B$2+AQ339*参数!$B$15+AB339*参数!$B$11+AF339*参数!$B$40*参数!$B$2+AG339*参数!$B$44*参数!$B$2+AH339*参数!$B$6*参数!$B$2+AI339*参数!$B$39*参数!$B$2+AJ339*参数!$B$6*参数!$B$2+Z339*参数!$B$13-T339*参数!$B$14-AD339*参数!$B$13+IF(ISNUMBER(AU339),AU339*参数!$B$38,0)-AV339*参数!$B$41-AW339*参数!$B$14&gt;参数!$B$17,参数!$B$17+SQRT(IF(AND(F339="能力",AL339="能力持续"),(参数!$B$2-1)*参数!$B$3,0)+M339*O339*参数!$B$5*IF(AND(F339="能力",AL339="能力持续"),参数!$B$2,1)+P339*参数!$B$6*IF(AND(F339="能力",AL339="能力持续"),参数!$B$2,1)+R339*参数!$B$7*IF(AND(F339="能力",AL339="能力持续"),参数!$B$2,1)+V339*参数!$B$8+IF(X339&lt;0,X339*参数!$B$13,X339*参数!$B$39)+IF(AE339&lt;0,AE339*参数!$B$13,AE339*参数!$B$12)*参数!$B$2+AQ339*参数!$B$15+AB339*参数!$B$11+AF339*参数!$B$40*参数!$B$2+AG339*参数!$B$44*参数!$B$2+AH339*参数!$B$6*参数!$B$2+AI339*参数!$B$39*参数!$B$2+AJ339*参数!$B$6*参数!$B$2+Z339*参数!$B$13-T339*参数!$B$14-AD339*参数!$B$13+IF(ISNUMBER(AU339),AU339*参数!$B$38,0)-AV339*参数!$B$41-AW339*参数!$B$14-参数!$B$17)*参数!$B$18,IF(AND(F339="能力",AL339="能力持续"),(参数!$B$2-1)*参数!$B$3,0)+M339*O339*参数!$B$5*IF(AND(F339="能力",AL339="能力持续"),参数!$B$2,1)+P339*参数!$B$6*IF(AND(F339="能力",AL339="能力持续"),参数!$B$2,1)+R339*参数!$B$7*IF(AND(F339="能力",AL339="能力持续"),参数!$B$2,1)+V339*参数!$B$8+IF(X339&lt;0,X339*参数!$B$13,X339*参数!$B$39)+IF(AE339&lt;0,AE339*参数!$B$13,AE339*参数!$B$12)*参数!$B$2+AQ339*参数!$B$15+AB339*参数!$B$11+AF339*参数!$B$40*参数!$B$2+AG339*参数!$B$44*参数!$B$2+AH339*参数!$B$6*参数!$B$2+AI339*参数!$B$39*参数!$B$2+AJ339*参数!$B$6*参数!$B$2+Z339*参数!$B$13-T339*参数!$B$14-AD339*参数!$B$13+IF(ISNUMBER(AU339),AU339*参数!$B$38,0)-AV339*参数!$B$41-AW339*参数!$B$14),0),0)</f>
        <v>5.5</v>
      </c>
      <c r="AZ339">
        <f>AY339-MAX(AP339,0)*参数!$B$10</f>
        <v>2.5</v>
      </c>
      <c r="BA339">
        <f t="shared" si="11"/>
        <v>5.5</v>
      </c>
    </row>
    <row r="340" spans="1:53" x14ac:dyDescent="0.3">
      <c r="A340">
        <v>339</v>
      </c>
      <c r="B340" t="s">
        <v>1471</v>
      </c>
      <c r="C340" t="s">
        <v>1401</v>
      </c>
      <c r="D340" t="s">
        <v>1472</v>
      </c>
      <c r="E340" t="s">
        <v>1473</v>
      </c>
      <c r="F340" t="s">
        <v>108</v>
      </c>
      <c r="G340" t="s">
        <v>10</v>
      </c>
      <c r="H340">
        <v>1</v>
      </c>
      <c r="I340">
        <v>1</v>
      </c>
      <c r="J340" t="s">
        <v>1474</v>
      </c>
      <c r="L340" t="s">
        <v>111</v>
      </c>
      <c r="M340">
        <v>13</v>
      </c>
      <c r="N340">
        <v>17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 t="s">
        <v>112</v>
      </c>
      <c r="AP340">
        <f t="shared" si="10"/>
        <v>1</v>
      </c>
      <c r="AQ340">
        <v>0</v>
      </c>
      <c r="AR340">
        <v>0</v>
      </c>
      <c r="AT340" t="s">
        <v>113</v>
      </c>
      <c r="AU340">
        <v>0</v>
      </c>
      <c r="AY340">
        <f>IFERROR(MAX(IF(IF(AND(F340="能力",AL340="能力持续"),(参数!$B$2-1)*参数!$B$3,0)+M340*O340*参数!$B$5*IF(AND(F340="能力",AL340="能力持续"),参数!$B$2,1)+P340*参数!$B$6*IF(AND(F340="能力",AL340="能力持续"),参数!$B$2,1)+R340*参数!$B$7*IF(AND(F340="能力",AL340="能力持续"),参数!$B$2,1)+V340*参数!$B$8+IF(X340&lt;0,X340*参数!$B$13,X340*参数!$B$39)+IF(AE340&lt;0,AE340*参数!$B$13,AE340*参数!$B$12)*参数!$B$2+AQ340*参数!$B$15+AB340*参数!$B$11+AF340*参数!$B$40*参数!$B$2+AG340*参数!$B$44*参数!$B$2+AH340*参数!$B$6*参数!$B$2+AI340*参数!$B$39*参数!$B$2+AJ340*参数!$B$6*参数!$B$2+Z340*参数!$B$13-T340*参数!$B$14-AD340*参数!$B$13+IF(ISNUMBER(AU340),AU340*参数!$B$38,0)-AV340*参数!$B$41-AW340*参数!$B$14&gt;参数!$B$17,参数!$B$17+SQRT(IF(AND(F340="能力",AL340="能力持续"),(参数!$B$2-1)*参数!$B$3,0)+M340*O340*参数!$B$5*IF(AND(F340="能力",AL340="能力持续"),参数!$B$2,1)+P340*参数!$B$6*IF(AND(F340="能力",AL340="能力持续"),参数!$B$2,1)+R340*参数!$B$7*IF(AND(F340="能力",AL340="能力持续"),参数!$B$2,1)+V340*参数!$B$8+IF(X340&lt;0,X340*参数!$B$13,X340*参数!$B$39)+IF(AE340&lt;0,AE340*参数!$B$13,AE340*参数!$B$12)*参数!$B$2+AQ340*参数!$B$15+AB340*参数!$B$11+AF340*参数!$B$40*参数!$B$2+AG340*参数!$B$44*参数!$B$2+AH340*参数!$B$6*参数!$B$2+AI340*参数!$B$39*参数!$B$2+AJ340*参数!$B$6*参数!$B$2+Z340*参数!$B$13-T340*参数!$B$14-AD340*参数!$B$13+IF(ISNUMBER(AU340),AU340*参数!$B$38,0)-AV340*参数!$B$41-AW340*参数!$B$14-参数!$B$17)*参数!$B$18,IF(AND(F340="能力",AL340="能力持续"),(参数!$B$2-1)*参数!$B$3,0)+M340*O340*参数!$B$5*IF(AND(F340="能力",AL340="能力持续"),参数!$B$2,1)+P340*参数!$B$6*IF(AND(F340="能力",AL340="能力持续"),参数!$B$2,1)+R340*参数!$B$7*IF(AND(F340="能力",AL340="能力持续"),参数!$B$2,1)+V340*参数!$B$8+IF(X340&lt;0,X340*参数!$B$13,X340*参数!$B$39)+IF(AE340&lt;0,AE340*参数!$B$13,AE340*参数!$B$12)*参数!$B$2+AQ340*参数!$B$15+AB340*参数!$B$11+AF340*参数!$B$40*参数!$B$2+AG340*参数!$B$44*参数!$B$2+AH340*参数!$B$6*参数!$B$2+AI340*参数!$B$39*参数!$B$2+AJ340*参数!$B$6*参数!$B$2+Z340*参数!$B$13-T340*参数!$B$14-AD340*参数!$B$13+IF(ISNUMBER(AU340),AU340*参数!$B$38,0)-AV340*参数!$B$41-AW340*参数!$B$14),0),0)</f>
        <v>12.598076211353316</v>
      </c>
      <c r="AZ340">
        <f>AY340-MAX(AP340,0)*参数!$B$10</f>
        <v>9.598076211353316</v>
      </c>
      <c r="BA340">
        <f t="shared" si="11"/>
        <v>12.598076211353316</v>
      </c>
    </row>
    <row r="341" spans="1:53" x14ac:dyDescent="0.3">
      <c r="A341">
        <v>340</v>
      </c>
      <c r="B341" t="s">
        <v>1475</v>
      </c>
      <c r="C341" t="s">
        <v>1401</v>
      </c>
      <c r="D341" t="s">
        <v>1476</v>
      </c>
      <c r="E341" t="s">
        <v>1477</v>
      </c>
      <c r="F341" t="s">
        <v>117</v>
      </c>
      <c r="G341" t="s">
        <v>10</v>
      </c>
      <c r="H341">
        <v>1</v>
      </c>
      <c r="I341">
        <v>1</v>
      </c>
      <c r="J341" t="s">
        <v>1478</v>
      </c>
      <c r="L341" t="s">
        <v>120</v>
      </c>
      <c r="M341">
        <v>0</v>
      </c>
      <c r="N341">
        <v>0</v>
      </c>
      <c r="O341">
        <v>1</v>
      </c>
      <c r="P341">
        <v>6</v>
      </c>
      <c r="Q341">
        <v>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t="s">
        <v>112</v>
      </c>
      <c r="AP341">
        <f t="shared" si="10"/>
        <v>1</v>
      </c>
      <c r="AQ341">
        <v>0</v>
      </c>
      <c r="AR341">
        <v>0</v>
      </c>
      <c r="AT341" t="s">
        <v>113</v>
      </c>
      <c r="AU341">
        <v>0</v>
      </c>
      <c r="AY341">
        <f>IFERROR(MAX(IF(IF(AND(F341="能力",AL341="能力持续"),(参数!$B$2-1)*参数!$B$3,0)+M341*O341*参数!$B$5*IF(AND(F341="能力",AL341="能力持续"),参数!$B$2,1)+P341*参数!$B$6*IF(AND(F341="能力",AL341="能力持续"),参数!$B$2,1)+R341*参数!$B$7*IF(AND(F341="能力",AL341="能力持续"),参数!$B$2,1)+V341*参数!$B$8+IF(X341&lt;0,X341*参数!$B$13,X341*参数!$B$39)+IF(AE341&lt;0,AE341*参数!$B$13,AE341*参数!$B$12)*参数!$B$2+AQ341*参数!$B$15+AB341*参数!$B$11+AF341*参数!$B$40*参数!$B$2+AG341*参数!$B$44*参数!$B$2+AH341*参数!$B$6*参数!$B$2+AI341*参数!$B$39*参数!$B$2+AJ341*参数!$B$6*参数!$B$2+Z341*参数!$B$13-T341*参数!$B$14-AD341*参数!$B$13+IF(ISNUMBER(AU341),AU341*参数!$B$38,0)-AV341*参数!$B$41-AW341*参数!$B$14&gt;参数!$B$17,参数!$B$17+SQRT(IF(AND(F341="能力",AL341="能力持续"),(参数!$B$2-1)*参数!$B$3,0)+M341*O341*参数!$B$5*IF(AND(F341="能力",AL341="能力持续"),参数!$B$2,1)+P341*参数!$B$6*IF(AND(F341="能力",AL341="能力持续"),参数!$B$2,1)+R341*参数!$B$7*IF(AND(F341="能力",AL341="能力持续"),参数!$B$2,1)+V341*参数!$B$8+IF(X341&lt;0,X341*参数!$B$13,X341*参数!$B$39)+IF(AE341&lt;0,AE341*参数!$B$13,AE341*参数!$B$12)*参数!$B$2+AQ341*参数!$B$15+AB341*参数!$B$11+AF341*参数!$B$40*参数!$B$2+AG341*参数!$B$44*参数!$B$2+AH341*参数!$B$6*参数!$B$2+AI341*参数!$B$39*参数!$B$2+AJ341*参数!$B$6*参数!$B$2+Z341*参数!$B$13-T341*参数!$B$14-AD341*参数!$B$13+IF(ISNUMBER(AU341),AU341*参数!$B$38,0)-AV341*参数!$B$41-AW341*参数!$B$14-参数!$B$17)*参数!$B$18,IF(AND(F341="能力",AL341="能力持续"),(参数!$B$2-1)*参数!$B$3,0)+M341*O341*参数!$B$5*IF(AND(F341="能力",AL341="能力持续"),参数!$B$2,1)+P341*参数!$B$6*IF(AND(F341="能力",AL341="能力持续"),参数!$B$2,1)+R341*参数!$B$7*IF(AND(F341="能力",AL341="能力持续"),参数!$B$2,1)+V341*参数!$B$8+IF(X341&lt;0,X341*参数!$B$13,X341*参数!$B$39)+IF(AE341&lt;0,AE341*参数!$B$13,AE341*参数!$B$12)*参数!$B$2+AQ341*参数!$B$15+AB341*参数!$B$11+AF341*参数!$B$40*参数!$B$2+AG341*参数!$B$44*参数!$B$2+AH341*参数!$B$6*参数!$B$2+AI341*参数!$B$39*参数!$B$2+AJ341*参数!$B$6*参数!$B$2+Z341*参数!$B$13-T341*参数!$B$14-AD341*参数!$B$13+IF(ISNUMBER(AU341),AU341*参数!$B$38,0)-AV341*参数!$B$41-AW341*参数!$B$14),0),0)</f>
        <v>8.1000000000000014</v>
      </c>
      <c r="AZ341">
        <f>AY341-MAX(AP341,0)*参数!$B$10</f>
        <v>5.1000000000000014</v>
      </c>
      <c r="BA341">
        <f t="shared" si="11"/>
        <v>8.1000000000000014</v>
      </c>
    </row>
    <row r="342" spans="1:53" x14ac:dyDescent="0.3">
      <c r="A342">
        <v>341</v>
      </c>
      <c r="B342" t="s">
        <v>1479</v>
      </c>
      <c r="C342" t="s">
        <v>1401</v>
      </c>
      <c r="D342" t="s">
        <v>1480</v>
      </c>
      <c r="E342" t="s">
        <v>1481</v>
      </c>
      <c r="F342" t="s">
        <v>117</v>
      </c>
      <c r="G342" t="s">
        <v>12</v>
      </c>
      <c r="H342">
        <v>2</v>
      </c>
      <c r="I342">
        <v>2</v>
      </c>
      <c r="J342" t="s">
        <v>1482</v>
      </c>
      <c r="L342" t="s">
        <v>120</v>
      </c>
      <c r="M342">
        <v>0</v>
      </c>
      <c r="N342">
        <v>0</v>
      </c>
      <c r="O342">
        <v>1</v>
      </c>
      <c r="P342">
        <v>11</v>
      </c>
      <c r="Q342">
        <v>13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t="s">
        <v>112</v>
      </c>
      <c r="AP342">
        <f t="shared" si="10"/>
        <v>1</v>
      </c>
      <c r="AQ342">
        <v>0</v>
      </c>
      <c r="AR342">
        <v>0</v>
      </c>
      <c r="AT342" t="s">
        <v>113</v>
      </c>
      <c r="AU342">
        <v>0</v>
      </c>
      <c r="AY342">
        <f>IFERROR(MAX(IF(IF(AND(F342="能力",AL342="能力持续"),(参数!$B$2-1)*参数!$B$3,0)+M342*O342*参数!$B$5*IF(AND(F342="能力",AL342="能力持续"),参数!$B$2,1)+P342*参数!$B$6*IF(AND(F342="能力",AL342="能力持续"),参数!$B$2,1)+R342*参数!$B$7*IF(AND(F342="能力",AL342="能力持续"),参数!$B$2,1)+V342*参数!$B$8+IF(X342&lt;0,X342*参数!$B$13,X342*参数!$B$39)+IF(AE342&lt;0,AE342*参数!$B$13,AE342*参数!$B$12)*参数!$B$2+AQ342*参数!$B$15+AB342*参数!$B$11+AF342*参数!$B$40*参数!$B$2+AG342*参数!$B$44*参数!$B$2+AH342*参数!$B$6*参数!$B$2+AI342*参数!$B$39*参数!$B$2+AJ342*参数!$B$6*参数!$B$2+Z342*参数!$B$13-T342*参数!$B$14-AD342*参数!$B$13+IF(ISNUMBER(AU342),AU342*参数!$B$38,0)-AV342*参数!$B$41-AW342*参数!$B$14&gt;参数!$B$17,参数!$B$17+SQRT(IF(AND(F342="能力",AL342="能力持续"),(参数!$B$2-1)*参数!$B$3,0)+M342*O342*参数!$B$5*IF(AND(F342="能力",AL342="能力持续"),参数!$B$2,1)+P342*参数!$B$6*IF(AND(F342="能力",AL342="能力持续"),参数!$B$2,1)+R342*参数!$B$7*IF(AND(F342="能力",AL342="能力持续"),参数!$B$2,1)+V342*参数!$B$8+IF(X342&lt;0,X342*参数!$B$13,X342*参数!$B$39)+IF(AE342&lt;0,AE342*参数!$B$13,AE342*参数!$B$12)*参数!$B$2+AQ342*参数!$B$15+AB342*参数!$B$11+AF342*参数!$B$40*参数!$B$2+AG342*参数!$B$44*参数!$B$2+AH342*参数!$B$6*参数!$B$2+AI342*参数!$B$39*参数!$B$2+AJ342*参数!$B$6*参数!$B$2+Z342*参数!$B$13-T342*参数!$B$14-AD342*参数!$B$13+IF(ISNUMBER(AU342),AU342*参数!$B$38,0)-AV342*参数!$B$41-AW342*参数!$B$14-参数!$B$17)*参数!$B$18,IF(AND(F342="能力",AL342="能力持续"),(参数!$B$2-1)*参数!$B$3,0)+M342*O342*参数!$B$5*IF(AND(F342="能力",AL342="能力持续"),参数!$B$2,1)+P342*参数!$B$6*IF(AND(F342="能力",AL342="能力持续"),参数!$B$2,1)+R342*参数!$B$7*IF(AND(F342="能力",AL342="能力持续"),参数!$B$2,1)+V342*参数!$B$8+IF(X342&lt;0,X342*参数!$B$13,X342*参数!$B$39)+IF(AE342&lt;0,AE342*参数!$B$13,AE342*参数!$B$12)*参数!$B$2+AQ342*参数!$B$15+AB342*参数!$B$11+AF342*参数!$B$40*参数!$B$2+AG342*参数!$B$44*参数!$B$2+AH342*参数!$B$6*参数!$B$2+AI342*参数!$B$39*参数!$B$2+AJ342*参数!$B$6*参数!$B$2+Z342*参数!$B$13-T342*参数!$B$14-AD342*参数!$B$13+IF(ISNUMBER(AU342),AU342*参数!$B$38,0)-AV342*参数!$B$41-AW342*参数!$B$14),0),0)</f>
        <v>13.387476937190865</v>
      </c>
      <c r="AZ342">
        <f>AY342-MAX(AP342,0)*参数!$B$10</f>
        <v>10.387476937190865</v>
      </c>
      <c r="BA342">
        <f t="shared" si="11"/>
        <v>13.387476937190865</v>
      </c>
    </row>
    <row r="343" spans="1:53" x14ac:dyDescent="0.3">
      <c r="A343">
        <v>342</v>
      </c>
      <c r="B343" t="s">
        <v>1483</v>
      </c>
      <c r="C343" t="s">
        <v>1401</v>
      </c>
      <c r="D343" t="s">
        <v>1484</v>
      </c>
      <c r="E343" t="s">
        <v>1485</v>
      </c>
      <c r="F343" t="s">
        <v>124</v>
      </c>
      <c r="G343" t="s">
        <v>14</v>
      </c>
      <c r="H343">
        <v>3</v>
      </c>
      <c r="I343">
        <v>2</v>
      </c>
      <c r="J343" t="s">
        <v>1486</v>
      </c>
      <c r="L343" t="s">
        <v>120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f>参数!$B$2</f>
        <v>4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t="s">
        <v>112</v>
      </c>
      <c r="AL343" t="s">
        <v>127</v>
      </c>
      <c r="AN343" t="s">
        <v>124</v>
      </c>
      <c r="AP343">
        <f t="shared" si="10"/>
        <v>0.4</v>
      </c>
      <c r="AQ343">
        <v>0</v>
      </c>
      <c r="AR343">
        <v>0</v>
      </c>
      <c r="AT343" t="s">
        <v>113</v>
      </c>
      <c r="AU343">
        <v>0</v>
      </c>
      <c r="AY343">
        <f>IFERROR(MAX(IF(IF(AND(F343="能力",AL343="能力持续"),(参数!$B$2-1)*参数!$B$3,0)+M343*O343*参数!$B$5*IF(AND(F343="能力",AL343="能力持续"),参数!$B$2,1)+P343*参数!$B$6*IF(AND(F343="能力",AL343="能力持续"),参数!$B$2,1)+R343*参数!$B$7*IF(AND(F343="能力",AL343="能力持续"),参数!$B$2,1)+V343*参数!$B$8+IF(X343&lt;0,X343*参数!$B$13,X343*参数!$B$39)+IF(AE343&lt;0,AE343*参数!$B$13,AE343*参数!$B$12)*参数!$B$2+AQ343*参数!$B$15+AB343*参数!$B$11+AF343*参数!$B$40*参数!$B$2+AG343*参数!$B$44*参数!$B$2+AH343*参数!$B$6*参数!$B$2+AI343*参数!$B$39*参数!$B$2+AJ343*参数!$B$6*参数!$B$2+Z343*参数!$B$13-T343*参数!$B$14-AD343*参数!$B$13+IF(ISNUMBER(AU343),AU343*参数!$B$38,0)-AV343*参数!$B$41-AW343*参数!$B$14&gt;参数!$B$17,参数!$B$17+SQRT(IF(AND(F343="能力",AL343="能力持续"),(参数!$B$2-1)*参数!$B$3,0)+M343*O343*参数!$B$5*IF(AND(F343="能力",AL343="能力持续"),参数!$B$2,1)+P343*参数!$B$6*IF(AND(F343="能力",AL343="能力持续"),参数!$B$2,1)+R343*参数!$B$7*IF(AND(F343="能力",AL343="能力持续"),参数!$B$2,1)+V343*参数!$B$8+IF(X343&lt;0,X343*参数!$B$13,X343*参数!$B$39)+IF(AE343&lt;0,AE343*参数!$B$13,AE343*参数!$B$12)*参数!$B$2+AQ343*参数!$B$15+AB343*参数!$B$11+AF343*参数!$B$40*参数!$B$2+AG343*参数!$B$44*参数!$B$2+AH343*参数!$B$6*参数!$B$2+AI343*参数!$B$39*参数!$B$2+AJ343*参数!$B$6*参数!$B$2+Z343*参数!$B$13-T343*参数!$B$14-AD343*参数!$B$13+IF(ISNUMBER(AU343),AU343*参数!$B$38,0)-AV343*参数!$B$41-AW343*参数!$B$14-参数!$B$17)*参数!$B$18,IF(AND(F343="能力",AL343="能力持续"),(参数!$B$2-1)*参数!$B$3,0)+M343*O343*参数!$B$5*IF(AND(F343="能力",AL343="能力持续"),参数!$B$2,1)+P343*参数!$B$6*IF(AND(F343="能力",AL343="能力持续"),参数!$B$2,1)+R343*参数!$B$7*IF(AND(F343="能力",AL343="能力持续"),参数!$B$2,1)+V343*参数!$B$8+IF(X343&lt;0,X343*参数!$B$13,X343*参数!$B$39)+IF(AE343&lt;0,AE343*参数!$B$13,AE343*参数!$B$12)*参数!$B$2+AQ343*参数!$B$15+AB343*参数!$B$11+AF343*参数!$B$40*参数!$B$2+AG343*参数!$B$44*参数!$B$2+AH343*参数!$B$6*参数!$B$2+AI343*参数!$B$39*参数!$B$2+AJ343*参数!$B$6*参数!$B$2+Z343*参数!$B$13-T343*参数!$B$14-AD343*参数!$B$13+IF(ISNUMBER(AU343),AU343*参数!$B$38,0)-AV343*参数!$B$41-AW343*参数!$B$14),0),0)</f>
        <v>14.347413023856831</v>
      </c>
      <c r="AZ343">
        <f>AY343-MAX(AP343,0)*参数!$B$10</f>
        <v>13.147413023856831</v>
      </c>
      <c r="BA343">
        <f t="shared" si="11"/>
        <v>35.868532559642077</v>
      </c>
    </row>
    <row r="344" spans="1:53" x14ac:dyDescent="0.3">
      <c r="A344">
        <v>343</v>
      </c>
      <c r="B344" t="s">
        <v>1487</v>
      </c>
      <c r="C344" t="s">
        <v>1401</v>
      </c>
      <c r="D344" t="s">
        <v>1488</v>
      </c>
      <c r="E344" t="s">
        <v>1489</v>
      </c>
      <c r="F344" t="s">
        <v>124</v>
      </c>
      <c r="G344" t="s">
        <v>14</v>
      </c>
      <c r="H344">
        <v>1</v>
      </c>
      <c r="I344">
        <v>1</v>
      </c>
      <c r="J344" t="s">
        <v>1490</v>
      </c>
      <c r="L344" t="s">
        <v>120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t="s">
        <v>112</v>
      </c>
      <c r="AL344" t="s">
        <v>127</v>
      </c>
      <c r="AN344" t="s">
        <v>124</v>
      </c>
      <c r="AP344">
        <f t="shared" si="10"/>
        <v>1</v>
      </c>
      <c r="AQ344">
        <v>0</v>
      </c>
      <c r="AR344">
        <v>0</v>
      </c>
      <c r="AT344" t="s">
        <v>113</v>
      </c>
      <c r="AU344">
        <f>参数!B28</f>
        <v>2.2999999999999998</v>
      </c>
      <c r="AY344">
        <f>IFERROR(MAX(IF(IF(AND(F344="能力",AL344="能力持续"),(参数!$B$2-1)*参数!$B$3,0)+M344*O344*参数!$B$5*IF(AND(F344="能力",AL344="能力持续"),参数!$B$2,1)+P344*参数!$B$6*IF(AND(F344="能力",AL344="能力持续"),参数!$B$2,1)+R344*参数!$B$7*IF(AND(F344="能力",AL344="能力持续"),参数!$B$2,1)+V344*参数!$B$8+IF(X344&lt;0,X344*参数!$B$13,X344*参数!$B$39)+IF(AE344&lt;0,AE344*参数!$B$13,AE344*参数!$B$12)*参数!$B$2+AQ344*参数!$B$15+AB344*参数!$B$11+AF344*参数!$B$40*参数!$B$2+AG344*参数!$B$44*参数!$B$2+AH344*参数!$B$6*参数!$B$2+AI344*参数!$B$39*参数!$B$2+AJ344*参数!$B$6*参数!$B$2+Z344*参数!$B$13-T344*参数!$B$14-AD344*参数!$B$13+IF(ISNUMBER(AU344),AU344*参数!$B$38,0)-AV344*参数!$B$41-AW344*参数!$B$14&gt;参数!$B$17,参数!$B$17+SQRT(IF(AND(F344="能力",AL344="能力持续"),(参数!$B$2-1)*参数!$B$3,0)+M344*O344*参数!$B$5*IF(AND(F344="能力",AL344="能力持续"),参数!$B$2,1)+P344*参数!$B$6*IF(AND(F344="能力",AL344="能力持续"),参数!$B$2,1)+R344*参数!$B$7*IF(AND(F344="能力",AL344="能力持续"),参数!$B$2,1)+V344*参数!$B$8+IF(X344&lt;0,X344*参数!$B$13,X344*参数!$B$39)+IF(AE344&lt;0,AE344*参数!$B$13,AE344*参数!$B$12)*参数!$B$2+AQ344*参数!$B$15+AB344*参数!$B$11+AF344*参数!$B$40*参数!$B$2+AG344*参数!$B$44*参数!$B$2+AH344*参数!$B$6*参数!$B$2+AI344*参数!$B$39*参数!$B$2+AJ344*参数!$B$6*参数!$B$2+Z344*参数!$B$13-T344*参数!$B$14-AD344*参数!$B$13+IF(ISNUMBER(AU344),AU344*参数!$B$38,0)-AV344*参数!$B$41-AW344*参数!$B$14-参数!$B$17)*参数!$B$18,IF(AND(F344="能力",AL344="能力持续"),(参数!$B$2-1)*参数!$B$3,0)+M344*O344*参数!$B$5*IF(AND(F344="能力",AL344="能力持续"),参数!$B$2,1)+P344*参数!$B$6*IF(AND(F344="能力",AL344="能力持续"),参数!$B$2,1)+R344*参数!$B$7*IF(AND(F344="能力",AL344="能力持续"),参数!$B$2,1)+V344*参数!$B$8+IF(X344&lt;0,X344*参数!$B$13,X344*参数!$B$39)+IF(AE344&lt;0,AE344*参数!$B$13,AE344*参数!$B$12)*参数!$B$2+AQ344*参数!$B$15+AB344*参数!$B$11+AF344*参数!$B$40*参数!$B$2+AG344*参数!$B$44*参数!$B$2+AH344*参数!$B$6*参数!$B$2+AI344*参数!$B$39*参数!$B$2+AJ344*参数!$B$6*参数!$B$2+Z344*参数!$B$13-T344*参数!$B$14-AD344*参数!$B$13+IF(ISNUMBER(AU344),AU344*参数!$B$38,0)-AV344*参数!$B$41-AW344*参数!$B$14),0),0)</f>
        <v>5.8999999999999995</v>
      </c>
      <c r="AZ344">
        <f>AY344-MAX(AP344,0)*参数!$B$10</f>
        <v>2.8999999999999995</v>
      </c>
      <c r="BA344">
        <f t="shared" si="11"/>
        <v>5.8999999999999995</v>
      </c>
    </row>
    <row r="345" spans="1:53" x14ac:dyDescent="0.3">
      <c r="A345">
        <v>344</v>
      </c>
      <c r="B345" t="s">
        <v>1491</v>
      </c>
      <c r="C345" t="s">
        <v>1401</v>
      </c>
      <c r="D345" t="s">
        <v>1492</v>
      </c>
      <c r="E345" t="s">
        <v>1493</v>
      </c>
      <c r="F345" t="s">
        <v>117</v>
      </c>
      <c r="G345" t="s">
        <v>12</v>
      </c>
      <c r="H345" t="s">
        <v>203</v>
      </c>
      <c r="I345" t="s">
        <v>203</v>
      </c>
      <c r="J345" t="s">
        <v>1494</v>
      </c>
      <c r="L345" t="s">
        <v>111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3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t="s">
        <v>112</v>
      </c>
      <c r="AP345">
        <f t="shared" si="10"/>
        <v>0.4</v>
      </c>
      <c r="AQ345">
        <v>0</v>
      </c>
      <c r="AR345">
        <v>0</v>
      </c>
      <c r="AT345" t="s">
        <v>113</v>
      </c>
      <c r="AU345" t="s">
        <v>1495</v>
      </c>
      <c r="AY345">
        <f>IFERROR(MAX(IF(IF(AND(F345="能力",AL345="能力持续"),(参数!$B$2-1)*参数!$B$3,0)+M345*O345*参数!$B$5*IF(AND(F345="能力",AL345="能力持续"),参数!$B$2,1)+P345*参数!$B$6*IF(AND(F345="能力",AL345="能力持续"),参数!$B$2,1)+R345*参数!$B$7*IF(AND(F345="能力",AL345="能力持续"),参数!$B$2,1)+V345*参数!$B$8+IF(X345&lt;0,X345*参数!$B$13,X345*参数!$B$39)+IF(AE345&lt;0,AE345*参数!$B$13,AE345*参数!$B$12)*参数!$B$2+AQ345*参数!$B$15+AB345*参数!$B$11+AF345*参数!$B$40*参数!$B$2+AG345*参数!$B$44*参数!$B$2+AH345*参数!$B$6*参数!$B$2+AI345*参数!$B$39*参数!$B$2+AJ345*参数!$B$6*参数!$B$2+Z345*参数!$B$13-T345*参数!$B$14-AD345*参数!$B$13+IF(ISNUMBER(AU345),AU345*参数!$B$38,0)-AV345*参数!$B$41-AW345*参数!$B$14&gt;参数!$B$17,参数!$B$17+SQRT(IF(AND(F345="能力",AL345="能力持续"),(参数!$B$2-1)*参数!$B$3,0)+M345*O345*参数!$B$5*IF(AND(F345="能力",AL345="能力持续"),参数!$B$2,1)+P345*参数!$B$6*IF(AND(F345="能力",AL345="能力持续"),参数!$B$2,1)+R345*参数!$B$7*IF(AND(F345="能力",AL345="能力持续"),参数!$B$2,1)+V345*参数!$B$8+IF(X345&lt;0,X345*参数!$B$13,X345*参数!$B$39)+IF(AE345&lt;0,AE345*参数!$B$13,AE345*参数!$B$12)*参数!$B$2+AQ345*参数!$B$15+AB345*参数!$B$11+AF345*参数!$B$40*参数!$B$2+AG345*参数!$B$44*参数!$B$2+AH345*参数!$B$6*参数!$B$2+AI345*参数!$B$39*参数!$B$2+AJ345*参数!$B$6*参数!$B$2+Z345*参数!$B$13-T345*参数!$B$14-AD345*参数!$B$13+IF(ISNUMBER(AU345),AU345*参数!$B$38,0)-AV345*参数!$B$41-AW345*参数!$B$14-参数!$B$17)*参数!$B$18,IF(AND(F345="能力",AL345="能力持续"),(参数!$B$2-1)*参数!$B$3,0)+M345*O345*参数!$B$5*IF(AND(F345="能力",AL345="能力持续"),参数!$B$2,1)+P345*参数!$B$6*IF(AND(F345="能力",AL345="能力持续"),参数!$B$2,1)+R345*参数!$B$7*IF(AND(F345="能力",AL345="能力持续"),参数!$B$2,1)+V345*参数!$B$8+IF(X345&lt;0,X345*参数!$B$13,X345*参数!$B$39)+IF(AE345&lt;0,AE345*参数!$B$13,AE345*参数!$B$12)*参数!$B$2+AQ345*参数!$B$15+AB345*参数!$B$11+AF345*参数!$B$40*参数!$B$2+AG345*参数!$B$44*参数!$B$2+AH345*参数!$B$6*参数!$B$2+AI345*参数!$B$39*参数!$B$2+AJ345*参数!$B$6*参数!$B$2+Z345*参数!$B$13-T345*参数!$B$14-AD345*参数!$B$13+IF(ISNUMBER(AU345),AU345*参数!$B$38,0)-AV345*参数!$B$41-AW345*参数!$B$14),0),0)</f>
        <v>2.0999999999999996</v>
      </c>
      <c r="AZ345">
        <f>AY345-MAX(AP345,0)*参数!$B$10</f>
        <v>0.89999999999999947</v>
      </c>
      <c r="BA345">
        <f t="shared" si="11"/>
        <v>5.2499999999999991</v>
      </c>
    </row>
    <row r="346" spans="1:53" x14ac:dyDescent="0.3">
      <c r="A346">
        <v>345</v>
      </c>
      <c r="B346" t="s">
        <v>1496</v>
      </c>
      <c r="C346" t="s">
        <v>1401</v>
      </c>
      <c r="D346" t="s">
        <v>1497</v>
      </c>
      <c r="E346" t="s">
        <v>1498</v>
      </c>
      <c r="F346" t="s">
        <v>108</v>
      </c>
      <c r="G346" t="s">
        <v>10</v>
      </c>
      <c r="H346">
        <v>1</v>
      </c>
      <c r="I346">
        <v>1</v>
      </c>
      <c r="J346" t="s">
        <v>1499</v>
      </c>
      <c r="L346" t="s">
        <v>111</v>
      </c>
      <c r="M346">
        <v>10</v>
      </c>
      <c r="N346">
        <v>12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t="s">
        <v>112</v>
      </c>
      <c r="AP346">
        <f t="shared" si="10"/>
        <v>1</v>
      </c>
      <c r="AQ346">
        <v>2</v>
      </c>
      <c r="AR346">
        <v>3</v>
      </c>
      <c r="AT346" t="s">
        <v>113</v>
      </c>
      <c r="AU346">
        <v>0</v>
      </c>
      <c r="AY346">
        <f>IFERROR(MAX(IF(IF(AND(F346="能力",AL346="能力持续"),(参数!$B$2-1)*参数!$B$3,0)+M346*O346*参数!$B$5*IF(AND(F346="能力",AL346="能力持续"),参数!$B$2,1)+P346*参数!$B$6*IF(AND(F346="能力",AL346="能力持续"),参数!$B$2,1)+R346*参数!$B$7*IF(AND(F346="能力",AL346="能力持续"),参数!$B$2,1)+V346*参数!$B$8+IF(X346&lt;0,X346*参数!$B$13,X346*参数!$B$39)+IF(AE346&lt;0,AE346*参数!$B$13,AE346*参数!$B$12)*参数!$B$2+AQ346*参数!$B$15+AB346*参数!$B$11+AF346*参数!$B$40*参数!$B$2+AG346*参数!$B$44*参数!$B$2+AH346*参数!$B$6*参数!$B$2+AI346*参数!$B$39*参数!$B$2+AJ346*参数!$B$6*参数!$B$2+Z346*参数!$B$13-T346*参数!$B$14-AD346*参数!$B$13+IF(ISNUMBER(AU346),AU346*参数!$B$38,0)-AV346*参数!$B$41-AW346*参数!$B$14&gt;参数!$B$17,参数!$B$17+SQRT(IF(AND(F346="能力",AL346="能力持续"),(参数!$B$2-1)*参数!$B$3,0)+M346*O346*参数!$B$5*IF(AND(F346="能力",AL346="能力持续"),参数!$B$2,1)+P346*参数!$B$6*IF(AND(F346="能力",AL346="能力持续"),参数!$B$2,1)+R346*参数!$B$7*IF(AND(F346="能力",AL346="能力持续"),参数!$B$2,1)+V346*参数!$B$8+IF(X346&lt;0,X346*参数!$B$13,X346*参数!$B$39)+IF(AE346&lt;0,AE346*参数!$B$13,AE346*参数!$B$12)*参数!$B$2+AQ346*参数!$B$15+AB346*参数!$B$11+AF346*参数!$B$40*参数!$B$2+AG346*参数!$B$44*参数!$B$2+AH346*参数!$B$6*参数!$B$2+AI346*参数!$B$39*参数!$B$2+AJ346*参数!$B$6*参数!$B$2+Z346*参数!$B$13-T346*参数!$B$14-AD346*参数!$B$13+IF(ISNUMBER(AU346),AU346*参数!$B$38,0)-AV346*参数!$B$41-AW346*参数!$B$14-参数!$B$17)*参数!$B$18,IF(AND(F346="能力",AL346="能力持续"),(参数!$B$2-1)*参数!$B$3,0)+M346*O346*参数!$B$5*IF(AND(F346="能力",AL346="能力持续"),参数!$B$2,1)+P346*参数!$B$6*IF(AND(F346="能力",AL346="能力持续"),参数!$B$2,1)+R346*参数!$B$7*IF(AND(F346="能力",AL346="能力持续"),参数!$B$2,1)+V346*参数!$B$8+IF(X346&lt;0,X346*参数!$B$13,X346*参数!$B$39)+IF(AE346&lt;0,AE346*参数!$B$13,AE346*参数!$B$12)*参数!$B$2+AQ346*参数!$B$15+AB346*参数!$B$11+AF346*参数!$B$40*参数!$B$2+AG346*参数!$B$44*参数!$B$2+AH346*参数!$B$6*参数!$B$2+AI346*参数!$B$39*参数!$B$2+AJ346*参数!$B$6*参数!$B$2+Z346*参数!$B$13-T346*参数!$B$14-AD346*参数!$B$13+IF(ISNUMBER(AU346),AU346*参数!$B$38,0)-AV346*参数!$B$41-AW346*参数!$B$14),0),0)</f>
        <v>13.674234614174766</v>
      </c>
      <c r="AZ346">
        <f>AY346-MAX(AP346,0)*参数!$B$10</f>
        <v>10.674234614174766</v>
      </c>
      <c r="BA346">
        <f t="shared" si="11"/>
        <v>13.674234614174766</v>
      </c>
    </row>
    <row r="347" spans="1:53" x14ac:dyDescent="0.3">
      <c r="A347">
        <v>346</v>
      </c>
      <c r="B347" t="s">
        <v>1500</v>
      </c>
      <c r="C347" t="s">
        <v>1401</v>
      </c>
      <c r="D347" t="s">
        <v>1501</v>
      </c>
      <c r="E347" t="s">
        <v>1502</v>
      </c>
      <c r="F347" t="s">
        <v>117</v>
      </c>
      <c r="G347" t="s">
        <v>12</v>
      </c>
      <c r="H347">
        <v>1</v>
      </c>
      <c r="I347">
        <v>1</v>
      </c>
      <c r="J347" t="s">
        <v>1503</v>
      </c>
      <c r="L347" t="s">
        <v>111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3</v>
      </c>
      <c r="S347">
        <v>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t="s">
        <v>112</v>
      </c>
      <c r="AP347">
        <f t="shared" si="10"/>
        <v>1</v>
      </c>
      <c r="AQ347">
        <v>0</v>
      </c>
      <c r="AR347">
        <v>0</v>
      </c>
      <c r="AT347" t="s">
        <v>113</v>
      </c>
      <c r="AU347">
        <v>0</v>
      </c>
      <c r="AY347">
        <f>IFERROR(MAX(IF(IF(AND(F347="能力",AL347="能力持续"),(参数!$B$2-1)*参数!$B$3,0)+M347*O347*参数!$B$5*IF(AND(F347="能力",AL347="能力持续"),参数!$B$2,1)+P347*参数!$B$6*IF(AND(F347="能力",AL347="能力持续"),参数!$B$2,1)+R347*参数!$B$7*IF(AND(F347="能力",AL347="能力持续"),参数!$B$2,1)+V347*参数!$B$8+IF(X347&lt;0,X347*参数!$B$13,X347*参数!$B$39)+IF(AE347&lt;0,AE347*参数!$B$13,AE347*参数!$B$12)*参数!$B$2+AQ347*参数!$B$15+AB347*参数!$B$11+AF347*参数!$B$40*参数!$B$2+AG347*参数!$B$44*参数!$B$2+AH347*参数!$B$6*参数!$B$2+AI347*参数!$B$39*参数!$B$2+AJ347*参数!$B$6*参数!$B$2+Z347*参数!$B$13-T347*参数!$B$14-AD347*参数!$B$13+IF(ISNUMBER(AU347),AU347*参数!$B$38,0)-AV347*参数!$B$41-AW347*参数!$B$14&gt;参数!$B$17,参数!$B$17+SQRT(IF(AND(F347="能力",AL347="能力持续"),(参数!$B$2-1)*参数!$B$3,0)+M347*O347*参数!$B$5*IF(AND(F347="能力",AL347="能力持续"),参数!$B$2,1)+P347*参数!$B$6*IF(AND(F347="能力",AL347="能力持续"),参数!$B$2,1)+R347*参数!$B$7*IF(AND(F347="能力",AL347="能力持续"),参数!$B$2,1)+V347*参数!$B$8+IF(X347&lt;0,X347*参数!$B$13,X347*参数!$B$39)+IF(AE347&lt;0,AE347*参数!$B$13,AE347*参数!$B$12)*参数!$B$2+AQ347*参数!$B$15+AB347*参数!$B$11+AF347*参数!$B$40*参数!$B$2+AG347*参数!$B$44*参数!$B$2+AH347*参数!$B$6*参数!$B$2+AI347*参数!$B$39*参数!$B$2+AJ347*参数!$B$6*参数!$B$2+Z347*参数!$B$13-T347*参数!$B$14-AD347*参数!$B$13+IF(ISNUMBER(AU347),AU347*参数!$B$38,0)-AV347*参数!$B$41-AW347*参数!$B$14-参数!$B$17)*参数!$B$18,IF(AND(F347="能力",AL347="能力持续"),(参数!$B$2-1)*参数!$B$3,0)+M347*O347*参数!$B$5*IF(AND(F347="能力",AL347="能力持续"),参数!$B$2,1)+P347*参数!$B$6*IF(AND(F347="能力",AL347="能力持续"),参数!$B$2,1)+R347*参数!$B$7*IF(AND(F347="能力",AL347="能力持续"),参数!$B$2,1)+V347*参数!$B$8+IF(X347&lt;0,X347*参数!$B$13,X347*参数!$B$39)+IF(AE347&lt;0,AE347*参数!$B$13,AE347*参数!$B$12)*参数!$B$2+AQ347*参数!$B$15+AB347*参数!$B$11+AF347*参数!$B$40*参数!$B$2+AG347*参数!$B$44*参数!$B$2+AH347*参数!$B$6*参数!$B$2+AI347*参数!$B$39*参数!$B$2+AJ347*参数!$B$6*参数!$B$2+Z347*参数!$B$13-T347*参数!$B$14-AD347*参数!$B$13+IF(ISNUMBER(AU347),AU347*参数!$B$38,0)-AV347*参数!$B$41-AW347*参数!$B$14),0),0)</f>
        <v>2.0999999999999996</v>
      </c>
      <c r="AZ347">
        <f>AY347-MAX(AP347,0)*参数!$B$10</f>
        <v>-0.90000000000000036</v>
      </c>
      <c r="BA347">
        <f t="shared" si="11"/>
        <v>2.0999999999999996</v>
      </c>
    </row>
    <row r="348" spans="1:53" x14ac:dyDescent="0.3">
      <c r="A348">
        <v>347</v>
      </c>
      <c r="B348" t="s">
        <v>1504</v>
      </c>
      <c r="C348" t="s">
        <v>1401</v>
      </c>
      <c r="D348" t="s">
        <v>1505</v>
      </c>
      <c r="E348" t="s">
        <v>1506</v>
      </c>
      <c r="F348" t="s">
        <v>117</v>
      </c>
      <c r="G348" t="s">
        <v>14</v>
      </c>
      <c r="H348">
        <v>2</v>
      </c>
      <c r="I348">
        <v>1</v>
      </c>
      <c r="J348" t="s">
        <v>1507</v>
      </c>
      <c r="L348" t="s">
        <v>111</v>
      </c>
      <c r="M348">
        <f>2*参数!$B$47</f>
        <v>16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112</v>
      </c>
      <c r="AO348" t="s">
        <v>182</v>
      </c>
      <c r="AP348">
        <f t="shared" si="10"/>
        <v>2</v>
      </c>
      <c r="AQ348">
        <v>0</v>
      </c>
      <c r="AR348">
        <v>0</v>
      </c>
      <c r="AT348" t="s">
        <v>113</v>
      </c>
      <c r="AU348">
        <v>0</v>
      </c>
      <c r="AY348">
        <f>IFERROR(MAX(IF(IF(AND(F348="能力",AL348="能力持续"),(参数!$B$2-1)*参数!$B$3,0)+M348*O348*参数!$B$5*IF(AND(F348="能力",AL348="能力持续"),参数!$B$2,1)+P348*参数!$B$6*IF(AND(F348="能力",AL348="能力持续"),参数!$B$2,1)+R348*参数!$B$7*IF(AND(F348="能力",AL348="能力持续"),参数!$B$2,1)+V348*参数!$B$8+IF(X348&lt;0,X348*参数!$B$13,X348*参数!$B$39)+IF(AE348&lt;0,AE348*参数!$B$13,AE348*参数!$B$12)*参数!$B$2+AQ348*参数!$B$15+AB348*参数!$B$11+AF348*参数!$B$40*参数!$B$2+AG348*参数!$B$44*参数!$B$2+AH348*参数!$B$6*参数!$B$2+AI348*参数!$B$39*参数!$B$2+AJ348*参数!$B$6*参数!$B$2+Z348*参数!$B$13-T348*参数!$B$14-AD348*参数!$B$13+IF(ISNUMBER(AU348),AU348*参数!$B$38,0)-AV348*参数!$B$41-AW348*参数!$B$14&gt;参数!$B$17,参数!$B$17+SQRT(IF(AND(F348="能力",AL348="能力持续"),(参数!$B$2-1)*参数!$B$3,0)+M348*O348*参数!$B$5*IF(AND(F348="能力",AL348="能力持续"),参数!$B$2,1)+P348*参数!$B$6*IF(AND(F348="能力",AL348="能力持续"),参数!$B$2,1)+R348*参数!$B$7*IF(AND(F348="能力",AL348="能力持续"),参数!$B$2,1)+V348*参数!$B$8+IF(X348&lt;0,X348*参数!$B$13,X348*参数!$B$39)+IF(AE348&lt;0,AE348*参数!$B$13,AE348*参数!$B$12)*参数!$B$2+AQ348*参数!$B$15+AB348*参数!$B$11+AF348*参数!$B$40*参数!$B$2+AG348*参数!$B$44*参数!$B$2+AH348*参数!$B$6*参数!$B$2+AI348*参数!$B$39*参数!$B$2+AJ348*参数!$B$6*参数!$B$2+Z348*参数!$B$13-T348*参数!$B$14-AD348*参数!$B$13+IF(ISNUMBER(AU348),AU348*参数!$B$38,0)-AV348*参数!$B$41-AW348*参数!$B$14-参数!$B$17)*参数!$B$18,IF(AND(F348="能力",AL348="能力持续"),(参数!$B$2-1)*参数!$B$3,0)+M348*O348*参数!$B$5*IF(AND(F348="能力",AL348="能力持续"),参数!$B$2,1)+P348*参数!$B$6*IF(AND(F348="能力",AL348="能力持续"),参数!$B$2,1)+R348*参数!$B$7*IF(AND(F348="能力",AL348="能力持续"),参数!$B$2,1)+V348*参数!$B$8+IF(X348&lt;0,X348*参数!$B$13,X348*参数!$B$39)+IF(AE348&lt;0,AE348*参数!$B$13,AE348*参数!$B$12)*参数!$B$2+AQ348*参数!$B$15+AB348*参数!$B$11+AF348*参数!$B$40*参数!$B$2+AG348*参数!$B$44*参数!$B$2+AH348*参数!$B$6*参数!$B$2+AI348*参数!$B$39*参数!$B$2+AJ348*参数!$B$6*参数!$B$2+Z348*参数!$B$13-T348*参数!$B$14-AD348*参数!$B$13+IF(ISNUMBER(AU348),AU348*参数!$B$38,0)-AV348*参数!$B$41-AW348*参数!$B$14),0),0)</f>
        <v>13.674234614174766</v>
      </c>
      <c r="AZ348">
        <f>AY348-MAX(AP348,0)*参数!$B$10</f>
        <v>7.6742346141747664</v>
      </c>
      <c r="BA348">
        <f t="shared" si="11"/>
        <v>6.8371173070873832</v>
      </c>
    </row>
    <row r="349" spans="1:53" x14ac:dyDescent="0.3">
      <c r="A349">
        <v>348</v>
      </c>
      <c r="B349" t="s">
        <v>1508</v>
      </c>
      <c r="C349" t="s">
        <v>1401</v>
      </c>
      <c r="D349" t="s">
        <v>1509</v>
      </c>
      <c r="E349" t="s">
        <v>1510</v>
      </c>
      <c r="F349" t="s">
        <v>117</v>
      </c>
      <c r="G349" t="s">
        <v>14</v>
      </c>
      <c r="H349">
        <v>3</v>
      </c>
      <c r="I349">
        <v>3</v>
      </c>
      <c r="J349" t="s">
        <v>1511</v>
      </c>
      <c r="L349" t="s">
        <v>191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29</v>
      </c>
      <c r="AH349">
        <v>0</v>
      </c>
      <c r="AI349">
        <v>0</v>
      </c>
      <c r="AJ349">
        <v>0</v>
      </c>
      <c r="AK349" t="s">
        <v>112</v>
      </c>
      <c r="AN349" t="s">
        <v>192</v>
      </c>
      <c r="AP349">
        <f t="shared" si="10"/>
        <v>3</v>
      </c>
      <c r="AQ349">
        <v>0</v>
      </c>
      <c r="AR349">
        <v>0</v>
      </c>
      <c r="AT349" t="s">
        <v>113</v>
      </c>
      <c r="AU349">
        <v>0</v>
      </c>
      <c r="AY349">
        <f>IFERROR(MAX(IF(IF(AND(F349="能力",AL349="能力持续"),(参数!$B$2-1)*参数!$B$3,0)+M349*O349*参数!$B$5*IF(AND(F349="能力",AL349="能力持续"),参数!$B$2,1)+P349*参数!$B$6*IF(AND(F349="能力",AL349="能力持续"),参数!$B$2,1)+R349*参数!$B$7*IF(AND(F349="能力",AL349="能力持续"),参数!$B$2,1)+V349*参数!$B$8+IF(X349&lt;0,X349*参数!$B$13,X349*参数!$B$39)+IF(AE349&lt;0,AE349*参数!$B$13,AE349*参数!$B$12)*参数!$B$2+AQ349*参数!$B$15+AB349*参数!$B$11+AF349*参数!$B$40*参数!$B$2+AG349*参数!$B$44*参数!$B$2+AH349*参数!$B$6*参数!$B$2+AI349*参数!$B$39*参数!$B$2+AJ349*参数!$B$6*参数!$B$2+Z349*参数!$B$13-T349*参数!$B$14-AD349*参数!$B$13+IF(ISNUMBER(AU349),AU349*参数!$B$38,0)-AV349*参数!$B$41-AW349*参数!$B$14&gt;参数!$B$17,参数!$B$17+SQRT(IF(AND(F349="能力",AL349="能力持续"),(参数!$B$2-1)*参数!$B$3,0)+M349*O349*参数!$B$5*IF(AND(F349="能力",AL349="能力持续"),参数!$B$2,1)+P349*参数!$B$6*IF(AND(F349="能力",AL349="能力持续"),参数!$B$2,1)+R349*参数!$B$7*IF(AND(F349="能力",AL349="能力持续"),参数!$B$2,1)+V349*参数!$B$8+IF(X349&lt;0,X349*参数!$B$13,X349*参数!$B$39)+IF(AE349&lt;0,AE349*参数!$B$13,AE349*参数!$B$12)*参数!$B$2+AQ349*参数!$B$15+AB349*参数!$B$11+AF349*参数!$B$40*参数!$B$2+AG349*参数!$B$44*参数!$B$2+AH349*参数!$B$6*参数!$B$2+AI349*参数!$B$39*参数!$B$2+AJ349*参数!$B$6*参数!$B$2+Z349*参数!$B$13-T349*参数!$B$14-AD349*参数!$B$13+IF(ISNUMBER(AU349),AU349*参数!$B$38,0)-AV349*参数!$B$41-AW349*参数!$B$14-参数!$B$17)*参数!$B$18,IF(AND(F349="能力",AL349="能力持续"),(参数!$B$2-1)*参数!$B$3,0)+M349*O349*参数!$B$5*IF(AND(F349="能力",AL349="能力持续"),参数!$B$2,1)+P349*参数!$B$6*IF(AND(F349="能力",AL349="能力持续"),参数!$B$2,1)+R349*参数!$B$7*IF(AND(F349="能力",AL349="能力持续"),参数!$B$2,1)+V349*参数!$B$8+IF(X349&lt;0,X349*参数!$B$13,X349*参数!$B$39)+IF(AE349&lt;0,AE349*参数!$B$13,AE349*参数!$B$12)*参数!$B$2+AQ349*参数!$B$15+AB349*参数!$B$11+AF349*参数!$B$40*参数!$B$2+AG349*参数!$B$44*参数!$B$2+AH349*参数!$B$6*参数!$B$2+AI349*参数!$B$39*参数!$B$2+AJ349*参数!$B$6*参数!$B$2+Z349*参数!$B$13-T349*参数!$B$14-AD349*参数!$B$13+IF(ISNUMBER(AU349),AU349*参数!$B$38,0)-AV349*参数!$B$41-AW349*参数!$B$14),0),0)</f>
        <v>22.657013865837392</v>
      </c>
      <c r="AZ349">
        <f>AY349-MAX(AP349,0)*参数!$B$10</f>
        <v>13.657013865837392</v>
      </c>
      <c r="BA349">
        <f t="shared" si="11"/>
        <v>7.552337955279131</v>
      </c>
    </row>
    <row r="350" spans="1:53" x14ac:dyDescent="0.3">
      <c r="A350">
        <v>349</v>
      </c>
      <c r="B350" t="s">
        <v>1512</v>
      </c>
      <c r="C350" t="s">
        <v>1401</v>
      </c>
      <c r="D350" t="s">
        <v>1513</v>
      </c>
      <c r="E350" t="s">
        <v>1514</v>
      </c>
      <c r="F350" t="s">
        <v>117</v>
      </c>
      <c r="G350" t="s">
        <v>12</v>
      </c>
      <c r="H350">
        <v>1</v>
      </c>
      <c r="I350">
        <v>1</v>
      </c>
      <c r="J350" t="s">
        <v>1515</v>
      </c>
      <c r="K350" t="s">
        <v>1516</v>
      </c>
      <c r="L350" t="s">
        <v>111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112</v>
      </c>
      <c r="AN350" t="s">
        <v>161</v>
      </c>
      <c r="AO350" t="s">
        <v>1516</v>
      </c>
      <c r="AP350">
        <f t="shared" si="10"/>
        <v>1</v>
      </c>
      <c r="AQ350">
        <f>4*参数!$B$12</f>
        <v>4.8</v>
      </c>
      <c r="AR350">
        <v>0</v>
      </c>
      <c r="AT350" t="s">
        <v>113</v>
      </c>
      <c r="AU350">
        <v>0</v>
      </c>
      <c r="AY350">
        <f>IFERROR(MAX(IF(IF(AND(F350="能力",AL350="能力持续"),(参数!$B$2-1)*参数!$B$3,0)+M350*O350*参数!$B$5*IF(AND(F350="能力",AL350="能力持续"),参数!$B$2,1)+P350*参数!$B$6*IF(AND(F350="能力",AL350="能力持续"),参数!$B$2,1)+R350*参数!$B$7*IF(AND(F350="能力",AL350="能力持续"),参数!$B$2,1)+V350*参数!$B$8+IF(X350&lt;0,X350*参数!$B$13,X350*参数!$B$39)+IF(AE350&lt;0,AE350*参数!$B$13,AE350*参数!$B$12)*参数!$B$2+AQ350*参数!$B$15+AB350*参数!$B$11+AF350*参数!$B$40*参数!$B$2+AG350*参数!$B$44*参数!$B$2+AH350*参数!$B$6*参数!$B$2+AI350*参数!$B$39*参数!$B$2+AJ350*参数!$B$6*参数!$B$2+Z350*参数!$B$13-T350*参数!$B$14-AD350*参数!$B$13+IF(ISNUMBER(AU350),AU350*参数!$B$38,0)-AV350*参数!$B$41-AW350*参数!$B$14&gt;参数!$B$17,参数!$B$17+SQRT(IF(AND(F350="能力",AL350="能力持续"),(参数!$B$2-1)*参数!$B$3,0)+M350*O350*参数!$B$5*IF(AND(F350="能力",AL350="能力持续"),参数!$B$2,1)+P350*参数!$B$6*IF(AND(F350="能力",AL350="能力持续"),参数!$B$2,1)+R350*参数!$B$7*IF(AND(F350="能力",AL350="能力持续"),参数!$B$2,1)+V350*参数!$B$8+IF(X350&lt;0,X350*参数!$B$13,X350*参数!$B$39)+IF(AE350&lt;0,AE350*参数!$B$13,AE350*参数!$B$12)*参数!$B$2+AQ350*参数!$B$15+AB350*参数!$B$11+AF350*参数!$B$40*参数!$B$2+AG350*参数!$B$44*参数!$B$2+AH350*参数!$B$6*参数!$B$2+AI350*参数!$B$39*参数!$B$2+AJ350*参数!$B$6*参数!$B$2+Z350*参数!$B$13-T350*参数!$B$14-AD350*参数!$B$13+IF(ISNUMBER(AU350),AU350*参数!$B$38,0)-AV350*参数!$B$41-AW350*参数!$B$14-参数!$B$17)*参数!$B$18,IF(AND(F350="能力",AL350="能力持续"),(参数!$B$2-1)*参数!$B$3,0)+M350*O350*参数!$B$5*IF(AND(F350="能力",AL350="能力持续"),参数!$B$2,1)+P350*参数!$B$6*IF(AND(F350="能力",AL350="能力持续"),参数!$B$2,1)+R350*参数!$B$7*IF(AND(F350="能力",AL350="能力持续"),参数!$B$2,1)+V350*参数!$B$8+IF(X350&lt;0,X350*参数!$B$13,X350*参数!$B$39)+IF(AE350&lt;0,AE350*参数!$B$13,AE350*参数!$B$12)*参数!$B$2+AQ350*参数!$B$15+AB350*参数!$B$11+AF350*参数!$B$40*参数!$B$2+AG350*参数!$B$44*参数!$B$2+AH350*参数!$B$6*参数!$B$2+AI350*参数!$B$39*参数!$B$2+AJ350*参数!$B$6*参数!$B$2+Z350*参数!$B$13-T350*参数!$B$14-AD350*参数!$B$13+IF(ISNUMBER(AU350),AU350*参数!$B$38,0)-AV350*参数!$B$41-AW350*参数!$B$14),0),0)</f>
        <v>13.146426544510454</v>
      </c>
      <c r="AZ350">
        <f>AY350-MAX(AP350,0)*参数!$B$10</f>
        <v>10.146426544510454</v>
      </c>
      <c r="BA350">
        <f t="shared" si="11"/>
        <v>13.146426544510454</v>
      </c>
    </row>
    <row r="351" spans="1:53" x14ac:dyDescent="0.3">
      <c r="A351">
        <v>350</v>
      </c>
      <c r="B351" t="s">
        <v>1517</v>
      </c>
      <c r="C351" t="s">
        <v>1401</v>
      </c>
      <c r="D351" t="s">
        <v>1518</v>
      </c>
      <c r="E351" t="s">
        <v>1519</v>
      </c>
      <c r="F351" t="s">
        <v>108</v>
      </c>
      <c r="G351" t="s">
        <v>14</v>
      </c>
      <c r="H351" t="s">
        <v>203</v>
      </c>
      <c r="I351" t="s">
        <v>203</v>
      </c>
      <c r="J351" t="s">
        <v>1520</v>
      </c>
      <c r="L351" t="s">
        <v>111</v>
      </c>
      <c r="M351">
        <v>11</v>
      </c>
      <c r="N351">
        <v>14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t="s">
        <v>112</v>
      </c>
      <c r="AP351">
        <f t="shared" si="10"/>
        <v>0.4</v>
      </c>
      <c r="AQ351">
        <v>0</v>
      </c>
      <c r="AR351">
        <v>0</v>
      </c>
      <c r="AT351" t="s">
        <v>113</v>
      </c>
      <c r="AU351">
        <v>0</v>
      </c>
      <c r="AY351">
        <f>IFERROR(MAX(IF(IF(AND(F351="能力",AL351="能力持续"),(参数!$B$2-1)*参数!$B$3,0)+M351*O351*参数!$B$5*IF(AND(F351="能力",AL351="能力持续"),参数!$B$2,1)+P351*参数!$B$6*IF(AND(F351="能力",AL351="能力持续"),参数!$B$2,1)+R351*参数!$B$7*IF(AND(F351="能力",AL351="能力持续"),参数!$B$2,1)+V351*参数!$B$8+IF(X351&lt;0,X351*参数!$B$13,X351*参数!$B$39)+IF(AE351&lt;0,AE351*参数!$B$13,AE351*参数!$B$12)*参数!$B$2+AQ351*参数!$B$15+AB351*参数!$B$11+AF351*参数!$B$40*参数!$B$2+AG351*参数!$B$44*参数!$B$2+AH351*参数!$B$6*参数!$B$2+AI351*参数!$B$39*参数!$B$2+AJ351*参数!$B$6*参数!$B$2+Z351*参数!$B$13-T351*参数!$B$14-AD351*参数!$B$13+IF(ISNUMBER(AU351),AU351*参数!$B$38,0)-AV351*参数!$B$41-AW351*参数!$B$14&gt;参数!$B$17,参数!$B$17+SQRT(IF(AND(F351="能力",AL351="能力持续"),(参数!$B$2-1)*参数!$B$3,0)+M351*O351*参数!$B$5*IF(AND(F351="能力",AL351="能力持续"),参数!$B$2,1)+P351*参数!$B$6*IF(AND(F351="能力",AL351="能力持续"),参数!$B$2,1)+R351*参数!$B$7*IF(AND(F351="能力",AL351="能力持续"),参数!$B$2,1)+V351*参数!$B$8+IF(X351&lt;0,X351*参数!$B$13,X351*参数!$B$39)+IF(AE351&lt;0,AE351*参数!$B$13,AE351*参数!$B$12)*参数!$B$2+AQ351*参数!$B$15+AB351*参数!$B$11+AF351*参数!$B$40*参数!$B$2+AG351*参数!$B$44*参数!$B$2+AH351*参数!$B$6*参数!$B$2+AI351*参数!$B$39*参数!$B$2+AJ351*参数!$B$6*参数!$B$2+Z351*参数!$B$13-T351*参数!$B$14-AD351*参数!$B$13+IF(ISNUMBER(AU351),AU351*参数!$B$38,0)-AV351*参数!$B$41-AW351*参数!$B$14-参数!$B$17)*参数!$B$18,IF(AND(F351="能力",AL351="能力持续"),(参数!$B$2-1)*参数!$B$3,0)+M351*O351*参数!$B$5*IF(AND(F351="能力",AL351="能力持续"),参数!$B$2,1)+P351*参数!$B$6*IF(AND(F351="能力",AL351="能力持续"),参数!$B$2,1)+R351*参数!$B$7*IF(AND(F351="能力",AL351="能力持续"),参数!$B$2,1)+V351*参数!$B$8+IF(X351&lt;0,X351*参数!$B$13,X351*参数!$B$39)+IF(AE351&lt;0,AE351*参数!$B$13,AE351*参数!$B$12)*参数!$B$2+AQ351*参数!$B$15+AB351*参数!$B$11+AF351*参数!$B$40*参数!$B$2+AG351*参数!$B$44*参数!$B$2+AH351*参数!$B$6*参数!$B$2+AI351*参数!$B$39*参数!$B$2+AJ351*参数!$B$6*参数!$B$2+Z351*参数!$B$13-T351*参数!$B$14-AD351*参数!$B$13+IF(ISNUMBER(AU351),AU351*参数!$B$38,0)-AV351*参数!$B$41-AW351*参数!$B$14),0),0)</f>
        <v>11.5</v>
      </c>
      <c r="AZ351">
        <f>AY351-MAX(AP351,0)*参数!$B$10</f>
        <v>10.3</v>
      </c>
      <c r="BA351">
        <f t="shared" si="11"/>
        <v>28.75</v>
      </c>
    </row>
    <row r="352" spans="1:53" x14ac:dyDescent="0.3">
      <c r="A352">
        <v>351</v>
      </c>
      <c r="B352" t="s">
        <v>1521</v>
      </c>
      <c r="C352" t="s">
        <v>1401</v>
      </c>
      <c r="D352" t="s">
        <v>1522</v>
      </c>
      <c r="E352" t="s">
        <v>1523</v>
      </c>
      <c r="F352" t="s">
        <v>108</v>
      </c>
      <c r="G352" t="s">
        <v>10</v>
      </c>
      <c r="H352">
        <v>1</v>
      </c>
      <c r="I352">
        <v>1</v>
      </c>
      <c r="J352" t="s">
        <v>1524</v>
      </c>
      <c r="L352" t="s">
        <v>111</v>
      </c>
      <c r="M352">
        <v>7</v>
      </c>
      <c r="N352">
        <v>8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t="s">
        <v>112</v>
      </c>
      <c r="AP352">
        <f t="shared" si="10"/>
        <v>1</v>
      </c>
      <c r="AQ352">
        <v>0</v>
      </c>
      <c r="AR352">
        <v>0</v>
      </c>
      <c r="AT352" t="s">
        <v>113</v>
      </c>
      <c r="AU352">
        <v>0</v>
      </c>
      <c r="AY352">
        <f>IFERROR(MAX(IF(IF(AND(F352="能力",AL352="能力持续"),(参数!$B$2-1)*参数!$B$3,0)+M352*O352*参数!$B$5*IF(AND(F352="能力",AL352="能力持续"),参数!$B$2,1)+P352*参数!$B$6*IF(AND(F352="能力",AL352="能力持续"),参数!$B$2,1)+R352*参数!$B$7*IF(AND(F352="能力",AL352="能力持续"),参数!$B$2,1)+V352*参数!$B$8+IF(X352&lt;0,X352*参数!$B$13,X352*参数!$B$39)+IF(AE352&lt;0,AE352*参数!$B$13,AE352*参数!$B$12)*参数!$B$2+AQ352*参数!$B$15+AB352*参数!$B$11+AF352*参数!$B$40*参数!$B$2+AG352*参数!$B$44*参数!$B$2+AH352*参数!$B$6*参数!$B$2+AI352*参数!$B$39*参数!$B$2+AJ352*参数!$B$6*参数!$B$2+Z352*参数!$B$13-T352*参数!$B$14-AD352*参数!$B$13+IF(ISNUMBER(AU352),AU352*参数!$B$38,0)-AV352*参数!$B$41-AW352*参数!$B$14&gt;参数!$B$17,参数!$B$17+SQRT(IF(AND(F352="能力",AL352="能力持续"),(参数!$B$2-1)*参数!$B$3,0)+M352*O352*参数!$B$5*IF(AND(F352="能力",AL352="能力持续"),参数!$B$2,1)+P352*参数!$B$6*IF(AND(F352="能力",AL352="能力持续"),参数!$B$2,1)+R352*参数!$B$7*IF(AND(F352="能力",AL352="能力持续"),参数!$B$2,1)+V352*参数!$B$8+IF(X352&lt;0,X352*参数!$B$13,X352*参数!$B$39)+IF(AE352&lt;0,AE352*参数!$B$13,AE352*参数!$B$12)*参数!$B$2+AQ352*参数!$B$15+AB352*参数!$B$11+AF352*参数!$B$40*参数!$B$2+AG352*参数!$B$44*参数!$B$2+AH352*参数!$B$6*参数!$B$2+AI352*参数!$B$39*参数!$B$2+AJ352*参数!$B$6*参数!$B$2+Z352*参数!$B$13-T352*参数!$B$14-AD352*参数!$B$13+IF(ISNUMBER(AU352),AU352*参数!$B$38,0)-AV352*参数!$B$41-AW352*参数!$B$14-参数!$B$17)*参数!$B$18,IF(AND(F352="能力",AL352="能力持续"),(参数!$B$2-1)*参数!$B$3,0)+M352*O352*参数!$B$5*IF(AND(F352="能力",AL352="能力持续"),参数!$B$2,1)+P352*参数!$B$6*IF(AND(F352="能力",AL352="能力持续"),参数!$B$2,1)+R352*参数!$B$7*IF(AND(F352="能力",AL352="能力持续"),参数!$B$2,1)+V352*参数!$B$8+IF(X352&lt;0,X352*参数!$B$13,X352*参数!$B$39)+IF(AE352&lt;0,AE352*参数!$B$13,AE352*参数!$B$12)*参数!$B$2+AQ352*参数!$B$15+AB352*参数!$B$11+AF352*参数!$B$40*参数!$B$2+AG352*参数!$B$44*参数!$B$2+AH352*参数!$B$6*参数!$B$2+AI352*参数!$B$39*参数!$B$2+AJ352*参数!$B$6*参数!$B$2+Z352*参数!$B$13-T352*参数!$B$14-AD352*参数!$B$13+IF(ISNUMBER(AU352),AU352*参数!$B$38,0)-AV352*参数!$B$41-AW352*参数!$B$14),0),0)</f>
        <v>8.3000000000000007</v>
      </c>
      <c r="AZ352">
        <f>AY352-MAX(AP352,0)*参数!$B$10</f>
        <v>5.3000000000000007</v>
      </c>
      <c r="BA352">
        <f t="shared" si="11"/>
        <v>8.3000000000000007</v>
      </c>
    </row>
    <row r="353" spans="1:53" x14ac:dyDescent="0.3">
      <c r="A353">
        <v>352</v>
      </c>
      <c r="B353" t="s">
        <v>1525</v>
      </c>
      <c r="C353" t="s">
        <v>1401</v>
      </c>
      <c r="D353" t="s">
        <v>1526</v>
      </c>
      <c r="E353" t="s">
        <v>1527</v>
      </c>
      <c r="F353" t="s">
        <v>108</v>
      </c>
      <c r="G353" t="s">
        <v>12</v>
      </c>
      <c r="H353">
        <v>0</v>
      </c>
      <c r="I353">
        <v>0</v>
      </c>
      <c r="J353" t="s">
        <v>1528</v>
      </c>
      <c r="L353" t="s">
        <v>111</v>
      </c>
      <c r="M353">
        <v>3</v>
      </c>
      <c r="N353">
        <v>6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t="s">
        <v>112</v>
      </c>
      <c r="AN353" t="s">
        <v>161</v>
      </c>
      <c r="AP353">
        <f t="shared" si="10"/>
        <v>0.4</v>
      </c>
      <c r="AQ353">
        <v>0</v>
      </c>
      <c r="AR353">
        <v>0</v>
      </c>
      <c r="AT353" t="s">
        <v>113</v>
      </c>
      <c r="AU353">
        <v>0</v>
      </c>
      <c r="AY353">
        <f>IFERROR(MAX(IF(IF(AND(F353="能力",AL353="能力持续"),(参数!$B$2-1)*参数!$B$3,0)+M353*O353*参数!$B$5*IF(AND(F353="能力",AL353="能力持续"),参数!$B$2,1)+P353*参数!$B$6*IF(AND(F353="能力",AL353="能力持续"),参数!$B$2,1)+R353*参数!$B$7*IF(AND(F353="能力",AL353="能力持续"),参数!$B$2,1)+V353*参数!$B$8+IF(X353&lt;0,X353*参数!$B$13,X353*参数!$B$39)+IF(AE353&lt;0,AE353*参数!$B$13,AE353*参数!$B$12)*参数!$B$2+AQ353*参数!$B$15+AB353*参数!$B$11+AF353*参数!$B$40*参数!$B$2+AG353*参数!$B$44*参数!$B$2+AH353*参数!$B$6*参数!$B$2+AI353*参数!$B$39*参数!$B$2+AJ353*参数!$B$6*参数!$B$2+Z353*参数!$B$13-T353*参数!$B$14-AD353*参数!$B$13+IF(ISNUMBER(AU353),AU353*参数!$B$38,0)-AV353*参数!$B$41-AW353*参数!$B$14&gt;参数!$B$17,参数!$B$17+SQRT(IF(AND(F353="能力",AL353="能力持续"),(参数!$B$2-1)*参数!$B$3,0)+M353*O353*参数!$B$5*IF(AND(F353="能力",AL353="能力持续"),参数!$B$2,1)+P353*参数!$B$6*IF(AND(F353="能力",AL353="能力持续"),参数!$B$2,1)+R353*参数!$B$7*IF(AND(F353="能力",AL353="能力持续"),参数!$B$2,1)+V353*参数!$B$8+IF(X353&lt;0,X353*参数!$B$13,X353*参数!$B$39)+IF(AE353&lt;0,AE353*参数!$B$13,AE353*参数!$B$12)*参数!$B$2+AQ353*参数!$B$15+AB353*参数!$B$11+AF353*参数!$B$40*参数!$B$2+AG353*参数!$B$44*参数!$B$2+AH353*参数!$B$6*参数!$B$2+AI353*参数!$B$39*参数!$B$2+AJ353*参数!$B$6*参数!$B$2+Z353*参数!$B$13-T353*参数!$B$14-AD353*参数!$B$13+IF(ISNUMBER(AU353),AU353*参数!$B$38,0)-AV353*参数!$B$41-AW353*参数!$B$14-参数!$B$17)*参数!$B$18,IF(AND(F353="能力",AL353="能力持续"),(参数!$B$2-1)*参数!$B$3,0)+M353*O353*参数!$B$5*IF(AND(F353="能力",AL353="能力持续"),参数!$B$2,1)+P353*参数!$B$6*IF(AND(F353="能力",AL353="能力持续"),参数!$B$2,1)+R353*参数!$B$7*IF(AND(F353="能力",AL353="能力持续"),参数!$B$2,1)+V353*参数!$B$8+IF(X353&lt;0,X353*参数!$B$13,X353*参数!$B$39)+IF(AE353&lt;0,AE353*参数!$B$13,AE353*参数!$B$12)*参数!$B$2+AQ353*参数!$B$15+AB353*参数!$B$11+AF353*参数!$B$40*参数!$B$2+AG353*参数!$B$44*参数!$B$2+AH353*参数!$B$6*参数!$B$2+AI353*参数!$B$39*参数!$B$2+AJ353*参数!$B$6*参数!$B$2+Z353*参数!$B$13-T353*参数!$B$14-AD353*参数!$B$13+IF(ISNUMBER(AU353),AU353*参数!$B$38,0)-AV353*参数!$B$41-AW353*参数!$B$14),0),0)</f>
        <v>3.7</v>
      </c>
      <c r="AZ353">
        <f>AY353-MAX(AP353,0)*参数!$B$10</f>
        <v>2.5</v>
      </c>
      <c r="BA353">
        <f t="shared" si="11"/>
        <v>9.25</v>
      </c>
    </row>
    <row r="354" spans="1:53" x14ac:dyDescent="0.3">
      <c r="A354">
        <v>353</v>
      </c>
      <c r="B354" t="s">
        <v>1529</v>
      </c>
      <c r="C354" t="s">
        <v>1401</v>
      </c>
      <c r="D354" t="s">
        <v>1530</v>
      </c>
      <c r="E354" t="s">
        <v>1531</v>
      </c>
      <c r="F354" t="s">
        <v>108</v>
      </c>
      <c r="G354" t="s">
        <v>10</v>
      </c>
      <c r="H354">
        <v>2</v>
      </c>
      <c r="I354">
        <v>2</v>
      </c>
      <c r="J354" t="s">
        <v>1532</v>
      </c>
      <c r="L354" t="s">
        <v>111</v>
      </c>
      <c r="M354">
        <v>12</v>
      </c>
      <c r="N354">
        <v>16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112</v>
      </c>
      <c r="AN354" t="s">
        <v>161</v>
      </c>
      <c r="AP354">
        <f t="shared" si="10"/>
        <v>2</v>
      </c>
      <c r="AQ354">
        <v>0</v>
      </c>
      <c r="AR354">
        <v>0</v>
      </c>
      <c r="AT354" t="s">
        <v>113</v>
      </c>
      <c r="AU354">
        <v>0</v>
      </c>
      <c r="AY354">
        <f>IFERROR(MAX(IF(IF(AND(F354="能力",AL354="能力持续"),(参数!$B$2-1)*参数!$B$3,0)+M354*O354*参数!$B$5*IF(AND(F354="能力",AL354="能力持续"),参数!$B$2,1)+P354*参数!$B$6*IF(AND(F354="能力",AL354="能力持续"),参数!$B$2,1)+R354*参数!$B$7*IF(AND(F354="能力",AL354="能力持续"),参数!$B$2,1)+V354*参数!$B$8+IF(X354&lt;0,X354*参数!$B$13,X354*参数!$B$39)+IF(AE354&lt;0,AE354*参数!$B$13,AE354*参数!$B$12)*参数!$B$2+AQ354*参数!$B$15+AB354*参数!$B$11+AF354*参数!$B$40*参数!$B$2+AG354*参数!$B$44*参数!$B$2+AH354*参数!$B$6*参数!$B$2+AI354*参数!$B$39*参数!$B$2+AJ354*参数!$B$6*参数!$B$2+Z354*参数!$B$13-T354*参数!$B$14-AD354*参数!$B$13+IF(ISNUMBER(AU354),AU354*参数!$B$38,0)-AV354*参数!$B$41-AW354*参数!$B$14&gt;参数!$B$17,参数!$B$17+SQRT(IF(AND(F354="能力",AL354="能力持续"),(参数!$B$2-1)*参数!$B$3,0)+M354*O354*参数!$B$5*IF(AND(F354="能力",AL354="能力持续"),参数!$B$2,1)+P354*参数!$B$6*IF(AND(F354="能力",AL354="能力持续"),参数!$B$2,1)+R354*参数!$B$7*IF(AND(F354="能力",AL354="能力持续"),参数!$B$2,1)+V354*参数!$B$8+IF(X354&lt;0,X354*参数!$B$13,X354*参数!$B$39)+IF(AE354&lt;0,AE354*参数!$B$13,AE354*参数!$B$12)*参数!$B$2+AQ354*参数!$B$15+AB354*参数!$B$11+AF354*参数!$B$40*参数!$B$2+AG354*参数!$B$44*参数!$B$2+AH354*参数!$B$6*参数!$B$2+AI354*参数!$B$39*参数!$B$2+AJ354*参数!$B$6*参数!$B$2+Z354*参数!$B$13-T354*参数!$B$14-AD354*参数!$B$13+IF(ISNUMBER(AU354),AU354*参数!$B$38,0)-AV354*参数!$B$41-AW354*参数!$B$14-参数!$B$17)*参数!$B$18,IF(AND(F354="能力",AL354="能力持续"),(参数!$B$2-1)*参数!$B$3,0)+M354*O354*参数!$B$5*IF(AND(F354="能力",AL354="能力持续"),参数!$B$2,1)+P354*参数!$B$6*IF(AND(F354="能力",AL354="能力持续"),参数!$B$2,1)+R354*参数!$B$7*IF(AND(F354="能力",AL354="能力持续"),参数!$B$2,1)+V354*参数!$B$8+IF(X354&lt;0,X354*参数!$B$13,X354*参数!$B$39)+IF(AE354&lt;0,AE354*参数!$B$13,AE354*参数!$B$12)*参数!$B$2+AQ354*参数!$B$15+AB354*参数!$B$11+AF354*参数!$B$40*参数!$B$2+AG354*参数!$B$44*参数!$B$2+AH354*参数!$B$6*参数!$B$2+AI354*参数!$B$39*参数!$B$2+AJ354*参数!$B$6*参数!$B$2+Z354*参数!$B$13-T354*参数!$B$14-AD354*参数!$B$13+IF(ISNUMBER(AU354),AU354*参数!$B$38,0)-AV354*参数!$B$41-AW354*参数!$B$14),0),0)</f>
        <v>12.121320343559642</v>
      </c>
      <c r="AZ354">
        <f>AY354-MAX(AP354,0)*参数!$B$10</f>
        <v>6.1213203435596419</v>
      </c>
      <c r="BA354">
        <f t="shared" si="11"/>
        <v>6.060660171779821</v>
      </c>
    </row>
    <row r="355" spans="1:53" x14ac:dyDescent="0.3">
      <c r="A355">
        <v>354</v>
      </c>
      <c r="B355" t="s">
        <v>1533</v>
      </c>
      <c r="C355" t="s">
        <v>1401</v>
      </c>
      <c r="D355" t="s">
        <v>1534</v>
      </c>
      <c r="E355" t="s">
        <v>1535</v>
      </c>
      <c r="F355" t="s">
        <v>124</v>
      </c>
      <c r="G355" t="s">
        <v>16</v>
      </c>
      <c r="H355">
        <v>2</v>
      </c>
      <c r="I355">
        <v>1</v>
      </c>
      <c r="J355" t="s">
        <v>1536</v>
      </c>
      <c r="L355" t="s">
        <v>120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112</v>
      </c>
      <c r="AN355" t="s">
        <v>124</v>
      </c>
      <c r="AP355">
        <f t="shared" si="10"/>
        <v>2</v>
      </c>
      <c r="AQ355">
        <v>0</v>
      </c>
      <c r="AR355">
        <v>0</v>
      </c>
      <c r="AT355" t="s">
        <v>113</v>
      </c>
      <c r="AU355">
        <v>0</v>
      </c>
      <c r="AY355">
        <f>IFERROR(MAX(IF(IF(AND(F355="能力",AL355="能力持续"),(参数!$B$2-1)*参数!$B$3,0)+M355*O355*参数!$B$5*IF(AND(F355="能力",AL355="能力持续"),参数!$B$2,1)+P355*参数!$B$6*IF(AND(F355="能力",AL355="能力持续"),参数!$B$2,1)+R355*参数!$B$7*IF(AND(F355="能力",AL355="能力持续"),参数!$B$2,1)+V355*参数!$B$8+IF(X355&lt;0,X355*参数!$B$13,X355*参数!$B$39)+IF(AE355&lt;0,AE355*参数!$B$13,AE355*参数!$B$12)*参数!$B$2+AQ355*参数!$B$15+AB355*参数!$B$11+AF355*参数!$B$40*参数!$B$2+AG355*参数!$B$44*参数!$B$2+AH355*参数!$B$6*参数!$B$2+AI355*参数!$B$39*参数!$B$2+AJ355*参数!$B$6*参数!$B$2+Z355*参数!$B$13-T355*参数!$B$14-AD355*参数!$B$13+IF(ISNUMBER(AU355),AU355*参数!$B$38,0)-AV355*参数!$B$41-AW355*参数!$B$14&gt;参数!$B$17,参数!$B$17+SQRT(IF(AND(F355="能力",AL355="能力持续"),(参数!$B$2-1)*参数!$B$3,0)+M355*O355*参数!$B$5*IF(AND(F355="能力",AL355="能力持续"),参数!$B$2,1)+P355*参数!$B$6*IF(AND(F355="能力",AL355="能力持续"),参数!$B$2,1)+R355*参数!$B$7*IF(AND(F355="能力",AL355="能力持续"),参数!$B$2,1)+V355*参数!$B$8+IF(X355&lt;0,X355*参数!$B$13,X355*参数!$B$39)+IF(AE355&lt;0,AE355*参数!$B$13,AE355*参数!$B$12)*参数!$B$2+AQ355*参数!$B$15+AB355*参数!$B$11+AF355*参数!$B$40*参数!$B$2+AG355*参数!$B$44*参数!$B$2+AH355*参数!$B$6*参数!$B$2+AI355*参数!$B$39*参数!$B$2+AJ355*参数!$B$6*参数!$B$2+Z355*参数!$B$13-T355*参数!$B$14-AD355*参数!$B$13+IF(ISNUMBER(AU355),AU355*参数!$B$38,0)-AV355*参数!$B$41-AW355*参数!$B$14-参数!$B$17)*参数!$B$18,IF(AND(F355="能力",AL355="能力持续"),(参数!$B$2-1)*参数!$B$3,0)+M355*O355*参数!$B$5*IF(AND(F355="能力",AL355="能力持续"),参数!$B$2,1)+P355*参数!$B$6*IF(AND(F355="能力",AL355="能力持续"),参数!$B$2,1)+R355*参数!$B$7*IF(AND(F355="能力",AL355="能力持续"),参数!$B$2,1)+V355*参数!$B$8+IF(X355&lt;0,X355*参数!$B$13,X355*参数!$B$39)+IF(AE355&lt;0,AE355*参数!$B$13,AE355*参数!$B$12)*参数!$B$2+AQ355*参数!$B$15+AB355*参数!$B$11+AF355*参数!$B$40*参数!$B$2+AG355*参数!$B$44*参数!$B$2+AH355*参数!$B$6*参数!$B$2+AI355*参数!$B$39*参数!$B$2+AJ355*参数!$B$6*参数!$B$2+Z355*参数!$B$13-T355*参数!$B$14-AD355*参数!$B$13+IF(ISNUMBER(AU355),AU355*参数!$B$38,0)-AV355*参数!$B$41-AW355*参数!$B$14),0),0)</f>
        <v>0</v>
      </c>
      <c r="AZ355">
        <f>AY355-MAX(AP355,0)*参数!$B$10</f>
        <v>-6</v>
      </c>
      <c r="BA355">
        <f t="shared" si="11"/>
        <v>0</v>
      </c>
    </row>
    <row r="356" spans="1:53" x14ac:dyDescent="0.3">
      <c r="A356">
        <v>355</v>
      </c>
      <c r="B356" t="s">
        <v>1537</v>
      </c>
      <c r="C356" t="s">
        <v>1401</v>
      </c>
      <c r="D356" t="s">
        <v>1538</v>
      </c>
      <c r="E356" t="s">
        <v>1539</v>
      </c>
      <c r="F356" t="s">
        <v>124</v>
      </c>
      <c r="G356" t="s">
        <v>12</v>
      </c>
      <c r="H356">
        <v>1</v>
      </c>
      <c r="I356">
        <v>1</v>
      </c>
      <c r="J356" t="s">
        <v>1540</v>
      </c>
      <c r="L356" t="s">
        <v>120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f>参数!$B$2</f>
        <v>4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-1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112</v>
      </c>
      <c r="AL356" t="s">
        <v>127</v>
      </c>
      <c r="AN356" t="s">
        <v>124</v>
      </c>
      <c r="AP356">
        <f t="shared" si="10"/>
        <v>0.4</v>
      </c>
      <c r="AQ356">
        <v>0</v>
      </c>
      <c r="AR356">
        <v>0</v>
      </c>
      <c r="AT356" t="s">
        <v>113</v>
      </c>
      <c r="AU356">
        <v>0</v>
      </c>
      <c r="AY356">
        <f>IFERROR(MAX(IF(IF(AND(F356="能力",AL356="能力持续"),(参数!$B$2-1)*参数!$B$3,0)+M356*O356*参数!$B$5*IF(AND(F356="能力",AL356="能力持续"),参数!$B$2,1)+P356*参数!$B$6*IF(AND(F356="能力",AL356="能力持续"),参数!$B$2,1)+R356*参数!$B$7*IF(AND(F356="能力",AL356="能力持续"),参数!$B$2,1)+V356*参数!$B$8+IF(X356&lt;0,X356*参数!$B$13,X356*参数!$B$39)+IF(AE356&lt;0,AE356*参数!$B$13,AE356*参数!$B$12)*参数!$B$2+AQ356*参数!$B$15+AB356*参数!$B$11+AF356*参数!$B$40*参数!$B$2+AG356*参数!$B$44*参数!$B$2+AH356*参数!$B$6*参数!$B$2+AI356*参数!$B$39*参数!$B$2+AJ356*参数!$B$6*参数!$B$2+Z356*参数!$B$13-T356*参数!$B$14-AD356*参数!$B$13+IF(ISNUMBER(AU356),AU356*参数!$B$38,0)-AV356*参数!$B$41-AW356*参数!$B$14&gt;参数!$B$17,参数!$B$17+SQRT(IF(AND(F356="能力",AL356="能力持续"),(参数!$B$2-1)*参数!$B$3,0)+M356*O356*参数!$B$5*IF(AND(F356="能力",AL356="能力持续"),参数!$B$2,1)+P356*参数!$B$6*IF(AND(F356="能力",AL356="能力持续"),参数!$B$2,1)+R356*参数!$B$7*IF(AND(F356="能力",AL356="能力持续"),参数!$B$2,1)+V356*参数!$B$8+IF(X356&lt;0,X356*参数!$B$13,X356*参数!$B$39)+IF(AE356&lt;0,AE356*参数!$B$13,AE356*参数!$B$12)*参数!$B$2+AQ356*参数!$B$15+AB356*参数!$B$11+AF356*参数!$B$40*参数!$B$2+AG356*参数!$B$44*参数!$B$2+AH356*参数!$B$6*参数!$B$2+AI356*参数!$B$39*参数!$B$2+AJ356*参数!$B$6*参数!$B$2+Z356*参数!$B$13-T356*参数!$B$14-AD356*参数!$B$13+IF(ISNUMBER(AU356),AU356*参数!$B$38,0)-AV356*参数!$B$41-AW356*参数!$B$14-参数!$B$17)*参数!$B$18,IF(AND(F356="能力",AL356="能力持续"),(参数!$B$2-1)*参数!$B$3,0)+M356*O356*参数!$B$5*IF(AND(F356="能力",AL356="能力持续"),参数!$B$2,1)+P356*参数!$B$6*IF(AND(F356="能力",AL356="能力持续"),参数!$B$2,1)+R356*参数!$B$7*IF(AND(F356="能力",AL356="能力持续"),参数!$B$2,1)+V356*参数!$B$8+IF(X356&lt;0,X356*参数!$B$13,X356*参数!$B$39)+IF(AE356&lt;0,AE356*参数!$B$13,AE356*参数!$B$12)*参数!$B$2+AQ356*参数!$B$15+AB356*参数!$B$11+AF356*参数!$B$40*参数!$B$2+AG356*参数!$B$44*参数!$B$2+AH356*参数!$B$6*参数!$B$2+AI356*参数!$B$39*参数!$B$2+AJ356*参数!$B$6*参数!$B$2+Z356*参数!$B$13-T356*参数!$B$14-AD356*参数!$B$13+IF(ISNUMBER(AU356),AU356*参数!$B$38,0)-AV356*参数!$B$41-AW356*参数!$B$14),0),0)</f>
        <v>9.6</v>
      </c>
      <c r="AZ356">
        <f>AY356-MAX(AP356,0)*参数!$B$10</f>
        <v>8.3999999999999986</v>
      </c>
      <c r="BA356">
        <f t="shared" si="11"/>
        <v>23.999999999999996</v>
      </c>
    </row>
    <row r="357" spans="1:53" x14ac:dyDescent="0.3">
      <c r="A357">
        <v>356</v>
      </c>
      <c r="B357" t="s">
        <v>1541</v>
      </c>
      <c r="C357" t="s">
        <v>1401</v>
      </c>
      <c r="D357" t="s">
        <v>1542</v>
      </c>
      <c r="E357" t="s">
        <v>1543</v>
      </c>
      <c r="F357" t="s">
        <v>117</v>
      </c>
      <c r="G357" t="s">
        <v>14</v>
      </c>
      <c r="H357">
        <v>1</v>
      </c>
      <c r="I357">
        <v>1</v>
      </c>
      <c r="J357" t="s">
        <v>1544</v>
      </c>
      <c r="L357" t="s">
        <v>111</v>
      </c>
      <c r="M357">
        <f>0.3*3*参数!$B$47</f>
        <v>7.1999999999999993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t="s">
        <v>112</v>
      </c>
      <c r="AP357">
        <f t="shared" si="10"/>
        <v>1</v>
      </c>
      <c r="AQ357">
        <v>0</v>
      </c>
      <c r="AR357">
        <v>0</v>
      </c>
      <c r="AT357" t="s">
        <v>113</v>
      </c>
      <c r="AU357">
        <v>0</v>
      </c>
      <c r="AY357">
        <f>IFERROR(MAX(IF(IF(AND(F357="能力",AL357="能力持续"),(参数!$B$2-1)*参数!$B$3,0)+M357*O357*参数!$B$5*IF(AND(F357="能力",AL357="能力持续"),参数!$B$2,1)+P357*参数!$B$6*IF(AND(F357="能力",AL357="能力持续"),参数!$B$2,1)+R357*参数!$B$7*IF(AND(F357="能力",AL357="能力持续"),参数!$B$2,1)+V357*参数!$B$8+IF(X357&lt;0,X357*参数!$B$13,X357*参数!$B$39)+IF(AE357&lt;0,AE357*参数!$B$13,AE357*参数!$B$12)*参数!$B$2+AQ357*参数!$B$15+AB357*参数!$B$11+AF357*参数!$B$40*参数!$B$2+AG357*参数!$B$44*参数!$B$2+AH357*参数!$B$6*参数!$B$2+AI357*参数!$B$39*参数!$B$2+AJ357*参数!$B$6*参数!$B$2+Z357*参数!$B$13-T357*参数!$B$14-AD357*参数!$B$13+IF(ISNUMBER(AU357),AU357*参数!$B$38,0)-AV357*参数!$B$41-AW357*参数!$B$14&gt;参数!$B$17,参数!$B$17+SQRT(IF(AND(F357="能力",AL357="能力持续"),(参数!$B$2-1)*参数!$B$3,0)+M357*O357*参数!$B$5*IF(AND(F357="能力",AL357="能力持续"),参数!$B$2,1)+P357*参数!$B$6*IF(AND(F357="能力",AL357="能力持续"),参数!$B$2,1)+R357*参数!$B$7*IF(AND(F357="能力",AL357="能力持续"),参数!$B$2,1)+V357*参数!$B$8+IF(X357&lt;0,X357*参数!$B$13,X357*参数!$B$39)+IF(AE357&lt;0,AE357*参数!$B$13,AE357*参数!$B$12)*参数!$B$2+AQ357*参数!$B$15+AB357*参数!$B$11+AF357*参数!$B$40*参数!$B$2+AG357*参数!$B$44*参数!$B$2+AH357*参数!$B$6*参数!$B$2+AI357*参数!$B$39*参数!$B$2+AJ357*参数!$B$6*参数!$B$2+Z357*参数!$B$13-T357*参数!$B$14-AD357*参数!$B$13+IF(ISNUMBER(AU357),AU357*参数!$B$38,0)-AV357*参数!$B$41-AW357*参数!$B$14-参数!$B$17)*参数!$B$18,IF(AND(F357="能力",AL357="能力持续"),(参数!$B$2-1)*参数!$B$3,0)+M357*O357*参数!$B$5*IF(AND(F357="能力",AL357="能力持续"),参数!$B$2,1)+P357*参数!$B$6*IF(AND(F357="能力",AL357="能力持续"),参数!$B$2,1)+R357*参数!$B$7*IF(AND(F357="能力",AL357="能力持续"),参数!$B$2,1)+V357*参数!$B$8+IF(X357&lt;0,X357*参数!$B$13,X357*参数!$B$39)+IF(AE357&lt;0,AE357*参数!$B$13,AE357*参数!$B$12)*参数!$B$2+AQ357*参数!$B$15+AB357*参数!$B$11+AF357*参数!$B$40*参数!$B$2+AG357*参数!$B$44*参数!$B$2+AH357*参数!$B$6*参数!$B$2+AI357*参数!$B$39*参数!$B$2+AJ357*参数!$B$6*参数!$B$2+Z357*参数!$B$13-T357*参数!$B$14-AD357*参数!$B$13+IF(ISNUMBER(AU357),AU357*参数!$B$38,0)-AV357*参数!$B$41-AW357*参数!$B$14),0),0)</f>
        <v>7.1999999999999993</v>
      </c>
      <c r="AZ357">
        <f>AY357-MAX(AP357,0)*参数!$B$10</f>
        <v>4.1999999999999993</v>
      </c>
      <c r="BA357">
        <f t="shared" si="11"/>
        <v>7.1999999999999993</v>
      </c>
    </row>
    <row r="358" spans="1:53" x14ac:dyDescent="0.3">
      <c r="A358">
        <v>357</v>
      </c>
      <c r="B358" t="s">
        <v>1545</v>
      </c>
      <c r="C358" t="s">
        <v>1401</v>
      </c>
      <c r="D358" t="s">
        <v>1546</v>
      </c>
      <c r="E358" t="s">
        <v>1547</v>
      </c>
      <c r="F358" t="s">
        <v>117</v>
      </c>
      <c r="G358" t="s">
        <v>10</v>
      </c>
      <c r="H358">
        <v>1</v>
      </c>
      <c r="I358">
        <v>1</v>
      </c>
      <c r="J358" t="s">
        <v>1548</v>
      </c>
      <c r="L358" t="s">
        <v>120</v>
      </c>
      <c r="M358">
        <v>0</v>
      </c>
      <c r="N358">
        <v>0</v>
      </c>
      <c r="O358">
        <v>1</v>
      </c>
      <c r="P358">
        <v>8</v>
      </c>
      <c r="Q358">
        <v>11</v>
      </c>
      <c r="R358">
        <v>1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112</v>
      </c>
      <c r="AP358">
        <f t="shared" si="10"/>
        <v>1</v>
      </c>
      <c r="AQ358">
        <v>0</v>
      </c>
      <c r="AR358">
        <v>0</v>
      </c>
      <c r="AT358" t="s">
        <v>113</v>
      </c>
      <c r="AU358">
        <v>0</v>
      </c>
      <c r="AY358">
        <f>IFERROR(MAX(IF(IF(AND(F358="能力",AL358="能力持续"),(参数!$B$2-1)*参数!$B$3,0)+M358*O358*参数!$B$5*IF(AND(F358="能力",AL358="能力持续"),参数!$B$2,1)+P358*参数!$B$6*IF(AND(F358="能力",AL358="能力持续"),参数!$B$2,1)+R358*参数!$B$7*IF(AND(F358="能力",AL358="能力持续"),参数!$B$2,1)+V358*参数!$B$8+IF(X358&lt;0,X358*参数!$B$13,X358*参数!$B$39)+IF(AE358&lt;0,AE358*参数!$B$13,AE358*参数!$B$12)*参数!$B$2+AQ358*参数!$B$15+AB358*参数!$B$11+AF358*参数!$B$40*参数!$B$2+AG358*参数!$B$44*参数!$B$2+AH358*参数!$B$6*参数!$B$2+AI358*参数!$B$39*参数!$B$2+AJ358*参数!$B$6*参数!$B$2+Z358*参数!$B$13-T358*参数!$B$14-AD358*参数!$B$13+IF(ISNUMBER(AU358),AU358*参数!$B$38,0)-AV358*参数!$B$41-AW358*参数!$B$14&gt;参数!$B$17,参数!$B$17+SQRT(IF(AND(F358="能力",AL358="能力持续"),(参数!$B$2-1)*参数!$B$3,0)+M358*O358*参数!$B$5*IF(AND(F358="能力",AL358="能力持续"),参数!$B$2,1)+P358*参数!$B$6*IF(AND(F358="能力",AL358="能力持续"),参数!$B$2,1)+R358*参数!$B$7*IF(AND(F358="能力",AL358="能力持续"),参数!$B$2,1)+V358*参数!$B$8+IF(X358&lt;0,X358*参数!$B$13,X358*参数!$B$39)+IF(AE358&lt;0,AE358*参数!$B$13,AE358*参数!$B$12)*参数!$B$2+AQ358*参数!$B$15+AB358*参数!$B$11+AF358*参数!$B$40*参数!$B$2+AG358*参数!$B$44*参数!$B$2+AH358*参数!$B$6*参数!$B$2+AI358*参数!$B$39*参数!$B$2+AJ358*参数!$B$6*参数!$B$2+Z358*参数!$B$13-T358*参数!$B$14-AD358*参数!$B$13+IF(ISNUMBER(AU358),AU358*参数!$B$38,0)-AV358*参数!$B$41-AW358*参数!$B$14-参数!$B$17)*参数!$B$18,IF(AND(F358="能力",AL358="能力持续"),(参数!$B$2-1)*参数!$B$3,0)+M358*O358*参数!$B$5*IF(AND(F358="能力",AL358="能力持续"),参数!$B$2,1)+P358*参数!$B$6*IF(AND(F358="能力",AL358="能力持续"),参数!$B$2,1)+R358*参数!$B$7*IF(AND(F358="能力",AL358="能力持续"),参数!$B$2,1)+V358*参数!$B$8+IF(X358&lt;0,X358*参数!$B$13,X358*参数!$B$39)+IF(AE358&lt;0,AE358*参数!$B$13,AE358*参数!$B$12)*参数!$B$2+AQ358*参数!$B$15+AB358*参数!$B$11+AF358*参数!$B$40*参数!$B$2+AG358*参数!$B$44*参数!$B$2+AH358*参数!$B$6*参数!$B$2+AI358*参数!$B$39*参数!$B$2+AJ358*参数!$B$6*参数!$B$2+Z358*参数!$B$13-T358*参数!$B$14-AD358*参数!$B$13+IF(ISNUMBER(AU358),AU358*参数!$B$38,0)-AV358*参数!$B$41-AW358*参数!$B$14),0),0)</f>
        <v>9.5</v>
      </c>
      <c r="AZ358">
        <f>AY358-MAX(AP358,0)*参数!$B$10</f>
        <v>6.5</v>
      </c>
      <c r="BA358">
        <f t="shared" si="11"/>
        <v>9.5</v>
      </c>
    </row>
    <row r="359" spans="1:53" x14ac:dyDescent="0.3">
      <c r="A359">
        <v>358</v>
      </c>
      <c r="B359" t="s">
        <v>1549</v>
      </c>
      <c r="C359" t="s">
        <v>1401</v>
      </c>
      <c r="D359" t="s">
        <v>1550</v>
      </c>
      <c r="E359" t="s">
        <v>1551</v>
      </c>
      <c r="F359" t="s">
        <v>108</v>
      </c>
      <c r="G359" t="s">
        <v>10</v>
      </c>
      <c r="H359">
        <v>1</v>
      </c>
      <c r="I359">
        <v>1</v>
      </c>
      <c r="J359" t="s">
        <v>1552</v>
      </c>
      <c r="L359" t="s">
        <v>111</v>
      </c>
      <c r="M359">
        <v>4</v>
      </c>
      <c r="N359">
        <v>6</v>
      </c>
      <c r="O359">
        <v>1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t="s">
        <v>112</v>
      </c>
      <c r="AP359">
        <f t="shared" si="10"/>
        <v>1</v>
      </c>
      <c r="AQ359">
        <v>0</v>
      </c>
      <c r="AR359">
        <v>0</v>
      </c>
      <c r="AT359" t="s">
        <v>113</v>
      </c>
      <c r="AU359">
        <v>0</v>
      </c>
      <c r="AY359">
        <f>IFERROR(MAX(IF(IF(AND(F359="能力",AL359="能力持续"),(参数!$B$2-1)*参数!$B$3,0)+M359*O359*参数!$B$5*IF(AND(F359="能力",AL359="能力持续"),参数!$B$2,1)+P359*参数!$B$6*IF(AND(F359="能力",AL359="能力持续"),参数!$B$2,1)+R359*参数!$B$7*IF(AND(F359="能力",AL359="能力持续"),参数!$B$2,1)+V359*参数!$B$8+IF(X359&lt;0,X359*参数!$B$13,X359*参数!$B$39)+IF(AE359&lt;0,AE359*参数!$B$13,AE359*参数!$B$12)*参数!$B$2+AQ359*参数!$B$15+AB359*参数!$B$11+AF359*参数!$B$40*参数!$B$2+AG359*参数!$B$44*参数!$B$2+AH359*参数!$B$6*参数!$B$2+AI359*参数!$B$39*参数!$B$2+AJ359*参数!$B$6*参数!$B$2+Z359*参数!$B$13-T359*参数!$B$14-AD359*参数!$B$13+IF(ISNUMBER(AU359),AU359*参数!$B$38,0)-AV359*参数!$B$41-AW359*参数!$B$14&gt;参数!$B$17,参数!$B$17+SQRT(IF(AND(F359="能力",AL359="能力持续"),(参数!$B$2-1)*参数!$B$3,0)+M359*O359*参数!$B$5*IF(AND(F359="能力",AL359="能力持续"),参数!$B$2,1)+P359*参数!$B$6*IF(AND(F359="能力",AL359="能力持续"),参数!$B$2,1)+R359*参数!$B$7*IF(AND(F359="能力",AL359="能力持续"),参数!$B$2,1)+V359*参数!$B$8+IF(X359&lt;0,X359*参数!$B$13,X359*参数!$B$39)+IF(AE359&lt;0,AE359*参数!$B$13,AE359*参数!$B$12)*参数!$B$2+AQ359*参数!$B$15+AB359*参数!$B$11+AF359*参数!$B$40*参数!$B$2+AG359*参数!$B$44*参数!$B$2+AH359*参数!$B$6*参数!$B$2+AI359*参数!$B$39*参数!$B$2+AJ359*参数!$B$6*参数!$B$2+Z359*参数!$B$13-T359*参数!$B$14-AD359*参数!$B$13+IF(ISNUMBER(AU359),AU359*参数!$B$38,0)-AV359*参数!$B$41-AW359*参数!$B$14-参数!$B$17)*参数!$B$18,IF(AND(F359="能力",AL359="能力持续"),(参数!$B$2-1)*参数!$B$3,0)+M359*O359*参数!$B$5*IF(AND(F359="能力",AL359="能力持续"),参数!$B$2,1)+P359*参数!$B$6*IF(AND(F359="能力",AL359="能力持续"),参数!$B$2,1)+R359*参数!$B$7*IF(AND(F359="能力",AL359="能力持续"),参数!$B$2,1)+V359*参数!$B$8+IF(X359&lt;0,X359*参数!$B$13,X359*参数!$B$39)+IF(AE359&lt;0,AE359*参数!$B$13,AE359*参数!$B$12)*参数!$B$2+AQ359*参数!$B$15+AB359*参数!$B$11+AF359*参数!$B$40*参数!$B$2+AG359*参数!$B$44*参数!$B$2+AH359*参数!$B$6*参数!$B$2+AI359*参数!$B$39*参数!$B$2+AJ359*参数!$B$6*参数!$B$2+Z359*参数!$B$13-T359*参数!$B$14-AD359*参数!$B$13+IF(ISNUMBER(AU359),AU359*参数!$B$38,0)-AV359*参数!$B$41-AW359*参数!$B$14),0),0)</f>
        <v>4.7</v>
      </c>
      <c r="AZ359">
        <f>AY359-MAX(AP359,0)*参数!$B$10</f>
        <v>1.7000000000000002</v>
      </c>
      <c r="BA359">
        <f t="shared" si="11"/>
        <v>4.7</v>
      </c>
    </row>
    <row r="360" spans="1:53" x14ac:dyDescent="0.3">
      <c r="A360">
        <v>359</v>
      </c>
      <c r="B360" t="s">
        <v>1553</v>
      </c>
      <c r="C360" t="s">
        <v>1401</v>
      </c>
      <c r="D360" t="s">
        <v>1554</v>
      </c>
      <c r="E360" t="s">
        <v>1555</v>
      </c>
      <c r="F360" t="s">
        <v>108</v>
      </c>
      <c r="G360" t="s">
        <v>14</v>
      </c>
      <c r="H360">
        <v>1</v>
      </c>
      <c r="I360">
        <v>1</v>
      </c>
      <c r="J360" t="s">
        <v>1556</v>
      </c>
      <c r="L360" t="s">
        <v>111</v>
      </c>
      <c r="M360">
        <f>参数!$B$29*10</f>
        <v>20</v>
      </c>
      <c r="N360">
        <f>参数!$B$29*13</f>
        <v>26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112</v>
      </c>
      <c r="AP360">
        <f t="shared" si="10"/>
        <v>1</v>
      </c>
      <c r="AQ360">
        <v>0</v>
      </c>
      <c r="AR360">
        <v>0</v>
      </c>
      <c r="AT360" t="s">
        <v>113</v>
      </c>
      <c r="AU360">
        <v>0</v>
      </c>
      <c r="AY360">
        <f>IFERROR(MAX(IF(IF(AND(F360="能力",AL360="能力持续"),(参数!$B$2-1)*参数!$B$3,0)+M360*O360*参数!$B$5*IF(AND(F360="能力",AL360="能力持续"),参数!$B$2,1)+P360*参数!$B$6*IF(AND(F360="能力",AL360="能力持续"),参数!$B$2,1)+R360*参数!$B$7*IF(AND(F360="能力",AL360="能力持续"),参数!$B$2,1)+V360*参数!$B$8+IF(X360&lt;0,X360*参数!$B$13,X360*参数!$B$39)+IF(AE360&lt;0,AE360*参数!$B$13,AE360*参数!$B$12)*参数!$B$2+AQ360*参数!$B$15+AB360*参数!$B$11+AF360*参数!$B$40*参数!$B$2+AG360*参数!$B$44*参数!$B$2+AH360*参数!$B$6*参数!$B$2+AI360*参数!$B$39*参数!$B$2+AJ360*参数!$B$6*参数!$B$2+Z360*参数!$B$13-T360*参数!$B$14-AD360*参数!$B$13+IF(ISNUMBER(AU360),AU360*参数!$B$38,0)-AV360*参数!$B$41-AW360*参数!$B$14&gt;参数!$B$17,参数!$B$17+SQRT(IF(AND(F360="能力",AL360="能力持续"),(参数!$B$2-1)*参数!$B$3,0)+M360*O360*参数!$B$5*IF(AND(F360="能力",AL360="能力持续"),参数!$B$2,1)+P360*参数!$B$6*IF(AND(F360="能力",AL360="能力持续"),参数!$B$2,1)+R360*参数!$B$7*IF(AND(F360="能力",AL360="能力持续"),参数!$B$2,1)+V360*参数!$B$8+IF(X360&lt;0,X360*参数!$B$13,X360*参数!$B$39)+IF(AE360&lt;0,AE360*参数!$B$13,AE360*参数!$B$12)*参数!$B$2+AQ360*参数!$B$15+AB360*参数!$B$11+AF360*参数!$B$40*参数!$B$2+AG360*参数!$B$44*参数!$B$2+AH360*参数!$B$6*参数!$B$2+AI360*参数!$B$39*参数!$B$2+AJ360*参数!$B$6*参数!$B$2+Z360*参数!$B$13-T360*参数!$B$14-AD360*参数!$B$13+IF(ISNUMBER(AU360),AU360*参数!$B$38,0)-AV360*参数!$B$41-AW360*参数!$B$14-参数!$B$17)*参数!$B$18,IF(AND(F360="能力",AL360="能力持续"),(参数!$B$2-1)*参数!$B$3,0)+M360*O360*参数!$B$5*IF(AND(F360="能力",AL360="能力持续"),参数!$B$2,1)+P360*参数!$B$6*IF(AND(F360="能力",AL360="能力持续"),参数!$B$2,1)+R360*参数!$B$7*IF(AND(F360="能力",AL360="能力持续"),参数!$B$2,1)+V360*参数!$B$8+IF(X360&lt;0,X360*参数!$B$13,X360*参数!$B$39)+IF(AE360&lt;0,AE360*参数!$B$13,AE360*参数!$B$12)*参数!$B$2+AQ360*参数!$B$15+AB360*参数!$B$11+AF360*参数!$B$40*参数!$B$2+AG360*参数!$B$44*参数!$B$2+AH360*参数!$B$6*参数!$B$2+AI360*参数!$B$39*参数!$B$2+AJ360*参数!$B$6*参数!$B$2+Z360*参数!$B$13-T360*参数!$B$14-AD360*参数!$B$13+IF(ISNUMBER(AU360),AU360*参数!$B$38,0)-AV360*参数!$B$41-AW360*参数!$B$14),0),0)</f>
        <v>14.743416490252569</v>
      </c>
      <c r="AZ360">
        <f>AY360-MAX(AP360,0)*参数!$B$10</f>
        <v>11.743416490252569</v>
      </c>
      <c r="BA360">
        <f t="shared" si="11"/>
        <v>14.743416490252569</v>
      </c>
    </row>
    <row r="361" spans="1:53" x14ac:dyDescent="0.3">
      <c r="A361">
        <v>360</v>
      </c>
      <c r="B361" t="s">
        <v>1557</v>
      </c>
      <c r="C361" t="s">
        <v>1401</v>
      </c>
      <c r="D361" t="s">
        <v>1558</v>
      </c>
      <c r="E361" t="s">
        <v>1559</v>
      </c>
      <c r="F361" t="s">
        <v>124</v>
      </c>
      <c r="G361" t="s">
        <v>12</v>
      </c>
      <c r="H361">
        <v>1</v>
      </c>
      <c r="I361">
        <v>1</v>
      </c>
      <c r="J361" t="s">
        <v>1560</v>
      </c>
      <c r="L361" t="s">
        <v>301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112</v>
      </c>
      <c r="AL361" t="s">
        <v>127</v>
      </c>
      <c r="AN361" t="s">
        <v>124</v>
      </c>
      <c r="AP361">
        <f t="shared" si="10"/>
        <v>1</v>
      </c>
      <c r="AQ361">
        <v>0</v>
      </c>
      <c r="AR361">
        <v>0</v>
      </c>
      <c r="AT361" t="s">
        <v>113</v>
      </c>
      <c r="AU361">
        <v>0</v>
      </c>
      <c r="AY361">
        <f>IFERROR(MAX(IF(IF(AND(F361="能力",AL361="能力持续"),(参数!$B$2-1)*参数!$B$3,0)+M361*O361*参数!$B$5*IF(AND(F361="能力",AL361="能力持续"),参数!$B$2,1)+P361*参数!$B$6*IF(AND(F361="能力",AL361="能力持续"),参数!$B$2,1)+R361*参数!$B$7*IF(AND(F361="能力",AL361="能力持续"),参数!$B$2,1)+V361*参数!$B$8+IF(X361&lt;0,X361*参数!$B$13,X361*参数!$B$39)+IF(AE361&lt;0,AE361*参数!$B$13,AE361*参数!$B$12)*参数!$B$2+AQ361*参数!$B$15+AB361*参数!$B$11+AF361*参数!$B$40*参数!$B$2+AG361*参数!$B$44*参数!$B$2+AH361*参数!$B$6*参数!$B$2+AI361*参数!$B$39*参数!$B$2+AJ361*参数!$B$6*参数!$B$2+Z361*参数!$B$13-T361*参数!$B$14-AD361*参数!$B$13+IF(ISNUMBER(AU361),AU361*参数!$B$38,0)-AV361*参数!$B$41-AW361*参数!$B$14&gt;参数!$B$17,参数!$B$17+SQRT(IF(AND(F361="能力",AL361="能力持续"),(参数!$B$2-1)*参数!$B$3,0)+M361*O361*参数!$B$5*IF(AND(F361="能力",AL361="能力持续"),参数!$B$2,1)+P361*参数!$B$6*IF(AND(F361="能力",AL361="能力持续"),参数!$B$2,1)+R361*参数!$B$7*IF(AND(F361="能力",AL361="能力持续"),参数!$B$2,1)+V361*参数!$B$8+IF(X361&lt;0,X361*参数!$B$13,X361*参数!$B$39)+IF(AE361&lt;0,AE361*参数!$B$13,AE361*参数!$B$12)*参数!$B$2+AQ361*参数!$B$15+AB361*参数!$B$11+AF361*参数!$B$40*参数!$B$2+AG361*参数!$B$44*参数!$B$2+AH361*参数!$B$6*参数!$B$2+AI361*参数!$B$39*参数!$B$2+AJ361*参数!$B$6*参数!$B$2+Z361*参数!$B$13-T361*参数!$B$14-AD361*参数!$B$13+IF(ISNUMBER(AU361),AU361*参数!$B$38,0)-AV361*参数!$B$41-AW361*参数!$B$14-参数!$B$17)*参数!$B$18,IF(AND(F361="能力",AL361="能力持续"),(参数!$B$2-1)*参数!$B$3,0)+M361*O361*参数!$B$5*IF(AND(F361="能力",AL361="能力持续"),参数!$B$2,1)+P361*参数!$B$6*IF(AND(F361="能力",AL361="能力持续"),参数!$B$2,1)+R361*参数!$B$7*IF(AND(F361="能力",AL361="能力持续"),参数!$B$2,1)+V361*参数!$B$8+IF(X361&lt;0,X361*参数!$B$13,X361*参数!$B$39)+IF(AE361&lt;0,AE361*参数!$B$13,AE361*参数!$B$12)*参数!$B$2+AQ361*参数!$B$15+AB361*参数!$B$11+AF361*参数!$B$40*参数!$B$2+AG361*参数!$B$44*参数!$B$2+AH361*参数!$B$6*参数!$B$2+AI361*参数!$B$39*参数!$B$2+AJ361*参数!$B$6*参数!$B$2+Z361*参数!$B$13-T361*参数!$B$14-AD361*参数!$B$13+IF(ISNUMBER(AU361),AU361*参数!$B$38,0)-AV361*参数!$B$41-AW361*参数!$B$14),0),0)</f>
        <v>3.5999999999999996</v>
      </c>
      <c r="AZ361">
        <f>AY361-MAX(AP361,0)*参数!$B$10</f>
        <v>0.59999999999999964</v>
      </c>
      <c r="BA361">
        <f t="shared" si="11"/>
        <v>3.5999999999999996</v>
      </c>
    </row>
    <row r="362" spans="1:53" x14ac:dyDescent="0.3">
      <c r="A362">
        <v>361</v>
      </c>
      <c r="B362" t="s">
        <v>1561</v>
      </c>
      <c r="C362" t="s">
        <v>1401</v>
      </c>
      <c r="D362" t="s">
        <v>1562</v>
      </c>
      <c r="E362" t="s">
        <v>1563</v>
      </c>
      <c r="F362" t="s">
        <v>108</v>
      </c>
      <c r="G362" t="s">
        <v>12</v>
      </c>
      <c r="H362">
        <v>2</v>
      </c>
      <c r="I362">
        <v>2</v>
      </c>
      <c r="J362" t="s">
        <v>1564</v>
      </c>
      <c r="L362" t="s">
        <v>191</v>
      </c>
      <c r="M362">
        <v>11</v>
      </c>
      <c r="N362">
        <v>13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</v>
      </c>
      <c r="AC362">
        <v>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112</v>
      </c>
      <c r="AN362" t="s">
        <v>192</v>
      </c>
      <c r="AP362">
        <f t="shared" si="10"/>
        <v>2</v>
      </c>
      <c r="AQ362">
        <v>0</v>
      </c>
      <c r="AR362">
        <v>0</v>
      </c>
      <c r="AT362" t="s">
        <v>113</v>
      </c>
      <c r="AU362">
        <v>0</v>
      </c>
      <c r="AY362">
        <f>IFERROR(MAX(IF(IF(AND(F362="能力",AL362="能力持续"),(参数!$B$2-1)*参数!$B$3,0)+M362*O362*参数!$B$5*IF(AND(F362="能力",AL362="能力持续"),参数!$B$2,1)+P362*参数!$B$6*IF(AND(F362="能力",AL362="能力持续"),参数!$B$2,1)+R362*参数!$B$7*IF(AND(F362="能力",AL362="能力持续"),参数!$B$2,1)+V362*参数!$B$8+IF(X362&lt;0,X362*参数!$B$13,X362*参数!$B$39)+IF(AE362&lt;0,AE362*参数!$B$13,AE362*参数!$B$12)*参数!$B$2+AQ362*参数!$B$15+AB362*参数!$B$11+AF362*参数!$B$40*参数!$B$2+AG362*参数!$B$44*参数!$B$2+AH362*参数!$B$6*参数!$B$2+AI362*参数!$B$39*参数!$B$2+AJ362*参数!$B$6*参数!$B$2+Z362*参数!$B$13-T362*参数!$B$14-AD362*参数!$B$13+IF(ISNUMBER(AU362),AU362*参数!$B$38,0)-AV362*参数!$B$41-AW362*参数!$B$14&gt;参数!$B$17,参数!$B$17+SQRT(IF(AND(F362="能力",AL362="能力持续"),(参数!$B$2-1)*参数!$B$3,0)+M362*O362*参数!$B$5*IF(AND(F362="能力",AL362="能力持续"),参数!$B$2,1)+P362*参数!$B$6*IF(AND(F362="能力",AL362="能力持续"),参数!$B$2,1)+R362*参数!$B$7*IF(AND(F362="能力",AL362="能力持续"),参数!$B$2,1)+V362*参数!$B$8+IF(X362&lt;0,X362*参数!$B$13,X362*参数!$B$39)+IF(AE362&lt;0,AE362*参数!$B$13,AE362*参数!$B$12)*参数!$B$2+AQ362*参数!$B$15+AB362*参数!$B$11+AF362*参数!$B$40*参数!$B$2+AG362*参数!$B$44*参数!$B$2+AH362*参数!$B$6*参数!$B$2+AI362*参数!$B$39*参数!$B$2+AJ362*参数!$B$6*参数!$B$2+Z362*参数!$B$13-T362*参数!$B$14-AD362*参数!$B$13+IF(ISNUMBER(AU362),AU362*参数!$B$38,0)-AV362*参数!$B$41-AW362*参数!$B$14-参数!$B$17)*参数!$B$18,IF(AND(F362="能力",AL362="能力持续"),(参数!$B$2-1)*参数!$B$3,0)+M362*O362*参数!$B$5*IF(AND(F362="能力",AL362="能力持续"),参数!$B$2,1)+P362*参数!$B$6*IF(AND(F362="能力",AL362="能力持续"),参数!$B$2,1)+R362*参数!$B$7*IF(AND(F362="能力",AL362="能力持续"),参数!$B$2,1)+V362*参数!$B$8+IF(X362&lt;0,X362*参数!$B$13,X362*参数!$B$39)+IF(AE362&lt;0,AE362*参数!$B$13,AE362*参数!$B$12)*参数!$B$2+AQ362*参数!$B$15+AB362*参数!$B$11+AF362*参数!$B$40*参数!$B$2+AG362*参数!$B$44*参数!$B$2+AH362*参数!$B$6*参数!$B$2+AI362*参数!$B$39*参数!$B$2+AJ362*参数!$B$6*参数!$B$2+Z362*参数!$B$13-T362*参数!$B$14-AD362*参数!$B$13+IF(ISNUMBER(AU362),AU362*参数!$B$38,0)-AV362*参数!$B$41-AW362*参数!$B$14),0),0)</f>
        <v>12.846049894151541</v>
      </c>
      <c r="AZ362">
        <f>AY362-MAX(AP362,0)*参数!$B$10</f>
        <v>6.8460498941515411</v>
      </c>
      <c r="BA362">
        <f t="shared" si="11"/>
        <v>6.4230249470757705</v>
      </c>
    </row>
    <row r="363" spans="1:53" x14ac:dyDescent="0.3">
      <c r="A363">
        <v>362</v>
      </c>
      <c r="B363" t="s">
        <v>1565</v>
      </c>
      <c r="C363" t="s">
        <v>1401</v>
      </c>
      <c r="D363" t="s">
        <v>1566</v>
      </c>
      <c r="E363" t="s">
        <v>1567</v>
      </c>
      <c r="F363" t="s">
        <v>117</v>
      </c>
      <c r="G363" t="s">
        <v>10</v>
      </c>
      <c r="H363">
        <v>1</v>
      </c>
      <c r="I363">
        <v>1</v>
      </c>
      <c r="J363" t="s">
        <v>1568</v>
      </c>
      <c r="L363" t="s">
        <v>111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3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112</v>
      </c>
      <c r="AP363">
        <f t="shared" si="10"/>
        <v>0.4</v>
      </c>
      <c r="AQ363">
        <v>0</v>
      </c>
      <c r="AR363">
        <v>0</v>
      </c>
      <c r="AT363" t="s">
        <v>113</v>
      </c>
      <c r="AU363">
        <v>2</v>
      </c>
      <c r="AY363">
        <f>IFERROR(MAX(IF(IF(AND(F363="能力",AL363="能力持续"),(参数!$B$2-1)*参数!$B$3,0)+M363*O363*参数!$B$5*IF(AND(F363="能力",AL363="能力持续"),参数!$B$2,1)+P363*参数!$B$6*IF(AND(F363="能力",AL363="能力持续"),参数!$B$2,1)+R363*参数!$B$7*IF(AND(F363="能力",AL363="能力持续"),参数!$B$2,1)+V363*参数!$B$8+IF(X363&lt;0,X363*参数!$B$13,X363*参数!$B$39)+IF(AE363&lt;0,AE363*参数!$B$13,AE363*参数!$B$12)*参数!$B$2+AQ363*参数!$B$15+AB363*参数!$B$11+AF363*参数!$B$40*参数!$B$2+AG363*参数!$B$44*参数!$B$2+AH363*参数!$B$6*参数!$B$2+AI363*参数!$B$39*参数!$B$2+AJ363*参数!$B$6*参数!$B$2+Z363*参数!$B$13-T363*参数!$B$14-AD363*参数!$B$13+IF(ISNUMBER(AU363),AU363*参数!$B$38,0)-AV363*参数!$B$41-AW363*参数!$B$14&gt;参数!$B$17,参数!$B$17+SQRT(IF(AND(F363="能力",AL363="能力持续"),(参数!$B$2-1)*参数!$B$3,0)+M363*O363*参数!$B$5*IF(AND(F363="能力",AL363="能力持续"),参数!$B$2,1)+P363*参数!$B$6*IF(AND(F363="能力",AL363="能力持续"),参数!$B$2,1)+R363*参数!$B$7*IF(AND(F363="能力",AL363="能力持续"),参数!$B$2,1)+V363*参数!$B$8+IF(X363&lt;0,X363*参数!$B$13,X363*参数!$B$39)+IF(AE363&lt;0,AE363*参数!$B$13,AE363*参数!$B$12)*参数!$B$2+AQ363*参数!$B$15+AB363*参数!$B$11+AF363*参数!$B$40*参数!$B$2+AG363*参数!$B$44*参数!$B$2+AH363*参数!$B$6*参数!$B$2+AI363*参数!$B$39*参数!$B$2+AJ363*参数!$B$6*参数!$B$2+Z363*参数!$B$13-T363*参数!$B$14-AD363*参数!$B$13+IF(ISNUMBER(AU363),AU363*参数!$B$38,0)-AV363*参数!$B$41-AW363*参数!$B$14-参数!$B$17)*参数!$B$18,IF(AND(F363="能力",AL363="能力持续"),(参数!$B$2-1)*参数!$B$3,0)+M363*O363*参数!$B$5*IF(AND(F363="能力",AL363="能力持续"),参数!$B$2,1)+P363*参数!$B$6*IF(AND(F363="能力",AL363="能力持续"),参数!$B$2,1)+R363*参数!$B$7*IF(AND(F363="能力",AL363="能力持续"),参数!$B$2,1)+V363*参数!$B$8+IF(X363&lt;0,X363*参数!$B$13,X363*参数!$B$39)+IF(AE363&lt;0,AE363*参数!$B$13,AE363*参数!$B$12)*参数!$B$2+AQ363*参数!$B$15+AB363*参数!$B$11+AF363*参数!$B$40*参数!$B$2+AG363*参数!$B$44*参数!$B$2+AH363*参数!$B$6*参数!$B$2+AI363*参数!$B$39*参数!$B$2+AJ363*参数!$B$6*参数!$B$2+Z363*参数!$B$13-T363*参数!$B$14-AD363*参数!$B$13+IF(ISNUMBER(AU363),AU363*参数!$B$38,0)-AV363*参数!$B$41-AW363*参数!$B$14),0),0)</f>
        <v>8</v>
      </c>
      <c r="AZ363">
        <f>AY363-MAX(AP363,0)*参数!$B$10</f>
        <v>6.8</v>
      </c>
      <c r="BA363">
        <f t="shared" si="11"/>
        <v>20</v>
      </c>
    </row>
    <row r="364" spans="1:53" x14ac:dyDescent="0.3">
      <c r="A364">
        <v>363</v>
      </c>
      <c r="B364" t="s">
        <v>1569</v>
      </c>
      <c r="C364" t="s">
        <v>1401</v>
      </c>
      <c r="D364" t="s">
        <v>1570</v>
      </c>
      <c r="E364" t="s">
        <v>1571</v>
      </c>
      <c r="F364" t="s">
        <v>117</v>
      </c>
      <c r="G364" t="s">
        <v>12</v>
      </c>
      <c r="H364">
        <v>2</v>
      </c>
      <c r="I364">
        <v>2</v>
      </c>
      <c r="J364" t="s">
        <v>1572</v>
      </c>
      <c r="L364" t="s">
        <v>1573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t="s">
        <v>112</v>
      </c>
      <c r="AP364">
        <f t="shared" si="10"/>
        <v>2</v>
      </c>
      <c r="AQ364">
        <v>0</v>
      </c>
      <c r="AR364">
        <v>0</v>
      </c>
      <c r="AT364" t="s">
        <v>113</v>
      </c>
      <c r="AU364">
        <v>6</v>
      </c>
      <c r="AY364">
        <f>IFERROR(MAX(IF(IF(AND(F364="能力",AL364="能力持续"),(参数!$B$2-1)*参数!$B$3,0)+M364*O364*参数!$B$5*IF(AND(F364="能力",AL364="能力持续"),参数!$B$2,1)+P364*参数!$B$6*IF(AND(F364="能力",AL364="能力持续"),参数!$B$2,1)+R364*参数!$B$7*IF(AND(F364="能力",AL364="能力持续"),参数!$B$2,1)+V364*参数!$B$8+IF(X364&lt;0,X364*参数!$B$13,X364*参数!$B$39)+IF(AE364&lt;0,AE364*参数!$B$13,AE364*参数!$B$12)*参数!$B$2+AQ364*参数!$B$15+AB364*参数!$B$11+AF364*参数!$B$40*参数!$B$2+AG364*参数!$B$44*参数!$B$2+AH364*参数!$B$6*参数!$B$2+AI364*参数!$B$39*参数!$B$2+AJ364*参数!$B$6*参数!$B$2+Z364*参数!$B$13-T364*参数!$B$14-AD364*参数!$B$13+IF(ISNUMBER(AU364),AU364*参数!$B$38,0)-AV364*参数!$B$41-AW364*参数!$B$14&gt;参数!$B$17,参数!$B$17+SQRT(IF(AND(F364="能力",AL364="能力持续"),(参数!$B$2-1)*参数!$B$3,0)+M364*O364*参数!$B$5*IF(AND(F364="能力",AL364="能力持续"),参数!$B$2,1)+P364*参数!$B$6*IF(AND(F364="能力",AL364="能力持续"),参数!$B$2,1)+R364*参数!$B$7*IF(AND(F364="能力",AL364="能力持续"),参数!$B$2,1)+V364*参数!$B$8+IF(X364&lt;0,X364*参数!$B$13,X364*参数!$B$39)+IF(AE364&lt;0,AE364*参数!$B$13,AE364*参数!$B$12)*参数!$B$2+AQ364*参数!$B$15+AB364*参数!$B$11+AF364*参数!$B$40*参数!$B$2+AG364*参数!$B$44*参数!$B$2+AH364*参数!$B$6*参数!$B$2+AI364*参数!$B$39*参数!$B$2+AJ364*参数!$B$6*参数!$B$2+Z364*参数!$B$13-T364*参数!$B$14-AD364*参数!$B$13+IF(ISNUMBER(AU364),AU364*参数!$B$38,0)-AV364*参数!$B$41-AW364*参数!$B$14-参数!$B$17)*参数!$B$18,IF(AND(F364="能力",AL364="能力持续"),(参数!$B$2-1)*参数!$B$3,0)+M364*O364*参数!$B$5*IF(AND(F364="能力",AL364="能力持续"),参数!$B$2,1)+P364*参数!$B$6*IF(AND(F364="能力",AL364="能力持续"),参数!$B$2,1)+R364*参数!$B$7*IF(AND(F364="能力",AL364="能力持续"),参数!$B$2,1)+V364*参数!$B$8+IF(X364&lt;0,X364*参数!$B$13,X364*参数!$B$39)+IF(AE364&lt;0,AE364*参数!$B$13,AE364*参数!$B$12)*参数!$B$2+AQ364*参数!$B$15+AB364*参数!$B$11+AF364*参数!$B$40*参数!$B$2+AG364*参数!$B$44*参数!$B$2+AH364*参数!$B$6*参数!$B$2+AI364*参数!$B$39*参数!$B$2+AJ364*参数!$B$6*参数!$B$2+Z364*参数!$B$13-T364*参数!$B$14-AD364*参数!$B$13+IF(ISNUMBER(AU364),AU364*参数!$B$38,0)-AV364*参数!$B$41-AW364*参数!$B$14),0),0)</f>
        <v>6</v>
      </c>
      <c r="AZ364">
        <f>AY364-MAX(AP364,0)*参数!$B$10</f>
        <v>0</v>
      </c>
      <c r="BA364">
        <f t="shared" si="11"/>
        <v>3</v>
      </c>
    </row>
    <row r="365" spans="1:53" x14ac:dyDescent="0.3">
      <c r="A365">
        <v>364</v>
      </c>
      <c r="B365" t="s">
        <v>1574</v>
      </c>
      <c r="C365" t="s">
        <v>1401</v>
      </c>
      <c r="D365" t="s">
        <v>1575</v>
      </c>
      <c r="E365" t="s">
        <v>1576</v>
      </c>
      <c r="F365" t="s">
        <v>124</v>
      </c>
      <c r="G365" t="s">
        <v>12</v>
      </c>
      <c r="H365">
        <v>1</v>
      </c>
      <c r="I365">
        <v>1</v>
      </c>
      <c r="J365" t="s">
        <v>1577</v>
      </c>
      <c r="L365" t="s">
        <v>120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112</v>
      </c>
      <c r="AL365" t="s">
        <v>127</v>
      </c>
      <c r="AN365" t="s">
        <v>124</v>
      </c>
      <c r="AP365">
        <f t="shared" si="10"/>
        <v>1</v>
      </c>
      <c r="AQ365">
        <v>5</v>
      </c>
      <c r="AR365">
        <v>0</v>
      </c>
      <c r="AT365" t="s">
        <v>113</v>
      </c>
      <c r="AU365">
        <v>0</v>
      </c>
      <c r="AY365">
        <f>IFERROR(MAX(IF(IF(AND(F365="能力",AL365="能力持续"),(参数!$B$2-1)*参数!$B$3,0)+M365*O365*参数!$B$5*IF(AND(F365="能力",AL365="能力持续"),参数!$B$2,1)+P365*参数!$B$6*IF(AND(F365="能力",AL365="能力持续"),参数!$B$2,1)+R365*参数!$B$7*IF(AND(F365="能力",AL365="能力持续"),参数!$B$2,1)+V365*参数!$B$8+IF(X365&lt;0,X365*参数!$B$13,X365*参数!$B$39)+IF(AE365&lt;0,AE365*参数!$B$13,AE365*参数!$B$12)*参数!$B$2+AQ365*参数!$B$15+AB365*参数!$B$11+AF365*参数!$B$40*参数!$B$2+AG365*参数!$B$44*参数!$B$2+AH365*参数!$B$6*参数!$B$2+AI365*参数!$B$39*参数!$B$2+AJ365*参数!$B$6*参数!$B$2+Z365*参数!$B$13-T365*参数!$B$14-AD365*参数!$B$13+IF(ISNUMBER(AU365),AU365*参数!$B$38,0)-AV365*参数!$B$41-AW365*参数!$B$14&gt;参数!$B$17,参数!$B$17+SQRT(IF(AND(F365="能力",AL365="能力持续"),(参数!$B$2-1)*参数!$B$3,0)+M365*O365*参数!$B$5*IF(AND(F365="能力",AL365="能力持续"),参数!$B$2,1)+P365*参数!$B$6*IF(AND(F365="能力",AL365="能力持续"),参数!$B$2,1)+R365*参数!$B$7*IF(AND(F365="能力",AL365="能力持续"),参数!$B$2,1)+V365*参数!$B$8+IF(X365&lt;0,X365*参数!$B$13,X365*参数!$B$39)+IF(AE365&lt;0,AE365*参数!$B$13,AE365*参数!$B$12)*参数!$B$2+AQ365*参数!$B$15+AB365*参数!$B$11+AF365*参数!$B$40*参数!$B$2+AG365*参数!$B$44*参数!$B$2+AH365*参数!$B$6*参数!$B$2+AI365*参数!$B$39*参数!$B$2+AJ365*参数!$B$6*参数!$B$2+Z365*参数!$B$13-T365*参数!$B$14-AD365*参数!$B$13+IF(ISNUMBER(AU365),AU365*参数!$B$38,0)-AV365*参数!$B$41-AW365*参数!$B$14-参数!$B$17)*参数!$B$18,IF(AND(F365="能力",AL365="能力持续"),(参数!$B$2-1)*参数!$B$3,0)+M365*O365*参数!$B$5*IF(AND(F365="能力",AL365="能力持续"),参数!$B$2,1)+P365*参数!$B$6*IF(AND(F365="能力",AL365="能力持续"),参数!$B$2,1)+R365*参数!$B$7*IF(AND(F365="能力",AL365="能力持续"),参数!$B$2,1)+V365*参数!$B$8+IF(X365&lt;0,X365*参数!$B$13,X365*参数!$B$39)+IF(AE365&lt;0,AE365*参数!$B$13,AE365*参数!$B$12)*参数!$B$2+AQ365*参数!$B$15+AB365*参数!$B$11+AF365*参数!$B$40*参数!$B$2+AG365*参数!$B$44*参数!$B$2+AH365*参数!$B$6*参数!$B$2+AI365*参数!$B$39*参数!$B$2+AJ365*参数!$B$6*参数!$B$2+Z365*参数!$B$13-T365*参数!$B$14-AD365*参数!$B$13+IF(ISNUMBER(AU365),AU365*参数!$B$38,0)-AV365*参数!$B$41-AW365*参数!$B$14),0),0)</f>
        <v>14.398863489584555</v>
      </c>
      <c r="AZ365">
        <f>AY365-MAX(AP365,0)*参数!$B$10</f>
        <v>11.398863489584555</v>
      </c>
      <c r="BA365">
        <f t="shared" si="11"/>
        <v>14.398863489584555</v>
      </c>
    </row>
    <row r="366" spans="1:53" x14ac:dyDescent="0.3">
      <c r="A366">
        <v>365</v>
      </c>
      <c r="B366" t="s">
        <v>1578</v>
      </c>
      <c r="C366" t="s">
        <v>1401</v>
      </c>
      <c r="D366" t="s">
        <v>1579</v>
      </c>
      <c r="E366" t="s">
        <v>1580</v>
      </c>
      <c r="F366" t="s">
        <v>117</v>
      </c>
      <c r="G366" t="s">
        <v>12</v>
      </c>
      <c r="H366">
        <v>3</v>
      </c>
      <c r="I366">
        <v>3</v>
      </c>
      <c r="J366" t="s">
        <v>1581</v>
      </c>
      <c r="L366" t="s">
        <v>120</v>
      </c>
      <c r="M366">
        <v>0</v>
      </c>
      <c r="N366">
        <v>0</v>
      </c>
      <c r="O366">
        <v>1</v>
      </c>
      <c r="P366">
        <v>13</v>
      </c>
      <c r="Q366">
        <v>17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t="s">
        <v>112</v>
      </c>
      <c r="AP366">
        <f t="shared" si="10"/>
        <v>3</v>
      </c>
      <c r="AQ366">
        <v>0</v>
      </c>
      <c r="AR366">
        <v>0</v>
      </c>
      <c r="AT366" t="s">
        <v>113</v>
      </c>
      <c r="AU366">
        <v>0</v>
      </c>
      <c r="AY366">
        <f>IFERROR(MAX(IF(IF(AND(F366="能力",AL366="能力持续"),(参数!$B$2-1)*参数!$B$3,0)+M366*O366*参数!$B$5*IF(AND(F366="能力",AL366="能力持续"),参数!$B$2,1)+P366*参数!$B$6*IF(AND(F366="能力",AL366="能力持续"),参数!$B$2,1)+R366*参数!$B$7*IF(AND(F366="能力",AL366="能力持续"),参数!$B$2,1)+V366*参数!$B$8+IF(X366&lt;0,X366*参数!$B$13,X366*参数!$B$39)+IF(AE366&lt;0,AE366*参数!$B$13,AE366*参数!$B$12)*参数!$B$2+AQ366*参数!$B$15+AB366*参数!$B$11+AF366*参数!$B$40*参数!$B$2+AG366*参数!$B$44*参数!$B$2+AH366*参数!$B$6*参数!$B$2+AI366*参数!$B$39*参数!$B$2+AJ366*参数!$B$6*参数!$B$2+Z366*参数!$B$13-T366*参数!$B$14-AD366*参数!$B$13+IF(ISNUMBER(AU366),AU366*参数!$B$38,0)-AV366*参数!$B$41-AW366*参数!$B$14&gt;参数!$B$17,参数!$B$17+SQRT(IF(AND(F366="能力",AL366="能力持续"),(参数!$B$2-1)*参数!$B$3,0)+M366*O366*参数!$B$5*IF(AND(F366="能力",AL366="能力持续"),参数!$B$2,1)+P366*参数!$B$6*IF(AND(F366="能力",AL366="能力持续"),参数!$B$2,1)+R366*参数!$B$7*IF(AND(F366="能力",AL366="能力持续"),参数!$B$2,1)+V366*参数!$B$8+IF(X366&lt;0,X366*参数!$B$13,X366*参数!$B$39)+IF(AE366&lt;0,AE366*参数!$B$13,AE366*参数!$B$12)*参数!$B$2+AQ366*参数!$B$15+AB366*参数!$B$11+AF366*参数!$B$40*参数!$B$2+AG366*参数!$B$44*参数!$B$2+AH366*参数!$B$6*参数!$B$2+AI366*参数!$B$39*参数!$B$2+AJ366*参数!$B$6*参数!$B$2+Z366*参数!$B$13-T366*参数!$B$14-AD366*参数!$B$13+IF(ISNUMBER(AU366),AU366*参数!$B$38,0)-AV366*参数!$B$41-AW366*参数!$B$14-参数!$B$17)*参数!$B$18,IF(AND(F366="能力",AL366="能力持续"),(参数!$B$2-1)*参数!$B$3,0)+M366*O366*参数!$B$5*IF(AND(F366="能力",AL366="能力持续"),参数!$B$2,1)+P366*参数!$B$6*IF(AND(F366="能力",AL366="能力持续"),参数!$B$2,1)+R366*参数!$B$7*IF(AND(F366="能力",AL366="能力持续"),参数!$B$2,1)+V366*参数!$B$8+IF(X366&lt;0,X366*参数!$B$13,X366*参数!$B$39)+IF(AE366&lt;0,AE366*参数!$B$13,AE366*参数!$B$12)*参数!$B$2+AQ366*参数!$B$15+AB366*参数!$B$11+AF366*参数!$B$40*参数!$B$2+AG366*参数!$B$44*参数!$B$2+AH366*参数!$B$6*参数!$B$2+AI366*参数!$B$39*参数!$B$2+AJ366*参数!$B$6*参数!$B$2+Z366*参数!$B$13-T366*参数!$B$14-AD366*参数!$B$13+IF(ISNUMBER(AU366),AU366*参数!$B$38,0)-AV366*参数!$B$41-AW366*参数!$B$14),0),0)</f>
        <v>13.110466202999159</v>
      </c>
      <c r="AZ366">
        <f>AY366-MAX(AP366,0)*参数!$B$10</f>
        <v>4.1104662029991594</v>
      </c>
      <c r="BA366">
        <f t="shared" si="11"/>
        <v>4.3701554009997201</v>
      </c>
    </row>
    <row r="367" spans="1:53" x14ac:dyDescent="0.3">
      <c r="A367">
        <v>366</v>
      </c>
      <c r="B367" t="s">
        <v>1582</v>
      </c>
      <c r="C367" t="s">
        <v>1401</v>
      </c>
      <c r="D367" t="s">
        <v>1583</v>
      </c>
      <c r="E367" t="s">
        <v>1584</v>
      </c>
      <c r="F367" t="s">
        <v>108</v>
      </c>
      <c r="G367" t="s">
        <v>14</v>
      </c>
      <c r="H367">
        <v>0</v>
      </c>
      <c r="I367">
        <v>0</v>
      </c>
      <c r="J367" t="s">
        <v>1585</v>
      </c>
      <c r="L367" t="s">
        <v>111</v>
      </c>
      <c r="M367">
        <v>7</v>
      </c>
      <c r="N367">
        <v>9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t="s">
        <v>112</v>
      </c>
      <c r="AP367">
        <f t="shared" si="10"/>
        <v>0.4</v>
      </c>
      <c r="AQ367">
        <v>0</v>
      </c>
      <c r="AR367">
        <v>0</v>
      </c>
      <c r="AT367" t="s">
        <v>113</v>
      </c>
      <c r="AU367">
        <v>0</v>
      </c>
      <c r="AY367">
        <f>IFERROR(MAX(IF(IF(AND(F367="能力",AL367="能力持续"),(参数!$B$2-1)*参数!$B$3,0)+M367*O367*参数!$B$5*IF(AND(F367="能力",AL367="能力持续"),参数!$B$2,1)+P367*参数!$B$6*IF(AND(F367="能力",AL367="能力持续"),参数!$B$2,1)+R367*参数!$B$7*IF(AND(F367="能力",AL367="能力持续"),参数!$B$2,1)+V367*参数!$B$8+IF(X367&lt;0,X367*参数!$B$13,X367*参数!$B$39)+IF(AE367&lt;0,AE367*参数!$B$13,AE367*参数!$B$12)*参数!$B$2+AQ367*参数!$B$15+AB367*参数!$B$11+AF367*参数!$B$40*参数!$B$2+AG367*参数!$B$44*参数!$B$2+AH367*参数!$B$6*参数!$B$2+AI367*参数!$B$39*参数!$B$2+AJ367*参数!$B$6*参数!$B$2+Z367*参数!$B$13-T367*参数!$B$14-AD367*参数!$B$13+IF(ISNUMBER(AU367),AU367*参数!$B$38,0)-AV367*参数!$B$41-AW367*参数!$B$14&gt;参数!$B$17,参数!$B$17+SQRT(IF(AND(F367="能力",AL367="能力持续"),(参数!$B$2-1)*参数!$B$3,0)+M367*O367*参数!$B$5*IF(AND(F367="能力",AL367="能力持续"),参数!$B$2,1)+P367*参数!$B$6*IF(AND(F367="能力",AL367="能力持续"),参数!$B$2,1)+R367*参数!$B$7*IF(AND(F367="能力",AL367="能力持续"),参数!$B$2,1)+V367*参数!$B$8+IF(X367&lt;0,X367*参数!$B$13,X367*参数!$B$39)+IF(AE367&lt;0,AE367*参数!$B$13,AE367*参数!$B$12)*参数!$B$2+AQ367*参数!$B$15+AB367*参数!$B$11+AF367*参数!$B$40*参数!$B$2+AG367*参数!$B$44*参数!$B$2+AH367*参数!$B$6*参数!$B$2+AI367*参数!$B$39*参数!$B$2+AJ367*参数!$B$6*参数!$B$2+Z367*参数!$B$13-T367*参数!$B$14-AD367*参数!$B$13+IF(ISNUMBER(AU367),AU367*参数!$B$38,0)-AV367*参数!$B$41-AW367*参数!$B$14-参数!$B$17)*参数!$B$18,IF(AND(F367="能力",AL367="能力持续"),(参数!$B$2-1)*参数!$B$3,0)+M367*O367*参数!$B$5*IF(AND(F367="能力",AL367="能力持续"),参数!$B$2,1)+P367*参数!$B$6*IF(AND(F367="能力",AL367="能力持续"),参数!$B$2,1)+R367*参数!$B$7*IF(AND(F367="能力",AL367="能力持续"),参数!$B$2,1)+V367*参数!$B$8+IF(X367&lt;0,X367*参数!$B$13,X367*参数!$B$39)+IF(AE367&lt;0,AE367*参数!$B$13,AE367*参数!$B$12)*参数!$B$2+AQ367*参数!$B$15+AB367*参数!$B$11+AF367*参数!$B$40*参数!$B$2+AG367*参数!$B$44*参数!$B$2+AH367*参数!$B$6*参数!$B$2+AI367*参数!$B$39*参数!$B$2+AJ367*参数!$B$6*参数!$B$2+Z367*参数!$B$13-T367*参数!$B$14-AD367*参数!$B$13+IF(ISNUMBER(AU367),AU367*参数!$B$38,0)-AV367*参数!$B$41-AW367*参数!$B$14),0),0)</f>
        <v>7</v>
      </c>
      <c r="AZ367">
        <f>AY367-MAX(AP367,0)*参数!$B$10</f>
        <v>5.8</v>
      </c>
      <c r="BA367">
        <f t="shared" si="11"/>
        <v>17.5</v>
      </c>
    </row>
    <row r="368" spans="1:53" x14ac:dyDescent="0.3">
      <c r="A368">
        <v>367</v>
      </c>
      <c r="B368" t="s">
        <v>1586</v>
      </c>
      <c r="C368" t="s">
        <v>1401</v>
      </c>
      <c r="D368" t="s">
        <v>1587</v>
      </c>
      <c r="E368" t="s">
        <v>1588</v>
      </c>
      <c r="F368" t="s">
        <v>124</v>
      </c>
      <c r="G368" t="s">
        <v>14</v>
      </c>
      <c r="H368">
        <v>2</v>
      </c>
      <c r="I368">
        <v>2</v>
      </c>
      <c r="J368" t="s">
        <v>1589</v>
      </c>
      <c r="L368" t="s">
        <v>191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t="s">
        <v>112</v>
      </c>
      <c r="AN368" t="s">
        <v>322</v>
      </c>
      <c r="AP368">
        <f t="shared" si="10"/>
        <v>2</v>
      </c>
      <c r="AQ368">
        <v>0</v>
      </c>
      <c r="AR368">
        <v>0</v>
      </c>
      <c r="AT368" t="s">
        <v>113</v>
      </c>
      <c r="AU368">
        <v>5</v>
      </c>
      <c r="AY368">
        <f>IFERROR(MAX(IF(IF(AND(F368="能力",AL368="能力持续"),(参数!$B$2-1)*参数!$B$3,0)+M368*O368*参数!$B$5*IF(AND(F368="能力",AL368="能力持续"),参数!$B$2,1)+P368*参数!$B$6*IF(AND(F368="能力",AL368="能力持续"),参数!$B$2,1)+R368*参数!$B$7*IF(AND(F368="能力",AL368="能力持续"),参数!$B$2,1)+V368*参数!$B$8+IF(X368&lt;0,X368*参数!$B$13,X368*参数!$B$39)+IF(AE368&lt;0,AE368*参数!$B$13,AE368*参数!$B$12)*参数!$B$2+AQ368*参数!$B$15+AB368*参数!$B$11+AF368*参数!$B$40*参数!$B$2+AG368*参数!$B$44*参数!$B$2+AH368*参数!$B$6*参数!$B$2+AI368*参数!$B$39*参数!$B$2+AJ368*参数!$B$6*参数!$B$2+Z368*参数!$B$13-T368*参数!$B$14-AD368*参数!$B$13+IF(ISNUMBER(AU368),AU368*参数!$B$38,0)-AV368*参数!$B$41-AW368*参数!$B$14&gt;参数!$B$17,参数!$B$17+SQRT(IF(AND(F368="能力",AL368="能力持续"),(参数!$B$2-1)*参数!$B$3,0)+M368*O368*参数!$B$5*IF(AND(F368="能力",AL368="能力持续"),参数!$B$2,1)+P368*参数!$B$6*IF(AND(F368="能力",AL368="能力持续"),参数!$B$2,1)+R368*参数!$B$7*IF(AND(F368="能力",AL368="能力持续"),参数!$B$2,1)+V368*参数!$B$8+IF(X368&lt;0,X368*参数!$B$13,X368*参数!$B$39)+IF(AE368&lt;0,AE368*参数!$B$13,AE368*参数!$B$12)*参数!$B$2+AQ368*参数!$B$15+AB368*参数!$B$11+AF368*参数!$B$40*参数!$B$2+AG368*参数!$B$44*参数!$B$2+AH368*参数!$B$6*参数!$B$2+AI368*参数!$B$39*参数!$B$2+AJ368*参数!$B$6*参数!$B$2+Z368*参数!$B$13-T368*参数!$B$14-AD368*参数!$B$13+IF(ISNUMBER(AU368),AU368*参数!$B$38,0)-AV368*参数!$B$41-AW368*参数!$B$14-参数!$B$17)*参数!$B$18,IF(AND(F368="能力",AL368="能力持续"),(参数!$B$2-1)*参数!$B$3,0)+M368*O368*参数!$B$5*IF(AND(F368="能力",AL368="能力持续"),参数!$B$2,1)+P368*参数!$B$6*IF(AND(F368="能力",AL368="能力持续"),参数!$B$2,1)+R368*参数!$B$7*IF(AND(F368="能力",AL368="能力持续"),参数!$B$2,1)+V368*参数!$B$8+IF(X368&lt;0,X368*参数!$B$13,X368*参数!$B$39)+IF(AE368&lt;0,AE368*参数!$B$13,AE368*参数!$B$12)*参数!$B$2+AQ368*参数!$B$15+AB368*参数!$B$11+AF368*参数!$B$40*参数!$B$2+AG368*参数!$B$44*参数!$B$2+AH368*参数!$B$6*参数!$B$2+AI368*参数!$B$39*参数!$B$2+AJ368*参数!$B$6*参数!$B$2+Z368*参数!$B$13-T368*参数!$B$14-AD368*参数!$B$13+IF(ISNUMBER(AU368),AU368*参数!$B$38,0)-AV368*参数!$B$41-AW368*参数!$B$14),0),0)</f>
        <v>5</v>
      </c>
      <c r="AZ368">
        <f>AY368-MAX(AP368,0)*参数!$B$10</f>
        <v>-1</v>
      </c>
      <c r="BA368">
        <f t="shared" si="11"/>
        <v>2.5</v>
      </c>
    </row>
    <row r="369" spans="1:53" x14ac:dyDescent="0.3">
      <c r="A369">
        <v>368</v>
      </c>
      <c r="B369" t="s">
        <v>1590</v>
      </c>
      <c r="C369" t="s">
        <v>1401</v>
      </c>
      <c r="D369" t="s">
        <v>1591</v>
      </c>
      <c r="E369" t="s">
        <v>1592</v>
      </c>
      <c r="F369" t="s">
        <v>117</v>
      </c>
      <c r="G369" t="s">
        <v>10</v>
      </c>
      <c r="H369">
        <v>1</v>
      </c>
      <c r="I369">
        <v>1</v>
      </c>
      <c r="J369" t="s">
        <v>1593</v>
      </c>
      <c r="L369" t="s">
        <v>191</v>
      </c>
      <c r="M369">
        <v>0</v>
      </c>
      <c r="N369">
        <v>0</v>
      </c>
      <c r="O369">
        <v>1</v>
      </c>
      <c r="P369">
        <v>5</v>
      </c>
      <c r="Q369">
        <v>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7</v>
      </c>
      <c r="AH369">
        <v>0</v>
      </c>
      <c r="AI369">
        <v>0</v>
      </c>
      <c r="AJ369">
        <v>0</v>
      </c>
      <c r="AK369" t="s">
        <v>112</v>
      </c>
      <c r="AN369" t="s">
        <v>192</v>
      </c>
      <c r="AP369">
        <f t="shared" si="10"/>
        <v>1</v>
      </c>
      <c r="AQ369">
        <v>0</v>
      </c>
      <c r="AR369">
        <v>0</v>
      </c>
      <c r="AT369" t="s">
        <v>113</v>
      </c>
      <c r="AU369">
        <v>0</v>
      </c>
      <c r="AY369">
        <f>IFERROR(MAX(IF(IF(AND(F369="能力",AL369="能力持续"),(参数!$B$2-1)*参数!$B$3,0)+M369*O369*参数!$B$5*IF(AND(F369="能力",AL369="能力持续"),参数!$B$2,1)+P369*参数!$B$6*IF(AND(F369="能力",AL369="能力持续"),参数!$B$2,1)+R369*参数!$B$7*IF(AND(F369="能力",AL369="能力持续"),参数!$B$2,1)+V369*参数!$B$8+IF(X369&lt;0,X369*参数!$B$13,X369*参数!$B$39)+IF(AE369&lt;0,AE369*参数!$B$13,AE369*参数!$B$12)*参数!$B$2+AQ369*参数!$B$15+AB369*参数!$B$11+AF369*参数!$B$40*参数!$B$2+AG369*参数!$B$44*参数!$B$2+AH369*参数!$B$6*参数!$B$2+AI369*参数!$B$39*参数!$B$2+AJ369*参数!$B$6*参数!$B$2+Z369*参数!$B$13-T369*参数!$B$14-AD369*参数!$B$13+IF(ISNUMBER(AU369),AU369*参数!$B$38,0)-AV369*参数!$B$41-AW369*参数!$B$14&gt;参数!$B$17,参数!$B$17+SQRT(IF(AND(F369="能力",AL369="能力持续"),(参数!$B$2-1)*参数!$B$3,0)+M369*O369*参数!$B$5*IF(AND(F369="能力",AL369="能力持续"),参数!$B$2,1)+P369*参数!$B$6*IF(AND(F369="能力",AL369="能力持续"),参数!$B$2,1)+R369*参数!$B$7*IF(AND(F369="能力",AL369="能力持续"),参数!$B$2,1)+V369*参数!$B$8+IF(X369&lt;0,X369*参数!$B$13,X369*参数!$B$39)+IF(AE369&lt;0,AE369*参数!$B$13,AE369*参数!$B$12)*参数!$B$2+AQ369*参数!$B$15+AB369*参数!$B$11+AF369*参数!$B$40*参数!$B$2+AG369*参数!$B$44*参数!$B$2+AH369*参数!$B$6*参数!$B$2+AI369*参数!$B$39*参数!$B$2+AJ369*参数!$B$6*参数!$B$2+Z369*参数!$B$13-T369*参数!$B$14-AD369*参数!$B$13+IF(ISNUMBER(AU369),AU369*参数!$B$38,0)-AV369*参数!$B$41-AW369*参数!$B$14-参数!$B$17)*参数!$B$18,IF(AND(F369="能力",AL369="能力持续"),(参数!$B$2-1)*参数!$B$3,0)+M369*O369*参数!$B$5*IF(AND(F369="能力",AL369="能力持续"),参数!$B$2,1)+P369*参数!$B$6*IF(AND(F369="能力",AL369="能力持续"),参数!$B$2,1)+R369*参数!$B$7*IF(AND(F369="能力",AL369="能力持续"),参数!$B$2,1)+V369*参数!$B$8+IF(X369&lt;0,X369*参数!$B$13,X369*参数!$B$39)+IF(AE369&lt;0,AE369*参数!$B$13,AE369*参数!$B$12)*参数!$B$2+AQ369*参数!$B$15+AB369*参数!$B$11+AF369*参数!$B$40*参数!$B$2+AG369*参数!$B$44*参数!$B$2+AH369*参数!$B$6*参数!$B$2+AI369*参数!$B$39*参数!$B$2+AJ369*参数!$B$6*参数!$B$2+Z369*参数!$B$13-T369*参数!$B$14-AD369*参数!$B$13+IF(ISNUMBER(AU369),AU369*参数!$B$38,0)-AV369*参数!$B$41-AW369*参数!$B$14),0),0)</f>
        <v>15.828807768317635</v>
      </c>
      <c r="AZ369">
        <f>AY369-MAX(AP369,0)*参数!$B$10</f>
        <v>12.828807768317635</v>
      </c>
      <c r="BA369">
        <f t="shared" si="11"/>
        <v>15.828807768317635</v>
      </c>
    </row>
    <row r="370" spans="1:53" x14ac:dyDescent="0.3">
      <c r="A370">
        <v>369</v>
      </c>
      <c r="B370" t="s">
        <v>1594</v>
      </c>
      <c r="C370" t="s">
        <v>1401</v>
      </c>
      <c r="D370" t="s">
        <v>1595</v>
      </c>
      <c r="E370" t="s">
        <v>1596</v>
      </c>
      <c r="F370" t="s">
        <v>124</v>
      </c>
      <c r="G370" t="s">
        <v>14</v>
      </c>
      <c r="H370">
        <v>0</v>
      </c>
      <c r="I370">
        <v>0</v>
      </c>
      <c r="J370" t="s">
        <v>1597</v>
      </c>
      <c r="K370" t="s">
        <v>472</v>
      </c>
      <c r="L370" t="s">
        <v>120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2</v>
      </c>
      <c r="S370">
        <v>2</v>
      </c>
      <c r="T370">
        <v>0</v>
      </c>
      <c r="U370">
        <v>0</v>
      </c>
      <c r="V370">
        <v>3</v>
      </c>
      <c r="W370">
        <v>4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-3</v>
      </c>
      <c r="AH370">
        <v>0</v>
      </c>
      <c r="AI370">
        <v>0</v>
      </c>
      <c r="AJ370">
        <v>0</v>
      </c>
      <c r="AK370" t="s">
        <v>112</v>
      </c>
      <c r="AL370" t="s">
        <v>127</v>
      </c>
      <c r="AN370" t="s">
        <v>124</v>
      </c>
      <c r="AO370" t="s">
        <v>472</v>
      </c>
      <c r="AP370">
        <f t="shared" si="10"/>
        <v>0.4</v>
      </c>
      <c r="AQ370">
        <v>0</v>
      </c>
      <c r="AR370">
        <v>0</v>
      </c>
      <c r="AT370" t="s">
        <v>113</v>
      </c>
      <c r="AU370">
        <v>0</v>
      </c>
      <c r="AY370">
        <f>IFERROR(MAX(IF(IF(AND(F370="能力",AL370="能力持续"),(参数!$B$2-1)*参数!$B$3,0)+M370*O370*参数!$B$5*IF(AND(F370="能力",AL370="能力持续"),参数!$B$2,1)+P370*参数!$B$6*IF(AND(F370="能力",AL370="能力持续"),参数!$B$2,1)+R370*参数!$B$7*IF(AND(F370="能力",AL370="能力持续"),参数!$B$2,1)+V370*参数!$B$8+IF(X370&lt;0,X370*参数!$B$13,X370*参数!$B$39)+IF(AE370&lt;0,AE370*参数!$B$13,AE370*参数!$B$12)*参数!$B$2+AQ370*参数!$B$15+AB370*参数!$B$11+AF370*参数!$B$40*参数!$B$2+AG370*参数!$B$44*参数!$B$2+AH370*参数!$B$6*参数!$B$2+AI370*参数!$B$39*参数!$B$2+AJ370*参数!$B$6*参数!$B$2+Z370*参数!$B$13-T370*参数!$B$14-AD370*参数!$B$13+IF(ISNUMBER(AU370),AU370*参数!$B$38,0)-AV370*参数!$B$41-AW370*参数!$B$14&gt;参数!$B$17,参数!$B$17+SQRT(IF(AND(F370="能力",AL370="能力持续"),(参数!$B$2-1)*参数!$B$3,0)+M370*O370*参数!$B$5*IF(AND(F370="能力",AL370="能力持续"),参数!$B$2,1)+P370*参数!$B$6*IF(AND(F370="能力",AL370="能力持续"),参数!$B$2,1)+R370*参数!$B$7*IF(AND(F370="能力",AL370="能力持续"),参数!$B$2,1)+V370*参数!$B$8+IF(X370&lt;0,X370*参数!$B$13,X370*参数!$B$39)+IF(AE370&lt;0,AE370*参数!$B$13,AE370*参数!$B$12)*参数!$B$2+AQ370*参数!$B$15+AB370*参数!$B$11+AF370*参数!$B$40*参数!$B$2+AG370*参数!$B$44*参数!$B$2+AH370*参数!$B$6*参数!$B$2+AI370*参数!$B$39*参数!$B$2+AJ370*参数!$B$6*参数!$B$2+Z370*参数!$B$13-T370*参数!$B$14-AD370*参数!$B$13+IF(ISNUMBER(AU370),AU370*参数!$B$38,0)-AV370*参数!$B$41-AW370*参数!$B$14-参数!$B$17)*参数!$B$18,IF(AND(F370="能力",AL370="能力持续"),(参数!$B$2-1)*参数!$B$3,0)+M370*O370*参数!$B$5*IF(AND(F370="能力",AL370="能力持续"),参数!$B$2,1)+P370*参数!$B$6*IF(AND(F370="能力",AL370="能力持续"),参数!$B$2,1)+R370*参数!$B$7*IF(AND(F370="能力",AL370="能力持续"),参数!$B$2,1)+V370*参数!$B$8+IF(X370&lt;0,X370*参数!$B$13,X370*参数!$B$39)+IF(AE370&lt;0,AE370*参数!$B$13,AE370*参数!$B$12)*参数!$B$2+AQ370*参数!$B$15+AB370*参数!$B$11+AF370*参数!$B$40*参数!$B$2+AG370*参数!$B$44*参数!$B$2+AH370*参数!$B$6*参数!$B$2+AI370*参数!$B$39*参数!$B$2+AJ370*参数!$B$6*参数!$B$2+Z370*参数!$B$13-T370*参数!$B$14-AD370*参数!$B$13+IF(ISNUMBER(AU370),AU370*参数!$B$38,0)-AV370*参数!$B$41-AW370*参数!$B$14),0),0)</f>
        <v>9.8000000000000007</v>
      </c>
      <c r="AZ370">
        <f>AY370-MAX(AP370,0)*参数!$B$10</f>
        <v>8.6000000000000014</v>
      </c>
      <c r="BA370">
        <f t="shared" si="11"/>
        <v>24.5</v>
      </c>
    </row>
    <row r="371" spans="1:53" x14ac:dyDescent="0.3">
      <c r="A371">
        <v>370</v>
      </c>
      <c r="B371" t="s">
        <v>1598</v>
      </c>
      <c r="C371" t="s">
        <v>1401</v>
      </c>
      <c r="D371" t="s">
        <v>1599</v>
      </c>
      <c r="E371" t="s">
        <v>1600</v>
      </c>
      <c r="F371" t="s">
        <v>117</v>
      </c>
      <c r="G371" t="s">
        <v>12</v>
      </c>
      <c r="H371">
        <v>1</v>
      </c>
      <c r="I371">
        <v>1</v>
      </c>
      <c r="J371" t="s">
        <v>1601</v>
      </c>
      <c r="L371" t="s">
        <v>111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f>参数!$B$30/10*5+10</f>
        <v>22.5</v>
      </c>
      <c r="AH371">
        <v>0</v>
      </c>
      <c r="AI371">
        <v>0</v>
      </c>
      <c r="AJ371">
        <v>0</v>
      </c>
      <c r="AK371" t="s">
        <v>112</v>
      </c>
      <c r="AP371">
        <f t="shared" si="10"/>
        <v>1</v>
      </c>
      <c r="AQ371">
        <v>0</v>
      </c>
      <c r="AR371">
        <v>0</v>
      </c>
      <c r="AT371" t="s">
        <v>113</v>
      </c>
      <c r="AU371">
        <v>0</v>
      </c>
      <c r="AY371">
        <f>IFERROR(MAX(IF(IF(AND(F371="能力",AL371="能力持续"),(参数!$B$2-1)*参数!$B$3,0)+M371*O371*参数!$B$5*IF(AND(F371="能力",AL371="能力持续"),参数!$B$2,1)+P371*参数!$B$6*IF(AND(F371="能力",AL371="能力持续"),参数!$B$2,1)+R371*参数!$B$7*IF(AND(F371="能力",AL371="能力持续"),参数!$B$2,1)+V371*参数!$B$8+IF(X371&lt;0,X371*参数!$B$13,X371*参数!$B$39)+IF(AE371&lt;0,AE371*参数!$B$13,AE371*参数!$B$12)*参数!$B$2+AQ371*参数!$B$15+AB371*参数!$B$11+AF371*参数!$B$40*参数!$B$2+AG371*参数!$B$44*参数!$B$2+AH371*参数!$B$6*参数!$B$2+AI371*参数!$B$39*参数!$B$2+AJ371*参数!$B$6*参数!$B$2+Z371*参数!$B$13-T371*参数!$B$14-AD371*参数!$B$13+IF(ISNUMBER(AU371),AU371*参数!$B$38,0)-AV371*参数!$B$41-AW371*参数!$B$14&gt;参数!$B$17,参数!$B$17+SQRT(IF(AND(F371="能力",AL371="能力持续"),(参数!$B$2-1)*参数!$B$3,0)+M371*O371*参数!$B$5*IF(AND(F371="能力",AL371="能力持续"),参数!$B$2,1)+P371*参数!$B$6*IF(AND(F371="能力",AL371="能力持续"),参数!$B$2,1)+R371*参数!$B$7*IF(AND(F371="能力",AL371="能力持续"),参数!$B$2,1)+V371*参数!$B$8+IF(X371&lt;0,X371*参数!$B$13,X371*参数!$B$39)+IF(AE371&lt;0,AE371*参数!$B$13,AE371*参数!$B$12)*参数!$B$2+AQ371*参数!$B$15+AB371*参数!$B$11+AF371*参数!$B$40*参数!$B$2+AG371*参数!$B$44*参数!$B$2+AH371*参数!$B$6*参数!$B$2+AI371*参数!$B$39*参数!$B$2+AJ371*参数!$B$6*参数!$B$2+Z371*参数!$B$13-T371*参数!$B$14-AD371*参数!$B$13+IF(ISNUMBER(AU371),AU371*参数!$B$38,0)-AV371*参数!$B$41-AW371*参数!$B$14-参数!$B$17)*参数!$B$18,IF(AND(F371="能力",AL371="能力持续"),(参数!$B$2-1)*参数!$B$3,0)+M371*O371*参数!$B$5*IF(AND(F371="能力",AL371="能力持续"),参数!$B$2,1)+P371*参数!$B$6*IF(AND(F371="能力",AL371="能力持续"),参数!$B$2,1)+R371*参数!$B$7*IF(AND(F371="能力",AL371="能力持续"),参数!$B$2,1)+V371*参数!$B$8+IF(X371&lt;0,X371*参数!$B$13,X371*参数!$B$39)+IF(AE371&lt;0,AE371*参数!$B$13,AE371*参数!$B$12)*参数!$B$2+AQ371*参数!$B$15+AB371*参数!$B$11+AF371*参数!$B$40*参数!$B$2+AG371*参数!$B$44*参数!$B$2+AH371*参数!$B$6*参数!$B$2+AI371*参数!$B$39*参数!$B$2+AJ371*参数!$B$6*参数!$B$2+Z371*参数!$B$13-T371*参数!$B$14-AD371*参数!$B$13+IF(ISNUMBER(AU371),AU371*参数!$B$38,0)-AV371*参数!$B$41-AW371*参数!$B$14),0),0)</f>
        <v>20.920164833920779</v>
      </c>
      <c r="AZ371">
        <f>AY371-MAX(AP371,0)*参数!$B$10</f>
        <v>17.920164833920779</v>
      </c>
      <c r="BA371">
        <f t="shared" si="11"/>
        <v>20.920164833920779</v>
      </c>
    </row>
    <row r="372" spans="1:53" x14ac:dyDescent="0.3">
      <c r="A372">
        <v>371</v>
      </c>
      <c r="B372" t="s">
        <v>1602</v>
      </c>
      <c r="C372" t="s">
        <v>1401</v>
      </c>
      <c r="D372" t="s">
        <v>1603</v>
      </c>
      <c r="E372" t="s">
        <v>1604</v>
      </c>
      <c r="F372" t="s">
        <v>117</v>
      </c>
      <c r="G372" t="s">
        <v>14</v>
      </c>
      <c r="H372">
        <v>0</v>
      </c>
      <c r="I372">
        <v>0</v>
      </c>
      <c r="J372" t="s">
        <v>1605</v>
      </c>
      <c r="L372" t="s">
        <v>111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f>(参数!$B$23-1)*3</f>
        <v>10.5</v>
      </c>
      <c r="AH372">
        <v>0</v>
      </c>
      <c r="AI372">
        <v>0</v>
      </c>
      <c r="AJ372">
        <v>0</v>
      </c>
      <c r="AK372" t="s">
        <v>112</v>
      </c>
      <c r="AN372" t="s">
        <v>161</v>
      </c>
      <c r="AP372">
        <f t="shared" si="10"/>
        <v>0.4</v>
      </c>
      <c r="AQ372">
        <v>0</v>
      </c>
      <c r="AR372">
        <v>0</v>
      </c>
      <c r="AT372" t="s">
        <v>113</v>
      </c>
      <c r="AU372">
        <v>0</v>
      </c>
      <c r="AY372">
        <f>IFERROR(MAX(IF(IF(AND(F372="能力",AL372="能力持续"),(参数!$B$2-1)*参数!$B$3,0)+M372*O372*参数!$B$5*IF(AND(F372="能力",AL372="能力持续"),参数!$B$2,1)+P372*参数!$B$6*IF(AND(F372="能力",AL372="能力持续"),参数!$B$2,1)+R372*参数!$B$7*IF(AND(F372="能力",AL372="能力持续"),参数!$B$2,1)+V372*参数!$B$8+IF(X372&lt;0,X372*参数!$B$13,X372*参数!$B$39)+IF(AE372&lt;0,AE372*参数!$B$13,AE372*参数!$B$12)*参数!$B$2+AQ372*参数!$B$15+AB372*参数!$B$11+AF372*参数!$B$40*参数!$B$2+AG372*参数!$B$44*参数!$B$2+AH372*参数!$B$6*参数!$B$2+AI372*参数!$B$39*参数!$B$2+AJ372*参数!$B$6*参数!$B$2+Z372*参数!$B$13-T372*参数!$B$14-AD372*参数!$B$13+IF(ISNUMBER(AU372),AU372*参数!$B$38,0)-AV372*参数!$B$41-AW372*参数!$B$14&gt;参数!$B$17,参数!$B$17+SQRT(IF(AND(F372="能力",AL372="能力持续"),(参数!$B$2-1)*参数!$B$3,0)+M372*O372*参数!$B$5*IF(AND(F372="能力",AL372="能力持续"),参数!$B$2,1)+P372*参数!$B$6*IF(AND(F372="能力",AL372="能力持续"),参数!$B$2,1)+R372*参数!$B$7*IF(AND(F372="能力",AL372="能力持续"),参数!$B$2,1)+V372*参数!$B$8+IF(X372&lt;0,X372*参数!$B$13,X372*参数!$B$39)+IF(AE372&lt;0,AE372*参数!$B$13,AE372*参数!$B$12)*参数!$B$2+AQ372*参数!$B$15+AB372*参数!$B$11+AF372*参数!$B$40*参数!$B$2+AG372*参数!$B$44*参数!$B$2+AH372*参数!$B$6*参数!$B$2+AI372*参数!$B$39*参数!$B$2+AJ372*参数!$B$6*参数!$B$2+Z372*参数!$B$13-T372*参数!$B$14-AD372*参数!$B$13+IF(ISNUMBER(AU372),AU372*参数!$B$38,0)-AV372*参数!$B$41-AW372*参数!$B$14-参数!$B$17)*参数!$B$18,IF(AND(F372="能力",AL372="能力持续"),(参数!$B$2-1)*参数!$B$3,0)+M372*O372*参数!$B$5*IF(AND(F372="能力",AL372="能力持续"),参数!$B$2,1)+P372*参数!$B$6*IF(AND(F372="能力",AL372="能力持续"),参数!$B$2,1)+R372*参数!$B$7*IF(AND(F372="能力",AL372="能力持续"),参数!$B$2,1)+V372*参数!$B$8+IF(X372&lt;0,X372*参数!$B$13,X372*参数!$B$39)+IF(AE372&lt;0,AE372*参数!$B$13,AE372*参数!$B$12)*参数!$B$2+AQ372*参数!$B$15+AB372*参数!$B$11+AF372*参数!$B$40*参数!$B$2+AG372*参数!$B$44*参数!$B$2+AH372*参数!$B$6*参数!$B$2+AI372*参数!$B$39*参数!$B$2+AJ372*参数!$B$6*参数!$B$2+Z372*参数!$B$13-T372*参数!$B$14-AD372*参数!$B$13+IF(ISNUMBER(AU372),AU372*参数!$B$38,0)-AV372*参数!$B$41-AW372*参数!$B$14),0),0)</f>
        <v>16.60681466366357</v>
      </c>
      <c r="AZ372">
        <f>AY372-MAX(AP372,0)*参数!$B$10</f>
        <v>15.406814663663571</v>
      </c>
      <c r="BA372">
        <f t="shared" si="11"/>
        <v>41.517036659158926</v>
      </c>
    </row>
    <row r="373" spans="1:53" x14ac:dyDescent="0.3">
      <c r="A373">
        <v>372</v>
      </c>
      <c r="B373" t="s">
        <v>1606</v>
      </c>
      <c r="C373" t="s">
        <v>1401</v>
      </c>
      <c r="D373" t="s">
        <v>1607</v>
      </c>
      <c r="E373" t="s">
        <v>1608</v>
      </c>
      <c r="F373" t="s">
        <v>124</v>
      </c>
      <c r="G373" t="s">
        <v>12</v>
      </c>
      <c r="H373">
        <v>1</v>
      </c>
      <c r="I373">
        <v>0</v>
      </c>
      <c r="J373" t="s">
        <v>1609</v>
      </c>
      <c r="L373" t="s">
        <v>120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f>参数!$B$31</f>
        <v>1.5</v>
      </c>
      <c r="S373">
        <f>参数!$B$31</f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112</v>
      </c>
      <c r="AL373" t="s">
        <v>127</v>
      </c>
      <c r="AN373" t="s">
        <v>124</v>
      </c>
      <c r="AP373">
        <f t="shared" si="10"/>
        <v>1</v>
      </c>
      <c r="AQ373">
        <v>0</v>
      </c>
      <c r="AR373">
        <v>0</v>
      </c>
      <c r="AT373" t="s">
        <v>113</v>
      </c>
      <c r="AU373">
        <v>0</v>
      </c>
      <c r="AY373">
        <f>IFERROR(MAX(IF(IF(AND(F373="能力",AL373="能力持续"),(参数!$B$2-1)*参数!$B$3,0)+M373*O373*参数!$B$5*IF(AND(F373="能力",AL373="能力持续"),参数!$B$2,1)+P373*参数!$B$6*IF(AND(F373="能力",AL373="能力持续"),参数!$B$2,1)+R373*参数!$B$7*IF(AND(F373="能力",AL373="能力持续"),参数!$B$2,1)+V373*参数!$B$8+IF(X373&lt;0,X373*参数!$B$13,X373*参数!$B$39)+IF(AE373&lt;0,AE373*参数!$B$13,AE373*参数!$B$12)*参数!$B$2+AQ373*参数!$B$15+AB373*参数!$B$11+AF373*参数!$B$40*参数!$B$2+AG373*参数!$B$44*参数!$B$2+AH373*参数!$B$6*参数!$B$2+AI373*参数!$B$39*参数!$B$2+AJ373*参数!$B$6*参数!$B$2+Z373*参数!$B$13-T373*参数!$B$14-AD373*参数!$B$13+IF(ISNUMBER(AU373),AU373*参数!$B$38,0)-AV373*参数!$B$41-AW373*参数!$B$14&gt;参数!$B$17,参数!$B$17+SQRT(IF(AND(F373="能力",AL373="能力持续"),(参数!$B$2-1)*参数!$B$3,0)+M373*O373*参数!$B$5*IF(AND(F373="能力",AL373="能力持续"),参数!$B$2,1)+P373*参数!$B$6*IF(AND(F373="能力",AL373="能力持续"),参数!$B$2,1)+R373*参数!$B$7*IF(AND(F373="能力",AL373="能力持续"),参数!$B$2,1)+V373*参数!$B$8+IF(X373&lt;0,X373*参数!$B$13,X373*参数!$B$39)+IF(AE373&lt;0,AE373*参数!$B$13,AE373*参数!$B$12)*参数!$B$2+AQ373*参数!$B$15+AB373*参数!$B$11+AF373*参数!$B$40*参数!$B$2+AG373*参数!$B$44*参数!$B$2+AH373*参数!$B$6*参数!$B$2+AI373*参数!$B$39*参数!$B$2+AJ373*参数!$B$6*参数!$B$2+Z373*参数!$B$13-T373*参数!$B$14-AD373*参数!$B$13+IF(ISNUMBER(AU373),AU373*参数!$B$38,0)-AV373*参数!$B$41-AW373*参数!$B$14-参数!$B$17)*参数!$B$18,IF(AND(F373="能力",AL373="能力持续"),(参数!$B$2-1)*参数!$B$3,0)+M373*O373*参数!$B$5*IF(AND(F373="能力",AL373="能力持续"),参数!$B$2,1)+P373*参数!$B$6*IF(AND(F373="能力",AL373="能力持续"),参数!$B$2,1)+R373*参数!$B$7*IF(AND(F373="能力",AL373="能力持续"),参数!$B$2,1)+V373*参数!$B$8+IF(X373&lt;0,X373*参数!$B$13,X373*参数!$B$39)+IF(AE373&lt;0,AE373*参数!$B$13,AE373*参数!$B$12)*参数!$B$2+AQ373*参数!$B$15+AB373*参数!$B$11+AF373*参数!$B$40*参数!$B$2+AG373*参数!$B$44*参数!$B$2+AH373*参数!$B$6*参数!$B$2+AI373*参数!$B$39*参数!$B$2+AJ373*参数!$B$6*参数!$B$2+Z373*参数!$B$13-T373*参数!$B$14-AD373*参数!$B$13+IF(ISNUMBER(AU373),AU373*参数!$B$38,0)-AV373*参数!$B$41-AW373*参数!$B$14),0),0)</f>
        <v>7.7999999999999989</v>
      </c>
      <c r="AZ373">
        <f>AY373-MAX(AP373,0)*参数!$B$10</f>
        <v>4.7999999999999989</v>
      </c>
      <c r="BA373">
        <f t="shared" si="11"/>
        <v>7.7999999999999989</v>
      </c>
    </row>
    <row r="374" spans="1:53" x14ac:dyDescent="0.3">
      <c r="A374">
        <v>373</v>
      </c>
      <c r="B374" t="s">
        <v>1610</v>
      </c>
      <c r="C374" t="s">
        <v>1401</v>
      </c>
      <c r="D374" t="s">
        <v>1611</v>
      </c>
      <c r="E374" t="s">
        <v>1612</v>
      </c>
      <c r="F374" t="s">
        <v>117</v>
      </c>
      <c r="G374" t="s">
        <v>12</v>
      </c>
      <c r="H374">
        <v>1</v>
      </c>
      <c r="I374">
        <v>1</v>
      </c>
      <c r="J374" t="s">
        <v>1039</v>
      </c>
      <c r="L374" t="s">
        <v>111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3</v>
      </c>
      <c r="S374">
        <v>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112</v>
      </c>
      <c r="AP374">
        <f t="shared" si="10"/>
        <v>1</v>
      </c>
      <c r="AQ374">
        <v>0</v>
      </c>
      <c r="AR374">
        <v>0</v>
      </c>
      <c r="AT374" t="s">
        <v>113</v>
      </c>
      <c r="AU374">
        <v>0</v>
      </c>
      <c r="AY374">
        <f>IFERROR(MAX(IF(IF(AND(F374="能力",AL374="能力持续"),(参数!$B$2-1)*参数!$B$3,0)+M374*O374*参数!$B$5*IF(AND(F374="能力",AL374="能力持续"),参数!$B$2,1)+P374*参数!$B$6*IF(AND(F374="能力",AL374="能力持续"),参数!$B$2,1)+R374*参数!$B$7*IF(AND(F374="能力",AL374="能力持续"),参数!$B$2,1)+V374*参数!$B$8+IF(X374&lt;0,X374*参数!$B$13,X374*参数!$B$39)+IF(AE374&lt;0,AE374*参数!$B$13,AE374*参数!$B$12)*参数!$B$2+AQ374*参数!$B$15+AB374*参数!$B$11+AF374*参数!$B$40*参数!$B$2+AG374*参数!$B$44*参数!$B$2+AH374*参数!$B$6*参数!$B$2+AI374*参数!$B$39*参数!$B$2+AJ374*参数!$B$6*参数!$B$2+Z374*参数!$B$13-T374*参数!$B$14-AD374*参数!$B$13+IF(ISNUMBER(AU374),AU374*参数!$B$38,0)-AV374*参数!$B$41-AW374*参数!$B$14&gt;参数!$B$17,参数!$B$17+SQRT(IF(AND(F374="能力",AL374="能力持续"),(参数!$B$2-1)*参数!$B$3,0)+M374*O374*参数!$B$5*IF(AND(F374="能力",AL374="能力持续"),参数!$B$2,1)+P374*参数!$B$6*IF(AND(F374="能力",AL374="能力持续"),参数!$B$2,1)+R374*参数!$B$7*IF(AND(F374="能力",AL374="能力持续"),参数!$B$2,1)+V374*参数!$B$8+IF(X374&lt;0,X374*参数!$B$13,X374*参数!$B$39)+IF(AE374&lt;0,AE374*参数!$B$13,AE374*参数!$B$12)*参数!$B$2+AQ374*参数!$B$15+AB374*参数!$B$11+AF374*参数!$B$40*参数!$B$2+AG374*参数!$B$44*参数!$B$2+AH374*参数!$B$6*参数!$B$2+AI374*参数!$B$39*参数!$B$2+AJ374*参数!$B$6*参数!$B$2+Z374*参数!$B$13-T374*参数!$B$14-AD374*参数!$B$13+IF(ISNUMBER(AU374),AU374*参数!$B$38,0)-AV374*参数!$B$41-AW374*参数!$B$14-参数!$B$17)*参数!$B$18,IF(AND(F374="能力",AL374="能力持续"),(参数!$B$2-1)*参数!$B$3,0)+M374*O374*参数!$B$5*IF(AND(F374="能力",AL374="能力持续"),参数!$B$2,1)+P374*参数!$B$6*IF(AND(F374="能力",AL374="能力持续"),参数!$B$2,1)+R374*参数!$B$7*IF(AND(F374="能力",AL374="能力持续"),参数!$B$2,1)+V374*参数!$B$8+IF(X374&lt;0,X374*参数!$B$13,X374*参数!$B$39)+IF(AE374&lt;0,AE374*参数!$B$13,AE374*参数!$B$12)*参数!$B$2+AQ374*参数!$B$15+AB374*参数!$B$11+AF374*参数!$B$40*参数!$B$2+AG374*参数!$B$44*参数!$B$2+AH374*参数!$B$6*参数!$B$2+AI374*参数!$B$39*参数!$B$2+AJ374*参数!$B$6*参数!$B$2+Z374*参数!$B$13-T374*参数!$B$14-AD374*参数!$B$13+IF(ISNUMBER(AU374),AU374*参数!$B$38,0)-AV374*参数!$B$41-AW374*参数!$B$14),0),0)</f>
        <v>2.0999999999999996</v>
      </c>
      <c r="AZ374">
        <f>AY374-MAX(AP374,0)*参数!$B$10</f>
        <v>-0.90000000000000036</v>
      </c>
      <c r="BA374">
        <f t="shared" si="11"/>
        <v>2.0999999999999996</v>
      </c>
    </row>
    <row r="375" spans="1:53" x14ac:dyDescent="0.3">
      <c r="A375">
        <v>374</v>
      </c>
      <c r="B375" t="s">
        <v>1613</v>
      </c>
      <c r="C375" t="s">
        <v>1401</v>
      </c>
      <c r="D375" t="s">
        <v>1614</v>
      </c>
      <c r="E375" t="s">
        <v>1615</v>
      </c>
      <c r="F375" t="s">
        <v>108</v>
      </c>
      <c r="G375" t="s">
        <v>10</v>
      </c>
      <c r="H375">
        <v>0</v>
      </c>
      <c r="I375">
        <v>0</v>
      </c>
      <c r="J375" t="s">
        <v>1616</v>
      </c>
      <c r="L375" t="s">
        <v>111</v>
      </c>
      <c r="M375">
        <v>6</v>
      </c>
      <c r="N375">
        <v>9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112</v>
      </c>
      <c r="AP375">
        <f t="shared" si="10"/>
        <v>0.4</v>
      </c>
      <c r="AQ375">
        <v>0</v>
      </c>
      <c r="AR375">
        <v>0</v>
      </c>
      <c r="AT375" t="s">
        <v>113</v>
      </c>
      <c r="AU375">
        <v>0</v>
      </c>
      <c r="AY375">
        <f>IFERROR(MAX(IF(IF(AND(F375="能力",AL375="能力持续"),(参数!$B$2-1)*参数!$B$3,0)+M375*O375*参数!$B$5*IF(AND(F375="能力",AL375="能力持续"),参数!$B$2,1)+P375*参数!$B$6*IF(AND(F375="能力",AL375="能力持续"),参数!$B$2,1)+R375*参数!$B$7*IF(AND(F375="能力",AL375="能力持续"),参数!$B$2,1)+V375*参数!$B$8+IF(X375&lt;0,X375*参数!$B$13,X375*参数!$B$39)+IF(AE375&lt;0,AE375*参数!$B$13,AE375*参数!$B$12)*参数!$B$2+AQ375*参数!$B$15+AB375*参数!$B$11+AF375*参数!$B$40*参数!$B$2+AG375*参数!$B$44*参数!$B$2+AH375*参数!$B$6*参数!$B$2+AI375*参数!$B$39*参数!$B$2+AJ375*参数!$B$6*参数!$B$2+Z375*参数!$B$13-T375*参数!$B$14-AD375*参数!$B$13+IF(ISNUMBER(AU375),AU375*参数!$B$38,0)-AV375*参数!$B$41-AW375*参数!$B$14&gt;参数!$B$17,参数!$B$17+SQRT(IF(AND(F375="能力",AL375="能力持续"),(参数!$B$2-1)*参数!$B$3,0)+M375*O375*参数!$B$5*IF(AND(F375="能力",AL375="能力持续"),参数!$B$2,1)+P375*参数!$B$6*IF(AND(F375="能力",AL375="能力持续"),参数!$B$2,1)+R375*参数!$B$7*IF(AND(F375="能力",AL375="能力持续"),参数!$B$2,1)+V375*参数!$B$8+IF(X375&lt;0,X375*参数!$B$13,X375*参数!$B$39)+IF(AE375&lt;0,AE375*参数!$B$13,AE375*参数!$B$12)*参数!$B$2+AQ375*参数!$B$15+AB375*参数!$B$11+AF375*参数!$B$40*参数!$B$2+AG375*参数!$B$44*参数!$B$2+AH375*参数!$B$6*参数!$B$2+AI375*参数!$B$39*参数!$B$2+AJ375*参数!$B$6*参数!$B$2+Z375*参数!$B$13-T375*参数!$B$14-AD375*参数!$B$13+IF(ISNUMBER(AU375),AU375*参数!$B$38,0)-AV375*参数!$B$41-AW375*参数!$B$14-参数!$B$17)*参数!$B$18,IF(AND(F375="能力",AL375="能力持续"),(参数!$B$2-1)*参数!$B$3,0)+M375*O375*参数!$B$5*IF(AND(F375="能力",AL375="能力持续"),参数!$B$2,1)+P375*参数!$B$6*IF(AND(F375="能力",AL375="能力持续"),参数!$B$2,1)+R375*参数!$B$7*IF(AND(F375="能力",AL375="能力持续"),参数!$B$2,1)+V375*参数!$B$8+IF(X375&lt;0,X375*参数!$B$13,X375*参数!$B$39)+IF(AE375&lt;0,AE375*参数!$B$13,AE375*参数!$B$12)*参数!$B$2+AQ375*参数!$B$15+AB375*参数!$B$11+AF375*参数!$B$40*参数!$B$2+AG375*参数!$B$44*参数!$B$2+AH375*参数!$B$6*参数!$B$2+AI375*参数!$B$39*参数!$B$2+AJ375*参数!$B$6*参数!$B$2+Z375*参数!$B$13-T375*参数!$B$14-AD375*参数!$B$13+IF(ISNUMBER(AU375),AU375*参数!$B$38,0)-AV375*参数!$B$41-AW375*参数!$B$14),0),0)</f>
        <v>6</v>
      </c>
      <c r="AZ375">
        <f>AY375-MAX(AP375,0)*参数!$B$10</f>
        <v>4.8</v>
      </c>
      <c r="BA375">
        <f t="shared" si="11"/>
        <v>15</v>
      </c>
    </row>
    <row r="376" spans="1:53" x14ac:dyDescent="0.3">
      <c r="A376">
        <v>375</v>
      </c>
      <c r="B376" t="s">
        <v>1617</v>
      </c>
      <c r="C376" t="s">
        <v>1401</v>
      </c>
      <c r="D376" t="s">
        <v>1618</v>
      </c>
      <c r="E376" t="s">
        <v>1619</v>
      </c>
      <c r="F376" t="s">
        <v>108</v>
      </c>
      <c r="G376" t="s">
        <v>16</v>
      </c>
      <c r="H376">
        <v>1</v>
      </c>
      <c r="I376">
        <v>0</v>
      </c>
      <c r="J376" t="s">
        <v>1620</v>
      </c>
      <c r="L376" t="s">
        <v>111</v>
      </c>
      <c r="M376">
        <f>参数!$B$32+10</f>
        <v>25</v>
      </c>
      <c r="N376">
        <f>参数!$B$32+10</f>
        <v>25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112</v>
      </c>
      <c r="AP376">
        <f t="shared" si="10"/>
        <v>1</v>
      </c>
      <c r="AQ376">
        <v>0</v>
      </c>
      <c r="AR376">
        <v>0</v>
      </c>
      <c r="AT376" t="s">
        <v>113</v>
      </c>
      <c r="AU376">
        <v>0</v>
      </c>
      <c r="AY376">
        <f>IFERROR(MAX(IF(IF(AND(F376="能力",AL376="能力持续"),(参数!$B$2-1)*参数!$B$3,0)+M376*O376*参数!$B$5*IF(AND(F376="能力",AL376="能力持续"),参数!$B$2,1)+P376*参数!$B$6*IF(AND(F376="能力",AL376="能力持续"),参数!$B$2,1)+R376*参数!$B$7*IF(AND(F376="能力",AL376="能力持续"),参数!$B$2,1)+V376*参数!$B$8+IF(X376&lt;0,X376*参数!$B$13,X376*参数!$B$39)+IF(AE376&lt;0,AE376*参数!$B$13,AE376*参数!$B$12)*参数!$B$2+AQ376*参数!$B$15+AB376*参数!$B$11+AF376*参数!$B$40*参数!$B$2+AG376*参数!$B$44*参数!$B$2+AH376*参数!$B$6*参数!$B$2+AI376*参数!$B$39*参数!$B$2+AJ376*参数!$B$6*参数!$B$2+Z376*参数!$B$13-T376*参数!$B$14-AD376*参数!$B$13+IF(ISNUMBER(AU376),AU376*参数!$B$38,0)-AV376*参数!$B$41-AW376*参数!$B$14&gt;参数!$B$17,参数!$B$17+SQRT(IF(AND(F376="能力",AL376="能力持续"),(参数!$B$2-1)*参数!$B$3,0)+M376*O376*参数!$B$5*IF(AND(F376="能力",AL376="能力持续"),参数!$B$2,1)+P376*参数!$B$6*IF(AND(F376="能力",AL376="能力持续"),参数!$B$2,1)+R376*参数!$B$7*IF(AND(F376="能力",AL376="能力持续"),参数!$B$2,1)+V376*参数!$B$8+IF(X376&lt;0,X376*参数!$B$13,X376*参数!$B$39)+IF(AE376&lt;0,AE376*参数!$B$13,AE376*参数!$B$12)*参数!$B$2+AQ376*参数!$B$15+AB376*参数!$B$11+AF376*参数!$B$40*参数!$B$2+AG376*参数!$B$44*参数!$B$2+AH376*参数!$B$6*参数!$B$2+AI376*参数!$B$39*参数!$B$2+AJ376*参数!$B$6*参数!$B$2+Z376*参数!$B$13-T376*参数!$B$14-AD376*参数!$B$13+IF(ISNUMBER(AU376),AU376*参数!$B$38,0)-AV376*参数!$B$41-AW376*参数!$B$14-参数!$B$17)*参数!$B$18,IF(AND(F376="能力",AL376="能力持续"),(参数!$B$2-1)*参数!$B$3,0)+M376*O376*参数!$B$5*IF(AND(F376="能力",AL376="能力持续"),参数!$B$2,1)+P376*参数!$B$6*IF(AND(F376="能力",AL376="能力持续"),参数!$B$2,1)+R376*参数!$B$7*IF(AND(F376="能力",AL376="能力持续"),参数!$B$2,1)+V376*参数!$B$8+IF(X376&lt;0,X376*参数!$B$13,X376*参数!$B$39)+IF(AE376&lt;0,AE376*参数!$B$13,AE376*参数!$B$12)*参数!$B$2+AQ376*参数!$B$15+AB376*参数!$B$11+AF376*参数!$B$40*参数!$B$2+AG376*参数!$B$44*参数!$B$2+AH376*参数!$B$6*参数!$B$2+AI376*参数!$B$39*参数!$B$2+AJ376*参数!$B$6*参数!$B$2+Z376*参数!$B$13-T376*参数!$B$14-AD376*参数!$B$13+IF(ISNUMBER(AU376),AU376*参数!$B$38,0)-AV376*参数!$B$41-AW376*参数!$B$14),0),0)</f>
        <v>15.809475019311126</v>
      </c>
      <c r="AZ376">
        <f>AY376-MAX(AP376,0)*参数!$B$10</f>
        <v>12.809475019311126</v>
      </c>
      <c r="BA376">
        <f t="shared" si="11"/>
        <v>15.809475019311126</v>
      </c>
    </row>
    <row r="377" spans="1:53" x14ac:dyDescent="0.3">
      <c r="A377">
        <v>376</v>
      </c>
      <c r="B377" t="s">
        <v>1621</v>
      </c>
      <c r="C377" t="s">
        <v>1401</v>
      </c>
      <c r="D377" t="s">
        <v>1622</v>
      </c>
      <c r="E377" t="s">
        <v>1623</v>
      </c>
      <c r="F377" t="s">
        <v>117</v>
      </c>
      <c r="G377" t="s">
        <v>10</v>
      </c>
      <c r="H377">
        <v>2</v>
      </c>
      <c r="I377">
        <v>2</v>
      </c>
      <c r="J377" t="s">
        <v>1624</v>
      </c>
      <c r="L377" t="s">
        <v>120</v>
      </c>
      <c r="M377">
        <v>0</v>
      </c>
      <c r="N377">
        <v>0</v>
      </c>
      <c r="O377">
        <v>1</v>
      </c>
      <c r="P377">
        <v>7</v>
      </c>
      <c r="Q377">
        <v>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112</v>
      </c>
      <c r="AP377">
        <f t="shared" si="10"/>
        <v>2</v>
      </c>
      <c r="AQ377">
        <v>0</v>
      </c>
      <c r="AR377">
        <v>0</v>
      </c>
      <c r="AT377" t="s">
        <v>113</v>
      </c>
      <c r="AU377">
        <v>4</v>
      </c>
      <c r="AY377">
        <f>IFERROR(MAX(IF(IF(AND(F377="能力",AL377="能力持续"),(参数!$B$2-1)*参数!$B$3,0)+M377*O377*参数!$B$5*IF(AND(F377="能力",AL377="能力持续"),参数!$B$2,1)+P377*参数!$B$6*IF(AND(F377="能力",AL377="能力持续"),参数!$B$2,1)+R377*参数!$B$7*IF(AND(F377="能力",AL377="能力持续"),参数!$B$2,1)+V377*参数!$B$8+IF(X377&lt;0,X377*参数!$B$13,X377*参数!$B$39)+IF(AE377&lt;0,AE377*参数!$B$13,AE377*参数!$B$12)*参数!$B$2+AQ377*参数!$B$15+AB377*参数!$B$11+AF377*参数!$B$40*参数!$B$2+AG377*参数!$B$44*参数!$B$2+AH377*参数!$B$6*参数!$B$2+AI377*参数!$B$39*参数!$B$2+AJ377*参数!$B$6*参数!$B$2+Z377*参数!$B$13-T377*参数!$B$14-AD377*参数!$B$13+IF(ISNUMBER(AU377),AU377*参数!$B$38,0)-AV377*参数!$B$41-AW377*参数!$B$14&gt;参数!$B$17,参数!$B$17+SQRT(IF(AND(F377="能力",AL377="能力持续"),(参数!$B$2-1)*参数!$B$3,0)+M377*O377*参数!$B$5*IF(AND(F377="能力",AL377="能力持续"),参数!$B$2,1)+P377*参数!$B$6*IF(AND(F377="能力",AL377="能力持续"),参数!$B$2,1)+R377*参数!$B$7*IF(AND(F377="能力",AL377="能力持续"),参数!$B$2,1)+V377*参数!$B$8+IF(X377&lt;0,X377*参数!$B$13,X377*参数!$B$39)+IF(AE377&lt;0,AE377*参数!$B$13,AE377*参数!$B$12)*参数!$B$2+AQ377*参数!$B$15+AB377*参数!$B$11+AF377*参数!$B$40*参数!$B$2+AG377*参数!$B$44*参数!$B$2+AH377*参数!$B$6*参数!$B$2+AI377*参数!$B$39*参数!$B$2+AJ377*参数!$B$6*参数!$B$2+Z377*参数!$B$13-T377*参数!$B$14-AD377*参数!$B$13+IF(ISNUMBER(AU377),AU377*参数!$B$38,0)-AV377*参数!$B$41-AW377*参数!$B$14-参数!$B$17)*参数!$B$18,IF(AND(F377="能力",AL377="能力持续"),(参数!$B$2-1)*参数!$B$3,0)+M377*O377*参数!$B$5*IF(AND(F377="能力",AL377="能力持续"),参数!$B$2,1)+P377*参数!$B$6*IF(AND(F377="能力",AL377="能力持续"),参数!$B$2,1)+R377*参数!$B$7*IF(AND(F377="能力",AL377="能力持续"),参数!$B$2,1)+V377*参数!$B$8+IF(X377&lt;0,X377*参数!$B$13,X377*参数!$B$39)+IF(AE377&lt;0,AE377*参数!$B$13,AE377*参数!$B$12)*参数!$B$2+AQ377*参数!$B$15+AB377*参数!$B$11+AF377*参数!$B$40*参数!$B$2+AG377*参数!$B$44*参数!$B$2+AH377*参数!$B$6*参数!$B$2+AI377*参数!$B$39*参数!$B$2+AJ377*参数!$B$6*参数!$B$2+Z377*参数!$B$13-T377*参数!$B$14-AD377*参数!$B$13+IF(ISNUMBER(AU377),AU377*参数!$B$38,0)-AV377*参数!$B$41-AW377*参数!$B$14),0),0)</f>
        <v>11.955760721560795</v>
      </c>
      <c r="AZ377">
        <f>AY377-MAX(AP377,0)*参数!$B$10</f>
        <v>5.9557607215607948</v>
      </c>
      <c r="BA377">
        <f t="shared" si="11"/>
        <v>5.9778803607803974</v>
      </c>
    </row>
    <row r="378" spans="1:53" x14ac:dyDescent="0.3">
      <c r="A378">
        <v>377</v>
      </c>
      <c r="B378" t="s">
        <v>1625</v>
      </c>
      <c r="C378" t="s">
        <v>1401</v>
      </c>
      <c r="D378" t="s">
        <v>1626</v>
      </c>
      <c r="E378" t="s">
        <v>1627</v>
      </c>
      <c r="F378" t="s">
        <v>108</v>
      </c>
      <c r="G378" t="s">
        <v>12</v>
      </c>
      <c r="H378">
        <v>1</v>
      </c>
      <c r="I378">
        <v>1</v>
      </c>
      <c r="J378" t="s">
        <v>1628</v>
      </c>
      <c r="L378" t="s">
        <v>111</v>
      </c>
      <c r="M378">
        <v>5</v>
      </c>
      <c r="N378">
        <v>7</v>
      </c>
      <c r="O378">
        <f>参数!B31</f>
        <v>1.5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112</v>
      </c>
      <c r="AP378">
        <f t="shared" si="10"/>
        <v>1</v>
      </c>
      <c r="AQ378">
        <v>0</v>
      </c>
      <c r="AR378">
        <v>0</v>
      </c>
      <c r="AT378" t="s">
        <v>113</v>
      </c>
      <c r="AU378">
        <v>0</v>
      </c>
      <c r="AY378">
        <f>IFERROR(MAX(IF(IF(AND(F378="能力",AL378="能力持续"),(参数!$B$2-1)*参数!$B$3,0)+M378*O378*参数!$B$5*IF(AND(F378="能力",AL378="能力持续"),参数!$B$2,1)+P378*参数!$B$6*IF(AND(F378="能力",AL378="能力持续"),参数!$B$2,1)+R378*参数!$B$7*IF(AND(F378="能力",AL378="能力持续"),参数!$B$2,1)+V378*参数!$B$8+IF(X378&lt;0,X378*参数!$B$13,X378*参数!$B$39)+IF(AE378&lt;0,AE378*参数!$B$13,AE378*参数!$B$12)*参数!$B$2+AQ378*参数!$B$15+AB378*参数!$B$11+AF378*参数!$B$40*参数!$B$2+AG378*参数!$B$44*参数!$B$2+AH378*参数!$B$6*参数!$B$2+AI378*参数!$B$39*参数!$B$2+AJ378*参数!$B$6*参数!$B$2+Z378*参数!$B$13-T378*参数!$B$14-AD378*参数!$B$13+IF(ISNUMBER(AU378),AU378*参数!$B$38,0)-AV378*参数!$B$41-AW378*参数!$B$14&gt;参数!$B$17,参数!$B$17+SQRT(IF(AND(F378="能力",AL378="能力持续"),(参数!$B$2-1)*参数!$B$3,0)+M378*O378*参数!$B$5*IF(AND(F378="能力",AL378="能力持续"),参数!$B$2,1)+P378*参数!$B$6*IF(AND(F378="能力",AL378="能力持续"),参数!$B$2,1)+R378*参数!$B$7*IF(AND(F378="能力",AL378="能力持续"),参数!$B$2,1)+V378*参数!$B$8+IF(X378&lt;0,X378*参数!$B$13,X378*参数!$B$39)+IF(AE378&lt;0,AE378*参数!$B$13,AE378*参数!$B$12)*参数!$B$2+AQ378*参数!$B$15+AB378*参数!$B$11+AF378*参数!$B$40*参数!$B$2+AG378*参数!$B$44*参数!$B$2+AH378*参数!$B$6*参数!$B$2+AI378*参数!$B$39*参数!$B$2+AJ378*参数!$B$6*参数!$B$2+Z378*参数!$B$13-T378*参数!$B$14-AD378*参数!$B$13+IF(ISNUMBER(AU378),AU378*参数!$B$38,0)-AV378*参数!$B$41-AW378*参数!$B$14-参数!$B$17)*参数!$B$18,IF(AND(F378="能力",AL378="能力持续"),(参数!$B$2-1)*参数!$B$3,0)+M378*O378*参数!$B$5*IF(AND(F378="能力",AL378="能力持续"),参数!$B$2,1)+P378*参数!$B$6*IF(AND(F378="能力",AL378="能力持续"),参数!$B$2,1)+R378*参数!$B$7*IF(AND(F378="能力",AL378="能力持续"),参数!$B$2,1)+V378*参数!$B$8+IF(X378&lt;0,X378*参数!$B$13,X378*参数!$B$39)+IF(AE378&lt;0,AE378*参数!$B$13,AE378*参数!$B$12)*参数!$B$2+AQ378*参数!$B$15+AB378*参数!$B$11+AF378*参数!$B$40*参数!$B$2+AG378*参数!$B$44*参数!$B$2+AH378*参数!$B$6*参数!$B$2+AI378*参数!$B$39*参数!$B$2+AJ378*参数!$B$6*参数!$B$2+Z378*参数!$B$13-T378*参数!$B$14-AD378*参数!$B$13+IF(ISNUMBER(AU378),AU378*参数!$B$38,0)-AV378*参数!$B$41-AW378*参数!$B$14),0),0)</f>
        <v>7.5</v>
      </c>
      <c r="AZ378">
        <f>AY378-MAX(AP378,0)*参数!$B$10</f>
        <v>4.5</v>
      </c>
      <c r="BA378">
        <f t="shared" si="11"/>
        <v>7.5</v>
      </c>
    </row>
    <row r="379" spans="1:53" x14ac:dyDescent="0.3">
      <c r="A379">
        <v>378</v>
      </c>
      <c r="B379" t="s">
        <v>1629</v>
      </c>
      <c r="C379" t="s">
        <v>1401</v>
      </c>
      <c r="D379" t="s">
        <v>1630</v>
      </c>
      <c r="E379" t="s">
        <v>1631</v>
      </c>
      <c r="F379" t="s">
        <v>117</v>
      </c>
      <c r="G379" t="s">
        <v>12</v>
      </c>
      <c r="H379">
        <v>1</v>
      </c>
      <c r="I379">
        <v>1</v>
      </c>
      <c r="J379" t="s">
        <v>1268</v>
      </c>
      <c r="L379" t="s">
        <v>111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</v>
      </c>
      <c r="AA379">
        <v>3</v>
      </c>
      <c r="AB379">
        <v>2</v>
      </c>
      <c r="AC379">
        <v>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112</v>
      </c>
      <c r="AP379">
        <f t="shared" si="10"/>
        <v>1</v>
      </c>
      <c r="AQ379">
        <v>0</v>
      </c>
      <c r="AR379">
        <v>0</v>
      </c>
      <c r="AT379" t="s">
        <v>113</v>
      </c>
      <c r="AU379">
        <v>0</v>
      </c>
      <c r="AY379">
        <f>IFERROR(MAX(IF(IF(AND(F379="能力",AL379="能力持续"),(参数!$B$2-1)*参数!$B$3,0)+M379*O379*参数!$B$5*IF(AND(F379="能力",AL379="能力持续"),参数!$B$2,1)+P379*参数!$B$6*IF(AND(F379="能力",AL379="能力持续"),参数!$B$2,1)+R379*参数!$B$7*IF(AND(F379="能力",AL379="能力持续"),参数!$B$2,1)+V379*参数!$B$8+IF(X379&lt;0,X379*参数!$B$13,X379*参数!$B$39)+IF(AE379&lt;0,AE379*参数!$B$13,AE379*参数!$B$12)*参数!$B$2+AQ379*参数!$B$15+AB379*参数!$B$11+AF379*参数!$B$40*参数!$B$2+AG379*参数!$B$44*参数!$B$2+AH379*参数!$B$6*参数!$B$2+AI379*参数!$B$39*参数!$B$2+AJ379*参数!$B$6*参数!$B$2+Z379*参数!$B$13-T379*参数!$B$14-AD379*参数!$B$13+IF(ISNUMBER(AU379),AU379*参数!$B$38,0)-AV379*参数!$B$41-AW379*参数!$B$14&gt;参数!$B$17,参数!$B$17+SQRT(IF(AND(F379="能力",AL379="能力持续"),(参数!$B$2-1)*参数!$B$3,0)+M379*O379*参数!$B$5*IF(AND(F379="能力",AL379="能力持续"),参数!$B$2,1)+P379*参数!$B$6*IF(AND(F379="能力",AL379="能力持续"),参数!$B$2,1)+R379*参数!$B$7*IF(AND(F379="能力",AL379="能力持续"),参数!$B$2,1)+V379*参数!$B$8+IF(X379&lt;0,X379*参数!$B$13,X379*参数!$B$39)+IF(AE379&lt;0,AE379*参数!$B$13,AE379*参数!$B$12)*参数!$B$2+AQ379*参数!$B$15+AB379*参数!$B$11+AF379*参数!$B$40*参数!$B$2+AG379*参数!$B$44*参数!$B$2+AH379*参数!$B$6*参数!$B$2+AI379*参数!$B$39*参数!$B$2+AJ379*参数!$B$6*参数!$B$2+Z379*参数!$B$13-T379*参数!$B$14-AD379*参数!$B$13+IF(ISNUMBER(AU379),AU379*参数!$B$38,0)-AV379*参数!$B$41-AW379*参数!$B$14-参数!$B$17)*参数!$B$18,IF(AND(F379="能力",AL379="能力持续"),(参数!$B$2-1)*参数!$B$3,0)+M379*O379*参数!$B$5*IF(AND(F379="能力",AL379="能力持续"),参数!$B$2,1)+P379*参数!$B$6*IF(AND(F379="能力",AL379="能力持续"),参数!$B$2,1)+R379*参数!$B$7*IF(AND(F379="能力",AL379="能力持续"),参数!$B$2,1)+V379*参数!$B$8+IF(X379&lt;0,X379*参数!$B$13,X379*参数!$B$39)+IF(AE379&lt;0,AE379*参数!$B$13,AE379*参数!$B$12)*参数!$B$2+AQ379*参数!$B$15+AB379*参数!$B$11+AF379*参数!$B$40*参数!$B$2+AG379*参数!$B$44*参数!$B$2+AH379*参数!$B$6*参数!$B$2+AI379*参数!$B$39*参数!$B$2+AJ379*参数!$B$6*参数!$B$2+Z379*参数!$B$13-T379*参数!$B$14-AD379*参数!$B$13+IF(ISNUMBER(AU379),AU379*参数!$B$38,0)-AV379*参数!$B$41-AW379*参数!$B$14),0),0)</f>
        <v>5.6</v>
      </c>
      <c r="AZ379">
        <f>AY379-MAX(AP379,0)*参数!$B$10</f>
        <v>2.5999999999999996</v>
      </c>
      <c r="BA379">
        <f t="shared" si="11"/>
        <v>5.6</v>
      </c>
    </row>
    <row r="380" spans="1:53" x14ac:dyDescent="0.3">
      <c r="A380">
        <v>379</v>
      </c>
      <c r="B380" t="s">
        <v>1632</v>
      </c>
      <c r="C380" t="s">
        <v>1401</v>
      </c>
      <c r="D380" t="s">
        <v>1633</v>
      </c>
      <c r="E380" t="s">
        <v>1634</v>
      </c>
      <c r="F380" t="s">
        <v>108</v>
      </c>
      <c r="G380" t="s">
        <v>12</v>
      </c>
      <c r="H380">
        <v>1</v>
      </c>
      <c r="I380">
        <v>1</v>
      </c>
      <c r="J380" t="s">
        <v>1635</v>
      </c>
      <c r="L380" t="s">
        <v>111</v>
      </c>
      <c r="M380">
        <v>7</v>
      </c>
      <c r="N380">
        <v>9</v>
      </c>
      <c r="O380">
        <f>参数!$B$33-1</f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 t="s">
        <v>112</v>
      </c>
      <c r="AN380" t="s">
        <v>161</v>
      </c>
      <c r="AP380">
        <f t="shared" si="10"/>
        <v>1</v>
      </c>
      <c r="AQ380">
        <v>0</v>
      </c>
      <c r="AR380">
        <v>0</v>
      </c>
      <c r="AT380" t="s">
        <v>113</v>
      </c>
      <c r="AU380">
        <v>0</v>
      </c>
      <c r="AY380">
        <f>IFERROR(MAX(IF(IF(AND(F380="能力",AL380="能力持续"),(参数!$B$2-1)*参数!$B$3,0)+M380*O380*参数!$B$5*IF(AND(F380="能力",AL380="能力持续"),参数!$B$2,1)+P380*参数!$B$6*IF(AND(F380="能力",AL380="能力持续"),参数!$B$2,1)+R380*参数!$B$7*IF(AND(F380="能力",AL380="能力持续"),参数!$B$2,1)+V380*参数!$B$8+IF(X380&lt;0,X380*参数!$B$13,X380*参数!$B$39)+IF(AE380&lt;0,AE380*参数!$B$13,AE380*参数!$B$12)*参数!$B$2+AQ380*参数!$B$15+AB380*参数!$B$11+AF380*参数!$B$40*参数!$B$2+AG380*参数!$B$44*参数!$B$2+AH380*参数!$B$6*参数!$B$2+AI380*参数!$B$39*参数!$B$2+AJ380*参数!$B$6*参数!$B$2+Z380*参数!$B$13-T380*参数!$B$14-AD380*参数!$B$13+IF(ISNUMBER(AU380),AU380*参数!$B$38,0)-AV380*参数!$B$41-AW380*参数!$B$14&gt;参数!$B$17,参数!$B$17+SQRT(IF(AND(F380="能力",AL380="能力持续"),(参数!$B$2-1)*参数!$B$3,0)+M380*O380*参数!$B$5*IF(AND(F380="能力",AL380="能力持续"),参数!$B$2,1)+P380*参数!$B$6*IF(AND(F380="能力",AL380="能力持续"),参数!$B$2,1)+R380*参数!$B$7*IF(AND(F380="能力",AL380="能力持续"),参数!$B$2,1)+V380*参数!$B$8+IF(X380&lt;0,X380*参数!$B$13,X380*参数!$B$39)+IF(AE380&lt;0,AE380*参数!$B$13,AE380*参数!$B$12)*参数!$B$2+AQ380*参数!$B$15+AB380*参数!$B$11+AF380*参数!$B$40*参数!$B$2+AG380*参数!$B$44*参数!$B$2+AH380*参数!$B$6*参数!$B$2+AI380*参数!$B$39*参数!$B$2+AJ380*参数!$B$6*参数!$B$2+Z380*参数!$B$13-T380*参数!$B$14-AD380*参数!$B$13+IF(ISNUMBER(AU380),AU380*参数!$B$38,0)-AV380*参数!$B$41-AW380*参数!$B$14-参数!$B$17)*参数!$B$18,IF(AND(F380="能力",AL380="能力持续"),(参数!$B$2-1)*参数!$B$3,0)+M380*O380*参数!$B$5*IF(AND(F380="能力",AL380="能力持续"),参数!$B$2,1)+P380*参数!$B$6*IF(AND(F380="能力",AL380="能力持续"),参数!$B$2,1)+R380*参数!$B$7*IF(AND(F380="能力",AL380="能力持续"),参数!$B$2,1)+V380*参数!$B$8+IF(X380&lt;0,X380*参数!$B$13,X380*参数!$B$39)+IF(AE380&lt;0,AE380*参数!$B$13,AE380*参数!$B$12)*参数!$B$2+AQ380*参数!$B$15+AB380*参数!$B$11+AF380*参数!$B$40*参数!$B$2+AG380*参数!$B$44*参数!$B$2+AH380*参数!$B$6*参数!$B$2+AI380*参数!$B$39*参数!$B$2+AJ380*参数!$B$6*参数!$B$2+Z380*参数!$B$13-T380*参数!$B$14-AD380*参数!$B$13+IF(ISNUMBER(AU380),AU380*参数!$B$38,0)-AV380*参数!$B$41-AW380*参数!$B$14),0),0)</f>
        <v>13</v>
      </c>
      <c r="AZ380">
        <f>AY380-MAX(AP380,0)*参数!$B$10</f>
        <v>10</v>
      </c>
      <c r="BA380">
        <f t="shared" si="11"/>
        <v>13</v>
      </c>
    </row>
    <row r="381" spans="1:53" x14ac:dyDescent="0.3">
      <c r="A381">
        <v>380</v>
      </c>
      <c r="B381" t="s">
        <v>1636</v>
      </c>
      <c r="C381" t="s">
        <v>1401</v>
      </c>
      <c r="D381" t="s">
        <v>1637</v>
      </c>
      <c r="E381" t="s">
        <v>1638</v>
      </c>
      <c r="F381" t="s">
        <v>117</v>
      </c>
      <c r="G381" t="s">
        <v>14</v>
      </c>
      <c r="H381">
        <v>3</v>
      </c>
      <c r="I381">
        <v>3</v>
      </c>
      <c r="J381" t="s">
        <v>1639</v>
      </c>
      <c r="L381" t="s">
        <v>111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112</v>
      </c>
      <c r="AP381">
        <f t="shared" si="10"/>
        <v>3</v>
      </c>
      <c r="AQ381">
        <v>0</v>
      </c>
      <c r="AR381">
        <v>0</v>
      </c>
      <c r="AT381" t="s">
        <v>113</v>
      </c>
      <c r="AU381">
        <v>20</v>
      </c>
      <c r="AY381">
        <f>IFERROR(MAX(IF(IF(AND(F381="能力",AL381="能力持续"),(参数!$B$2-1)*参数!$B$3,0)+M381*O381*参数!$B$5*IF(AND(F381="能力",AL381="能力持续"),参数!$B$2,1)+P381*参数!$B$6*IF(AND(F381="能力",AL381="能力持续"),参数!$B$2,1)+R381*参数!$B$7*IF(AND(F381="能力",AL381="能力持续"),参数!$B$2,1)+V381*参数!$B$8+IF(X381&lt;0,X381*参数!$B$13,X381*参数!$B$39)+IF(AE381&lt;0,AE381*参数!$B$13,AE381*参数!$B$12)*参数!$B$2+AQ381*参数!$B$15+AB381*参数!$B$11+AF381*参数!$B$40*参数!$B$2+AG381*参数!$B$44*参数!$B$2+AH381*参数!$B$6*参数!$B$2+AI381*参数!$B$39*参数!$B$2+AJ381*参数!$B$6*参数!$B$2+Z381*参数!$B$13-T381*参数!$B$14-AD381*参数!$B$13+IF(ISNUMBER(AU381),AU381*参数!$B$38,0)-AV381*参数!$B$41-AW381*参数!$B$14&gt;参数!$B$17,参数!$B$17+SQRT(IF(AND(F381="能力",AL381="能力持续"),(参数!$B$2-1)*参数!$B$3,0)+M381*O381*参数!$B$5*IF(AND(F381="能力",AL381="能力持续"),参数!$B$2,1)+P381*参数!$B$6*IF(AND(F381="能力",AL381="能力持续"),参数!$B$2,1)+R381*参数!$B$7*IF(AND(F381="能力",AL381="能力持续"),参数!$B$2,1)+V381*参数!$B$8+IF(X381&lt;0,X381*参数!$B$13,X381*参数!$B$39)+IF(AE381&lt;0,AE381*参数!$B$13,AE381*参数!$B$12)*参数!$B$2+AQ381*参数!$B$15+AB381*参数!$B$11+AF381*参数!$B$40*参数!$B$2+AG381*参数!$B$44*参数!$B$2+AH381*参数!$B$6*参数!$B$2+AI381*参数!$B$39*参数!$B$2+AJ381*参数!$B$6*参数!$B$2+Z381*参数!$B$13-T381*参数!$B$14-AD381*参数!$B$13+IF(ISNUMBER(AU381),AU381*参数!$B$38,0)-AV381*参数!$B$41-AW381*参数!$B$14-参数!$B$17)*参数!$B$18,IF(AND(F381="能力",AL381="能力持续"),(参数!$B$2-1)*参数!$B$3,0)+M381*O381*参数!$B$5*IF(AND(F381="能力",AL381="能力持续"),参数!$B$2,1)+P381*参数!$B$6*IF(AND(F381="能力",AL381="能力持续"),参数!$B$2,1)+R381*参数!$B$7*IF(AND(F381="能力",AL381="能力持续"),参数!$B$2,1)+V381*参数!$B$8+IF(X381&lt;0,X381*参数!$B$13,X381*参数!$B$39)+IF(AE381&lt;0,AE381*参数!$B$13,AE381*参数!$B$12)*参数!$B$2+AQ381*参数!$B$15+AB381*参数!$B$11+AF381*参数!$B$40*参数!$B$2+AG381*参数!$B$44*参数!$B$2+AH381*参数!$B$6*参数!$B$2+AI381*参数!$B$39*参数!$B$2+AJ381*参数!$B$6*参数!$B$2+Z381*参数!$B$13-T381*参数!$B$14-AD381*参数!$B$13+IF(ISNUMBER(AU381),AU381*参数!$B$38,0)-AV381*参数!$B$41-AW381*参数!$B$14),0),0)</f>
        <v>14.743416490252569</v>
      </c>
      <c r="AZ381">
        <f>AY381-MAX(AP381,0)*参数!$B$10</f>
        <v>5.7434164902525691</v>
      </c>
      <c r="BA381">
        <f t="shared" si="11"/>
        <v>4.914472163417523</v>
      </c>
    </row>
    <row r="382" spans="1:53" x14ac:dyDescent="0.3">
      <c r="A382">
        <v>381</v>
      </c>
      <c r="B382" t="s">
        <v>1640</v>
      </c>
      <c r="C382" t="s">
        <v>1401</v>
      </c>
      <c r="D382" t="s">
        <v>32</v>
      </c>
      <c r="E382" t="s">
        <v>1641</v>
      </c>
      <c r="F382" t="s">
        <v>108</v>
      </c>
      <c r="G382" t="s">
        <v>10</v>
      </c>
      <c r="H382">
        <v>3</v>
      </c>
      <c r="I382">
        <v>3</v>
      </c>
      <c r="J382" t="s">
        <v>1642</v>
      </c>
      <c r="L382" t="s">
        <v>111</v>
      </c>
      <c r="M382">
        <v>27</v>
      </c>
      <c r="N382">
        <v>33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 t="s">
        <v>112</v>
      </c>
      <c r="AP382">
        <f t="shared" si="10"/>
        <v>3</v>
      </c>
      <c r="AQ382">
        <v>0</v>
      </c>
      <c r="AR382">
        <v>0</v>
      </c>
      <c r="AT382" t="s">
        <v>113</v>
      </c>
      <c r="AU382">
        <v>0</v>
      </c>
      <c r="AY382">
        <f>IFERROR(MAX(IF(IF(AND(F382="能力",AL382="能力持续"),(参数!$B$2-1)*参数!$B$3,0)+M382*O382*参数!$B$5*IF(AND(F382="能力",AL382="能力持续"),参数!$B$2,1)+P382*参数!$B$6*IF(AND(F382="能力",AL382="能力持续"),参数!$B$2,1)+R382*参数!$B$7*IF(AND(F382="能力",AL382="能力持续"),参数!$B$2,1)+V382*参数!$B$8+IF(X382&lt;0,X382*参数!$B$13,X382*参数!$B$39)+IF(AE382&lt;0,AE382*参数!$B$13,AE382*参数!$B$12)*参数!$B$2+AQ382*参数!$B$15+AB382*参数!$B$11+AF382*参数!$B$40*参数!$B$2+AG382*参数!$B$44*参数!$B$2+AH382*参数!$B$6*参数!$B$2+AI382*参数!$B$39*参数!$B$2+AJ382*参数!$B$6*参数!$B$2+Z382*参数!$B$13-T382*参数!$B$14-AD382*参数!$B$13+IF(ISNUMBER(AU382),AU382*参数!$B$38,0)-AV382*参数!$B$41-AW382*参数!$B$14&gt;参数!$B$17,参数!$B$17+SQRT(IF(AND(F382="能力",AL382="能力持续"),(参数!$B$2-1)*参数!$B$3,0)+M382*O382*参数!$B$5*IF(AND(F382="能力",AL382="能力持续"),参数!$B$2,1)+P382*参数!$B$6*IF(AND(F382="能力",AL382="能力持续"),参数!$B$2,1)+R382*参数!$B$7*IF(AND(F382="能力",AL382="能力持续"),参数!$B$2,1)+V382*参数!$B$8+IF(X382&lt;0,X382*参数!$B$13,X382*参数!$B$39)+IF(AE382&lt;0,AE382*参数!$B$13,AE382*参数!$B$12)*参数!$B$2+AQ382*参数!$B$15+AB382*参数!$B$11+AF382*参数!$B$40*参数!$B$2+AG382*参数!$B$44*参数!$B$2+AH382*参数!$B$6*参数!$B$2+AI382*参数!$B$39*参数!$B$2+AJ382*参数!$B$6*参数!$B$2+Z382*参数!$B$13-T382*参数!$B$14-AD382*参数!$B$13+IF(ISNUMBER(AU382),AU382*参数!$B$38,0)-AV382*参数!$B$41-AW382*参数!$B$14-参数!$B$17)*参数!$B$18,IF(AND(F382="能力",AL382="能力持续"),(参数!$B$2-1)*参数!$B$3,0)+M382*O382*参数!$B$5*IF(AND(F382="能力",AL382="能力持续"),参数!$B$2,1)+P382*参数!$B$6*IF(AND(F382="能力",AL382="能力持续"),参数!$B$2,1)+R382*参数!$B$7*IF(AND(F382="能力",AL382="能力持续"),参数!$B$2,1)+V382*参数!$B$8+IF(X382&lt;0,X382*参数!$B$13,X382*参数!$B$39)+IF(AE382&lt;0,AE382*参数!$B$13,AE382*参数!$B$12)*参数!$B$2+AQ382*参数!$B$15+AB382*参数!$B$11+AF382*参数!$B$40*参数!$B$2+AG382*参数!$B$44*参数!$B$2+AH382*参数!$B$6*参数!$B$2+AI382*参数!$B$39*参数!$B$2+AJ382*参数!$B$6*参数!$B$2+Z382*参数!$B$13-T382*参数!$B$14-AD382*参数!$B$13+IF(ISNUMBER(AU382),AU382*参数!$B$38,0)-AV382*参数!$B$41-AW382*参数!$B$14),0),0)</f>
        <v>16.184658438426489</v>
      </c>
      <c r="AZ382">
        <f>AY382-MAX(AP382,0)*参数!$B$10</f>
        <v>7.1846584384264887</v>
      </c>
      <c r="BA382">
        <f t="shared" si="11"/>
        <v>5.3948861461421629</v>
      </c>
    </row>
    <row r="383" spans="1:53" x14ac:dyDescent="0.3">
      <c r="A383">
        <v>382</v>
      </c>
      <c r="B383" t="s">
        <v>1643</v>
      </c>
      <c r="C383" t="s">
        <v>1401</v>
      </c>
      <c r="D383" t="s">
        <v>1644</v>
      </c>
      <c r="E383" t="s">
        <v>1645</v>
      </c>
      <c r="F383" t="s">
        <v>124</v>
      </c>
      <c r="G383" t="s">
        <v>14</v>
      </c>
      <c r="H383">
        <v>3</v>
      </c>
      <c r="I383">
        <v>3</v>
      </c>
      <c r="J383" t="s">
        <v>1646</v>
      </c>
      <c r="L383" t="s">
        <v>120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3</v>
      </c>
      <c r="AH383">
        <v>0</v>
      </c>
      <c r="AI383">
        <v>0</v>
      </c>
      <c r="AJ383">
        <v>0</v>
      </c>
      <c r="AK383" t="s">
        <v>112</v>
      </c>
      <c r="AL383" t="s">
        <v>127</v>
      </c>
      <c r="AN383" t="s">
        <v>124</v>
      </c>
      <c r="AP383">
        <f t="shared" si="10"/>
        <v>3</v>
      </c>
      <c r="AQ383">
        <v>0</v>
      </c>
      <c r="AR383">
        <v>0</v>
      </c>
      <c r="AT383" t="s">
        <v>113</v>
      </c>
      <c r="AU383">
        <v>0</v>
      </c>
      <c r="AY383">
        <f>IFERROR(MAX(IF(IF(AND(F383="能力",AL383="能力持续"),(参数!$B$2-1)*参数!$B$3,0)+M383*O383*参数!$B$5*IF(AND(F383="能力",AL383="能力持续"),参数!$B$2,1)+P383*参数!$B$6*IF(AND(F383="能力",AL383="能力持续"),参数!$B$2,1)+R383*参数!$B$7*IF(AND(F383="能力",AL383="能力持续"),参数!$B$2,1)+V383*参数!$B$8+IF(X383&lt;0,X383*参数!$B$13,X383*参数!$B$39)+IF(AE383&lt;0,AE383*参数!$B$13,AE383*参数!$B$12)*参数!$B$2+AQ383*参数!$B$15+AB383*参数!$B$11+AF383*参数!$B$40*参数!$B$2+AG383*参数!$B$44*参数!$B$2+AH383*参数!$B$6*参数!$B$2+AI383*参数!$B$39*参数!$B$2+AJ383*参数!$B$6*参数!$B$2+Z383*参数!$B$13-T383*参数!$B$14-AD383*参数!$B$13+IF(ISNUMBER(AU383),AU383*参数!$B$38,0)-AV383*参数!$B$41-AW383*参数!$B$14&gt;参数!$B$17,参数!$B$17+SQRT(IF(AND(F383="能力",AL383="能力持续"),(参数!$B$2-1)*参数!$B$3,0)+M383*O383*参数!$B$5*IF(AND(F383="能力",AL383="能力持续"),参数!$B$2,1)+P383*参数!$B$6*IF(AND(F383="能力",AL383="能力持续"),参数!$B$2,1)+R383*参数!$B$7*IF(AND(F383="能力",AL383="能力持续"),参数!$B$2,1)+V383*参数!$B$8+IF(X383&lt;0,X383*参数!$B$13,X383*参数!$B$39)+IF(AE383&lt;0,AE383*参数!$B$13,AE383*参数!$B$12)*参数!$B$2+AQ383*参数!$B$15+AB383*参数!$B$11+AF383*参数!$B$40*参数!$B$2+AG383*参数!$B$44*参数!$B$2+AH383*参数!$B$6*参数!$B$2+AI383*参数!$B$39*参数!$B$2+AJ383*参数!$B$6*参数!$B$2+Z383*参数!$B$13-T383*参数!$B$14-AD383*参数!$B$13+IF(ISNUMBER(AU383),AU383*参数!$B$38,0)-AV383*参数!$B$41-AW383*参数!$B$14-参数!$B$17)*参数!$B$18,IF(AND(F383="能力",AL383="能力持续"),(参数!$B$2-1)*参数!$B$3,0)+M383*O383*参数!$B$5*IF(AND(F383="能力",AL383="能力持续"),参数!$B$2,1)+P383*参数!$B$6*IF(AND(F383="能力",AL383="能力持续"),参数!$B$2,1)+R383*参数!$B$7*IF(AND(F383="能力",AL383="能力持续"),参数!$B$2,1)+V383*参数!$B$8+IF(X383&lt;0,X383*参数!$B$13,X383*参数!$B$39)+IF(AE383&lt;0,AE383*参数!$B$13,AE383*参数!$B$12)*参数!$B$2+AQ383*参数!$B$15+AB383*参数!$B$11+AF383*参数!$B$40*参数!$B$2+AG383*参数!$B$44*参数!$B$2+AH383*参数!$B$6*参数!$B$2+AI383*参数!$B$39*参数!$B$2+AJ383*参数!$B$6*参数!$B$2+Z383*参数!$B$13-T383*参数!$B$14-AD383*参数!$B$13+IF(ISNUMBER(AU383),AU383*参数!$B$38,0)-AV383*参数!$B$41-AW383*参数!$B$14),0),0)</f>
        <v>12.121320343559642</v>
      </c>
      <c r="AZ383">
        <f>AY383-MAX(AP383,0)*参数!$B$10</f>
        <v>3.1213203435596419</v>
      </c>
      <c r="BA383">
        <f t="shared" si="11"/>
        <v>4.0404401145198809</v>
      </c>
    </row>
    <row r="384" spans="1:53" x14ac:dyDescent="0.3">
      <c r="A384">
        <v>383</v>
      </c>
      <c r="B384" t="s">
        <v>1647</v>
      </c>
      <c r="C384" t="s">
        <v>1401</v>
      </c>
      <c r="D384" t="s">
        <v>1648</v>
      </c>
      <c r="E384" t="s">
        <v>1649</v>
      </c>
      <c r="F384" t="s">
        <v>108</v>
      </c>
      <c r="G384" t="s">
        <v>10</v>
      </c>
      <c r="H384">
        <v>1</v>
      </c>
      <c r="I384">
        <v>1</v>
      </c>
      <c r="J384" t="s">
        <v>1650</v>
      </c>
      <c r="L384" t="s">
        <v>111</v>
      </c>
      <c r="M384">
        <v>9</v>
      </c>
      <c r="N384">
        <v>13</v>
      </c>
      <c r="O384">
        <v>1</v>
      </c>
      <c r="P384">
        <v>0</v>
      </c>
      <c r="Q384">
        <v>0</v>
      </c>
      <c r="R384">
        <v>1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t="s">
        <v>112</v>
      </c>
      <c r="AP384">
        <f t="shared" si="10"/>
        <v>1</v>
      </c>
      <c r="AQ384">
        <v>0</v>
      </c>
      <c r="AR384">
        <v>0</v>
      </c>
      <c r="AT384" t="s">
        <v>113</v>
      </c>
      <c r="AU384">
        <v>0</v>
      </c>
      <c r="AY384">
        <f>IFERROR(MAX(IF(IF(AND(F384="能力",AL384="能力持续"),(参数!$B$2-1)*参数!$B$3,0)+M384*O384*参数!$B$5*IF(AND(F384="能力",AL384="能力持续"),参数!$B$2,1)+P384*参数!$B$6*IF(AND(F384="能力",AL384="能力持续"),参数!$B$2,1)+R384*参数!$B$7*IF(AND(F384="能力",AL384="能力持续"),参数!$B$2,1)+V384*参数!$B$8+IF(X384&lt;0,X384*参数!$B$13,X384*参数!$B$39)+IF(AE384&lt;0,AE384*参数!$B$13,AE384*参数!$B$12)*参数!$B$2+AQ384*参数!$B$15+AB384*参数!$B$11+AF384*参数!$B$40*参数!$B$2+AG384*参数!$B$44*参数!$B$2+AH384*参数!$B$6*参数!$B$2+AI384*参数!$B$39*参数!$B$2+AJ384*参数!$B$6*参数!$B$2+Z384*参数!$B$13-T384*参数!$B$14-AD384*参数!$B$13+IF(ISNUMBER(AU384),AU384*参数!$B$38,0)-AV384*参数!$B$41-AW384*参数!$B$14&gt;参数!$B$17,参数!$B$17+SQRT(IF(AND(F384="能力",AL384="能力持续"),(参数!$B$2-1)*参数!$B$3,0)+M384*O384*参数!$B$5*IF(AND(F384="能力",AL384="能力持续"),参数!$B$2,1)+P384*参数!$B$6*IF(AND(F384="能力",AL384="能力持续"),参数!$B$2,1)+R384*参数!$B$7*IF(AND(F384="能力",AL384="能力持续"),参数!$B$2,1)+V384*参数!$B$8+IF(X384&lt;0,X384*参数!$B$13,X384*参数!$B$39)+IF(AE384&lt;0,AE384*参数!$B$13,AE384*参数!$B$12)*参数!$B$2+AQ384*参数!$B$15+AB384*参数!$B$11+AF384*参数!$B$40*参数!$B$2+AG384*参数!$B$44*参数!$B$2+AH384*参数!$B$6*参数!$B$2+AI384*参数!$B$39*参数!$B$2+AJ384*参数!$B$6*参数!$B$2+Z384*参数!$B$13-T384*参数!$B$14-AD384*参数!$B$13+IF(ISNUMBER(AU384),AU384*参数!$B$38,0)-AV384*参数!$B$41-AW384*参数!$B$14-参数!$B$17)*参数!$B$18,IF(AND(F384="能力",AL384="能力持续"),(参数!$B$2-1)*参数!$B$3,0)+M384*O384*参数!$B$5*IF(AND(F384="能力",AL384="能力持续"),参数!$B$2,1)+P384*参数!$B$6*IF(AND(F384="能力",AL384="能力持续"),参数!$B$2,1)+R384*参数!$B$7*IF(AND(F384="能力",AL384="能力持续"),参数!$B$2,1)+V384*参数!$B$8+IF(X384&lt;0,X384*参数!$B$13,X384*参数!$B$39)+IF(AE384&lt;0,AE384*参数!$B$13,AE384*参数!$B$12)*参数!$B$2+AQ384*参数!$B$15+AB384*参数!$B$11+AF384*参数!$B$40*参数!$B$2+AG384*参数!$B$44*参数!$B$2+AH384*参数!$B$6*参数!$B$2+AI384*参数!$B$39*参数!$B$2+AJ384*参数!$B$6*参数!$B$2+Z384*参数!$B$13-T384*参数!$B$14-AD384*参数!$B$13+IF(ISNUMBER(AU384),AU384*参数!$B$38,0)-AV384*参数!$B$41-AW384*参数!$B$14),0),0)</f>
        <v>9.6999999999999993</v>
      </c>
      <c r="AZ384">
        <f>AY384-MAX(AP384,0)*参数!$B$10</f>
        <v>6.6999999999999993</v>
      </c>
      <c r="BA384">
        <f t="shared" si="11"/>
        <v>9.6999999999999993</v>
      </c>
    </row>
    <row r="385" spans="1:53" x14ac:dyDescent="0.3">
      <c r="A385">
        <v>384</v>
      </c>
      <c r="B385" t="s">
        <v>1651</v>
      </c>
      <c r="C385" t="s">
        <v>1401</v>
      </c>
      <c r="D385" t="s">
        <v>1652</v>
      </c>
      <c r="E385" t="s">
        <v>1653</v>
      </c>
      <c r="F385" t="s">
        <v>108</v>
      </c>
      <c r="G385" t="s">
        <v>12</v>
      </c>
      <c r="H385">
        <v>0</v>
      </c>
      <c r="I385">
        <v>0</v>
      </c>
      <c r="J385" t="s">
        <v>1654</v>
      </c>
      <c r="L385" t="s">
        <v>111</v>
      </c>
      <c r="M385">
        <v>4</v>
      </c>
      <c r="N385">
        <v>6</v>
      </c>
      <c r="O385">
        <f>参数!$B$27</f>
        <v>1.5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t="s">
        <v>112</v>
      </c>
      <c r="AP385">
        <f t="shared" si="10"/>
        <v>0.4</v>
      </c>
      <c r="AQ385">
        <v>0</v>
      </c>
      <c r="AR385">
        <v>0</v>
      </c>
      <c r="AT385" t="s">
        <v>113</v>
      </c>
      <c r="AU385">
        <v>0</v>
      </c>
      <c r="AY385">
        <f>IFERROR(MAX(IF(IF(AND(F385="能力",AL385="能力持续"),(参数!$B$2-1)*参数!$B$3,0)+M385*O385*参数!$B$5*IF(AND(F385="能力",AL385="能力持续"),参数!$B$2,1)+P385*参数!$B$6*IF(AND(F385="能力",AL385="能力持续"),参数!$B$2,1)+R385*参数!$B$7*IF(AND(F385="能力",AL385="能力持续"),参数!$B$2,1)+V385*参数!$B$8+IF(X385&lt;0,X385*参数!$B$13,X385*参数!$B$39)+IF(AE385&lt;0,AE385*参数!$B$13,AE385*参数!$B$12)*参数!$B$2+AQ385*参数!$B$15+AB385*参数!$B$11+AF385*参数!$B$40*参数!$B$2+AG385*参数!$B$44*参数!$B$2+AH385*参数!$B$6*参数!$B$2+AI385*参数!$B$39*参数!$B$2+AJ385*参数!$B$6*参数!$B$2+Z385*参数!$B$13-T385*参数!$B$14-AD385*参数!$B$13+IF(ISNUMBER(AU385),AU385*参数!$B$38,0)-AV385*参数!$B$41-AW385*参数!$B$14&gt;参数!$B$17,参数!$B$17+SQRT(IF(AND(F385="能力",AL385="能力持续"),(参数!$B$2-1)*参数!$B$3,0)+M385*O385*参数!$B$5*IF(AND(F385="能力",AL385="能力持续"),参数!$B$2,1)+P385*参数!$B$6*IF(AND(F385="能力",AL385="能力持续"),参数!$B$2,1)+R385*参数!$B$7*IF(AND(F385="能力",AL385="能力持续"),参数!$B$2,1)+V385*参数!$B$8+IF(X385&lt;0,X385*参数!$B$13,X385*参数!$B$39)+IF(AE385&lt;0,AE385*参数!$B$13,AE385*参数!$B$12)*参数!$B$2+AQ385*参数!$B$15+AB385*参数!$B$11+AF385*参数!$B$40*参数!$B$2+AG385*参数!$B$44*参数!$B$2+AH385*参数!$B$6*参数!$B$2+AI385*参数!$B$39*参数!$B$2+AJ385*参数!$B$6*参数!$B$2+Z385*参数!$B$13-T385*参数!$B$14-AD385*参数!$B$13+IF(ISNUMBER(AU385),AU385*参数!$B$38,0)-AV385*参数!$B$41-AW385*参数!$B$14-参数!$B$17)*参数!$B$18,IF(AND(F385="能力",AL385="能力持续"),(参数!$B$2-1)*参数!$B$3,0)+M385*O385*参数!$B$5*IF(AND(F385="能力",AL385="能力持续"),参数!$B$2,1)+P385*参数!$B$6*IF(AND(F385="能力",AL385="能力持续"),参数!$B$2,1)+R385*参数!$B$7*IF(AND(F385="能力",AL385="能力持续"),参数!$B$2,1)+V385*参数!$B$8+IF(X385&lt;0,X385*参数!$B$13,X385*参数!$B$39)+IF(AE385&lt;0,AE385*参数!$B$13,AE385*参数!$B$12)*参数!$B$2+AQ385*参数!$B$15+AB385*参数!$B$11+AF385*参数!$B$40*参数!$B$2+AG385*参数!$B$44*参数!$B$2+AH385*参数!$B$6*参数!$B$2+AI385*参数!$B$39*参数!$B$2+AJ385*参数!$B$6*参数!$B$2+Z385*参数!$B$13-T385*参数!$B$14-AD385*参数!$B$13+IF(ISNUMBER(AU385),AU385*参数!$B$38,0)-AV385*参数!$B$41-AW385*参数!$B$14),0),0)</f>
        <v>6</v>
      </c>
      <c r="AZ385">
        <f>AY385-MAX(AP385,0)*参数!$B$10</f>
        <v>4.8</v>
      </c>
      <c r="BA385">
        <f t="shared" si="11"/>
        <v>15</v>
      </c>
    </row>
    <row r="386" spans="1:53" x14ac:dyDescent="0.3">
      <c r="A386">
        <v>385</v>
      </c>
      <c r="B386" t="s">
        <v>1655</v>
      </c>
      <c r="C386" t="s">
        <v>1401</v>
      </c>
      <c r="D386" t="s">
        <v>1656</v>
      </c>
      <c r="E386" t="s">
        <v>1657</v>
      </c>
      <c r="F386" t="s">
        <v>117</v>
      </c>
      <c r="G386" t="s">
        <v>14</v>
      </c>
      <c r="H386">
        <v>1</v>
      </c>
      <c r="I386">
        <v>1</v>
      </c>
      <c r="J386" t="s">
        <v>1658</v>
      </c>
      <c r="L386" t="s">
        <v>111</v>
      </c>
      <c r="M386">
        <v>0</v>
      </c>
      <c r="N386">
        <v>0</v>
      </c>
      <c r="O386">
        <v>1</v>
      </c>
      <c r="P386">
        <v>30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t="s">
        <v>112</v>
      </c>
      <c r="AP386">
        <f t="shared" ref="AP386:AP401" si="12">IF(ISNUMBER(H386),IF(AND(H386=0,V386=0,AK386="none"),0.4,IF(AK386="exhaust",MAX(H386-V386,0.4),IF(AK386="ethereal",MAX(H386-V386,0.4),MAX(H386-V386,0.4)))),IF(AND(AK386="exhaust",OR(H386="X",H386="∞")),0.4,IF(OR(H386="X",H386="∞"),0.4,0.4)))</f>
        <v>1</v>
      </c>
      <c r="AQ386">
        <v>0</v>
      </c>
      <c r="AR386">
        <v>0</v>
      </c>
      <c r="AT386" t="s">
        <v>113</v>
      </c>
      <c r="AU386">
        <v>0</v>
      </c>
      <c r="AY386">
        <f>IFERROR(MAX(IF(IF(AND(F386="能力",AL386="能力持续"),(参数!$B$2-1)*参数!$B$3,0)+M386*O386*参数!$B$5*IF(AND(F386="能力",AL386="能力持续"),参数!$B$2,1)+P386*参数!$B$6*IF(AND(F386="能力",AL386="能力持续"),参数!$B$2,1)+R386*参数!$B$7*IF(AND(F386="能力",AL386="能力持续"),参数!$B$2,1)+V386*参数!$B$8+IF(X386&lt;0,X386*参数!$B$13,X386*参数!$B$39)+IF(AE386&lt;0,AE386*参数!$B$13,AE386*参数!$B$12)*参数!$B$2+AQ386*参数!$B$15+AB386*参数!$B$11+AF386*参数!$B$40*参数!$B$2+AG386*参数!$B$44*参数!$B$2+AH386*参数!$B$6*参数!$B$2+AI386*参数!$B$39*参数!$B$2+AJ386*参数!$B$6*参数!$B$2+Z386*参数!$B$13-T386*参数!$B$14-AD386*参数!$B$13+IF(ISNUMBER(AU386),AU386*参数!$B$38,0)-AV386*参数!$B$41-AW386*参数!$B$14&gt;参数!$B$17,参数!$B$17+SQRT(IF(AND(F386="能力",AL386="能力持续"),(参数!$B$2-1)*参数!$B$3,0)+M386*O386*参数!$B$5*IF(AND(F386="能力",AL386="能力持续"),参数!$B$2,1)+P386*参数!$B$6*IF(AND(F386="能力",AL386="能力持续"),参数!$B$2,1)+R386*参数!$B$7*IF(AND(F386="能力",AL386="能力持续"),参数!$B$2,1)+V386*参数!$B$8+IF(X386&lt;0,X386*参数!$B$13,X386*参数!$B$39)+IF(AE386&lt;0,AE386*参数!$B$13,AE386*参数!$B$12)*参数!$B$2+AQ386*参数!$B$15+AB386*参数!$B$11+AF386*参数!$B$40*参数!$B$2+AG386*参数!$B$44*参数!$B$2+AH386*参数!$B$6*参数!$B$2+AI386*参数!$B$39*参数!$B$2+AJ386*参数!$B$6*参数!$B$2+Z386*参数!$B$13-T386*参数!$B$14-AD386*参数!$B$13+IF(ISNUMBER(AU386),AU386*参数!$B$38,0)-AV386*参数!$B$41-AW386*参数!$B$14-参数!$B$17)*参数!$B$18,IF(AND(F386="能力",AL386="能力持续"),(参数!$B$2-1)*参数!$B$3,0)+M386*O386*参数!$B$5*IF(AND(F386="能力",AL386="能力持续"),参数!$B$2,1)+P386*参数!$B$6*IF(AND(F386="能力",AL386="能力持续"),参数!$B$2,1)+R386*参数!$B$7*IF(AND(F386="能力",AL386="能力持续"),参数!$B$2,1)+V386*参数!$B$8+IF(X386&lt;0,X386*参数!$B$13,X386*参数!$B$39)+IF(AE386&lt;0,AE386*参数!$B$13,AE386*参数!$B$12)*参数!$B$2+AQ386*参数!$B$15+AB386*参数!$B$11+AF386*参数!$B$40*参数!$B$2+AG386*参数!$B$44*参数!$B$2+AH386*参数!$B$6*参数!$B$2+AI386*参数!$B$39*参数!$B$2+AJ386*参数!$B$6*参数!$B$2+Z386*参数!$B$13-T386*参数!$B$14-AD386*参数!$B$13+IF(ISNUMBER(AU386),AU386*参数!$B$38,0)-AV386*参数!$B$41-AW386*参数!$B$14),0),0)</f>
        <v>17.193747284969078</v>
      </c>
      <c r="AZ386">
        <f>AY386-MAX(AP386,0)*参数!$B$10</f>
        <v>14.193747284969078</v>
      </c>
      <c r="BA386">
        <f t="shared" ref="BA386:BA401" si="13">IF(MAX(AP386,0)=0,AY386,AY386/MAX(AP386,0))</f>
        <v>17.193747284969078</v>
      </c>
    </row>
    <row r="387" spans="1:53" x14ac:dyDescent="0.3">
      <c r="A387">
        <v>386</v>
      </c>
      <c r="B387" t="s">
        <v>1659</v>
      </c>
      <c r="C387" t="s">
        <v>1401</v>
      </c>
      <c r="D387" t="s">
        <v>1660</v>
      </c>
      <c r="E387" t="s">
        <v>1661</v>
      </c>
      <c r="F387" t="s">
        <v>117</v>
      </c>
      <c r="G387" t="s">
        <v>10</v>
      </c>
      <c r="H387">
        <v>1</v>
      </c>
      <c r="I387">
        <v>1</v>
      </c>
      <c r="J387" t="s">
        <v>1662</v>
      </c>
      <c r="L387" t="s">
        <v>111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13</v>
      </c>
      <c r="AH387">
        <v>0</v>
      </c>
      <c r="AI387">
        <v>0</v>
      </c>
      <c r="AJ387">
        <v>0</v>
      </c>
      <c r="AK387" t="s">
        <v>112</v>
      </c>
      <c r="AP387">
        <f t="shared" si="12"/>
        <v>1</v>
      </c>
      <c r="AQ387">
        <v>0</v>
      </c>
      <c r="AR387">
        <v>0</v>
      </c>
      <c r="AT387" t="s">
        <v>113</v>
      </c>
      <c r="AU387">
        <v>0</v>
      </c>
      <c r="AY387">
        <f>IFERROR(MAX(IF(IF(AND(F387="能力",AL387="能力持续"),(参数!$B$2-1)*参数!$B$3,0)+M387*O387*参数!$B$5*IF(AND(F387="能力",AL387="能力持续"),参数!$B$2,1)+P387*参数!$B$6*IF(AND(F387="能力",AL387="能力持续"),参数!$B$2,1)+R387*参数!$B$7*IF(AND(F387="能力",AL387="能力持续"),参数!$B$2,1)+V387*参数!$B$8+IF(X387&lt;0,X387*参数!$B$13,X387*参数!$B$39)+IF(AE387&lt;0,AE387*参数!$B$13,AE387*参数!$B$12)*参数!$B$2+AQ387*参数!$B$15+AB387*参数!$B$11+AF387*参数!$B$40*参数!$B$2+AG387*参数!$B$44*参数!$B$2+AH387*参数!$B$6*参数!$B$2+AI387*参数!$B$39*参数!$B$2+AJ387*参数!$B$6*参数!$B$2+Z387*参数!$B$13-T387*参数!$B$14-AD387*参数!$B$13+IF(ISNUMBER(AU387),AU387*参数!$B$38,0)-AV387*参数!$B$41-AW387*参数!$B$14&gt;参数!$B$17,参数!$B$17+SQRT(IF(AND(F387="能力",AL387="能力持续"),(参数!$B$2-1)*参数!$B$3,0)+M387*O387*参数!$B$5*IF(AND(F387="能力",AL387="能力持续"),参数!$B$2,1)+P387*参数!$B$6*IF(AND(F387="能力",AL387="能力持续"),参数!$B$2,1)+R387*参数!$B$7*IF(AND(F387="能力",AL387="能力持续"),参数!$B$2,1)+V387*参数!$B$8+IF(X387&lt;0,X387*参数!$B$13,X387*参数!$B$39)+IF(AE387&lt;0,AE387*参数!$B$13,AE387*参数!$B$12)*参数!$B$2+AQ387*参数!$B$15+AB387*参数!$B$11+AF387*参数!$B$40*参数!$B$2+AG387*参数!$B$44*参数!$B$2+AH387*参数!$B$6*参数!$B$2+AI387*参数!$B$39*参数!$B$2+AJ387*参数!$B$6*参数!$B$2+Z387*参数!$B$13-T387*参数!$B$14-AD387*参数!$B$13+IF(ISNUMBER(AU387),AU387*参数!$B$38,0)-AV387*参数!$B$41-AW387*参数!$B$14-参数!$B$17)*参数!$B$18,IF(AND(F387="能力",AL387="能力持续"),(参数!$B$2-1)*参数!$B$3,0)+M387*O387*参数!$B$5*IF(AND(F387="能力",AL387="能力持续"),参数!$B$2,1)+P387*参数!$B$6*IF(AND(F387="能力",AL387="能力持续"),参数!$B$2,1)+R387*参数!$B$7*IF(AND(F387="能力",AL387="能力持续"),参数!$B$2,1)+V387*参数!$B$8+IF(X387&lt;0,X387*参数!$B$13,X387*参数!$B$39)+IF(AE387&lt;0,AE387*参数!$B$13,AE387*参数!$B$12)*参数!$B$2+AQ387*参数!$B$15+AB387*参数!$B$11+AF387*参数!$B$40*参数!$B$2+AG387*参数!$B$44*参数!$B$2+AH387*参数!$B$6*参数!$B$2+AI387*参数!$B$39*参数!$B$2+AJ387*参数!$B$6*参数!$B$2+Z387*参数!$B$13-T387*参数!$B$14-AD387*参数!$B$13+IF(ISNUMBER(AU387),AU387*参数!$B$38,0)-AV387*参数!$B$41-AW387*参数!$B$14),0),0)</f>
        <v>17.808649050892221</v>
      </c>
      <c r="AZ387">
        <f>AY387-MAX(AP387,0)*参数!$B$10</f>
        <v>14.808649050892221</v>
      </c>
      <c r="BA387">
        <f t="shared" si="13"/>
        <v>17.808649050892221</v>
      </c>
    </row>
    <row r="388" spans="1:53" x14ac:dyDescent="0.3">
      <c r="A388">
        <v>387</v>
      </c>
      <c r="B388" t="s">
        <v>1663</v>
      </c>
      <c r="C388" t="s">
        <v>1401</v>
      </c>
      <c r="D388" t="s">
        <v>1664</v>
      </c>
      <c r="E388" t="s">
        <v>1665</v>
      </c>
      <c r="F388" t="s">
        <v>108</v>
      </c>
      <c r="G388" t="s">
        <v>10</v>
      </c>
      <c r="H388">
        <v>1</v>
      </c>
      <c r="I388">
        <v>1</v>
      </c>
      <c r="J388" t="s">
        <v>1666</v>
      </c>
      <c r="L388" t="s">
        <v>111</v>
      </c>
      <c r="M388">
        <v>9</v>
      </c>
      <c r="N388">
        <v>12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t="s">
        <v>112</v>
      </c>
      <c r="AP388">
        <f t="shared" si="12"/>
        <v>1</v>
      </c>
      <c r="AQ388">
        <v>0</v>
      </c>
      <c r="AR388">
        <v>0</v>
      </c>
      <c r="AT388" t="s">
        <v>113</v>
      </c>
      <c r="AU388">
        <v>0</v>
      </c>
      <c r="AY388">
        <f>IFERROR(MAX(IF(IF(AND(F388="能力",AL388="能力持续"),(参数!$B$2-1)*参数!$B$3,0)+M388*O388*参数!$B$5*IF(AND(F388="能力",AL388="能力持续"),参数!$B$2,1)+P388*参数!$B$6*IF(AND(F388="能力",AL388="能力持续"),参数!$B$2,1)+R388*参数!$B$7*IF(AND(F388="能力",AL388="能力持续"),参数!$B$2,1)+V388*参数!$B$8+IF(X388&lt;0,X388*参数!$B$13,X388*参数!$B$39)+IF(AE388&lt;0,AE388*参数!$B$13,AE388*参数!$B$12)*参数!$B$2+AQ388*参数!$B$15+AB388*参数!$B$11+AF388*参数!$B$40*参数!$B$2+AG388*参数!$B$44*参数!$B$2+AH388*参数!$B$6*参数!$B$2+AI388*参数!$B$39*参数!$B$2+AJ388*参数!$B$6*参数!$B$2+Z388*参数!$B$13-T388*参数!$B$14-AD388*参数!$B$13+IF(ISNUMBER(AU388),AU388*参数!$B$38,0)-AV388*参数!$B$41-AW388*参数!$B$14&gt;参数!$B$17,参数!$B$17+SQRT(IF(AND(F388="能力",AL388="能力持续"),(参数!$B$2-1)*参数!$B$3,0)+M388*O388*参数!$B$5*IF(AND(F388="能力",AL388="能力持续"),参数!$B$2,1)+P388*参数!$B$6*IF(AND(F388="能力",AL388="能力持续"),参数!$B$2,1)+R388*参数!$B$7*IF(AND(F388="能力",AL388="能力持续"),参数!$B$2,1)+V388*参数!$B$8+IF(X388&lt;0,X388*参数!$B$13,X388*参数!$B$39)+IF(AE388&lt;0,AE388*参数!$B$13,AE388*参数!$B$12)*参数!$B$2+AQ388*参数!$B$15+AB388*参数!$B$11+AF388*参数!$B$40*参数!$B$2+AG388*参数!$B$44*参数!$B$2+AH388*参数!$B$6*参数!$B$2+AI388*参数!$B$39*参数!$B$2+AJ388*参数!$B$6*参数!$B$2+Z388*参数!$B$13-T388*参数!$B$14-AD388*参数!$B$13+IF(ISNUMBER(AU388),AU388*参数!$B$38,0)-AV388*参数!$B$41-AW388*参数!$B$14-参数!$B$17)*参数!$B$18,IF(AND(F388="能力",AL388="能力持续"),(参数!$B$2-1)*参数!$B$3,0)+M388*O388*参数!$B$5*IF(AND(F388="能力",AL388="能力持续"),参数!$B$2,1)+P388*参数!$B$6*IF(AND(F388="能力",AL388="能力持续"),参数!$B$2,1)+R388*参数!$B$7*IF(AND(F388="能力",AL388="能力持续"),参数!$B$2,1)+V388*参数!$B$8+IF(X388&lt;0,X388*参数!$B$13,X388*参数!$B$39)+IF(AE388&lt;0,AE388*参数!$B$13,AE388*参数!$B$12)*参数!$B$2+AQ388*参数!$B$15+AB388*参数!$B$11+AF388*参数!$B$40*参数!$B$2+AG388*参数!$B$44*参数!$B$2+AH388*参数!$B$6*参数!$B$2+AI388*参数!$B$39*参数!$B$2+AJ388*参数!$B$6*参数!$B$2+Z388*参数!$B$13-T388*参数!$B$14-AD388*参数!$B$13+IF(ISNUMBER(AU388),AU388*参数!$B$38,0)-AV388*参数!$B$41-AW388*参数!$B$14),0),0)</f>
        <v>9</v>
      </c>
      <c r="AZ388">
        <f>AY388-MAX(AP388,0)*参数!$B$10</f>
        <v>6</v>
      </c>
      <c r="BA388">
        <f t="shared" si="13"/>
        <v>9</v>
      </c>
    </row>
    <row r="389" spans="1:53" x14ac:dyDescent="0.3">
      <c r="A389">
        <v>388</v>
      </c>
      <c r="B389" t="s">
        <v>1667</v>
      </c>
      <c r="C389" t="s">
        <v>1401</v>
      </c>
      <c r="D389" t="s">
        <v>1668</v>
      </c>
      <c r="E389" t="s">
        <v>1669</v>
      </c>
      <c r="F389" t="s">
        <v>117</v>
      </c>
      <c r="G389" t="s">
        <v>14</v>
      </c>
      <c r="H389">
        <v>0</v>
      </c>
      <c r="I389">
        <v>0</v>
      </c>
      <c r="J389" t="s">
        <v>1670</v>
      </c>
      <c r="L389" t="s">
        <v>111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1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 t="s">
        <v>112</v>
      </c>
      <c r="AP389">
        <f t="shared" si="12"/>
        <v>0.4</v>
      </c>
      <c r="AQ389">
        <v>0</v>
      </c>
      <c r="AR389">
        <v>0</v>
      </c>
      <c r="AT389" t="s">
        <v>113</v>
      </c>
      <c r="AU389">
        <v>0</v>
      </c>
      <c r="AY389">
        <f>IFERROR(MAX(IF(IF(AND(F389="能力",AL389="能力持续"),(参数!$B$2-1)*参数!$B$3,0)+M389*O389*参数!$B$5*IF(AND(F389="能力",AL389="能力持续"),参数!$B$2,1)+P389*参数!$B$6*IF(AND(F389="能力",AL389="能力持续"),参数!$B$2,1)+R389*参数!$B$7*IF(AND(F389="能力",AL389="能力持续"),参数!$B$2,1)+V389*参数!$B$8+IF(X389&lt;0,X389*参数!$B$13,X389*参数!$B$39)+IF(AE389&lt;0,AE389*参数!$B$13,AE389*参数!$B$12)*参数!$B$2+AQ389*参数!$B$15+AB389*参数!$B$11+AF389*参数!$B$40*参数!$B$2+AG389*参数!$B$44*参数!$B$2+AH389*参数!$B$6*参数!$B$2+AI389*参数!$B$39*参数!$B$2+AJ389*参数!$B$6*参数!$B$2+Z389*参数!$B$13-T389*参数!$B$14-AD389*参数!$B$13+IF(ISNUMBER(AU389),AU389*参数!$B$38,0)-AV389*参数!$B$41-AW389*参数!$B$14&gt;参数!$B$17,参数!$B$17+SQRT(IF(AND(F389="能力",AL389="能力持续"),(参数!$B$2-1)*参数!$B$3,0)+M389*O389*参数!$B$5*IF(AND(F389="能力",AL389="能力持续"),参数!$B$2,1)+P389*参数!$B$6*IF(AND(F389="能力",AL389="能力持续"),参数!$B$2,1)+R389*参数!$B$7*IF(AND(F389="能力",AL389="能力持续"),参数!$B$2,1)+V389*参数!$B$8+IF(X389&lt;0,X389*参数!$B$13,X389*参数!$B$39)+IF(AE389&lt;0,AE389*参数!$B$13,AE389*参数!$B$12)*参数!$B$2+AQ389*参数!$B$15+AB389*参数!$B$11+AF389*参数!$B$40*参数!$B$2+AG389*参数!$B$44*参数!$B$2+AH389*参数!$B$6*参数!$B$2+AI389*参数!$B$39*参数!$B$2+AJ389*参数!$B$6*参数!$B$2+Z389*参数!$B$13-T389*参数!$B$14-AD389*参数!$B$13+IF(ISNUMBER(AU389),AU389*参数!$B$38,0)-AV389*参数!$B$41-AW389*参数!$B$14-参数!$B$17)*参数!$B$18,IF(AND(F389="能力",AL389="能力持续"),(参数!$B$2-1)*参数!$B$3,0)+M389*O389*参数!$B$5*IF(AND(F389="能力",AL389="能力持续"),参数!$B$2,1)+P389*参数!$B$6*IF(AND(F389="能力",AL389="能力持续"),参数!$B$2,1)+R389*参数!$B$7*IF(AND(F389="能力",AL389="能力持续"),参数!$B$2,1)+V389*参数!$B$8+IF(X389&lt;0,X389*参数!$B$13,X389*参数!$B$39)+IF(AE389&lt;0,AE389*参数!$B$13,AE389*参数!$B$12)*参数!$B$2+AQ389*参数!$B$15+AB389*参数!$B$11+AF389*参数!$B$40*参数!$B$2+AG389*参数!$B$44*参数!$B$2+AH389*参数!$B$6*参数!$B$2+AI389*参数!$B$39*参数!$B$2+AJ389*参数!$B$6*参数!$B$2+Z389*参数!$B$13-T389*参数!$B$14-AD389*参数!$B$13+IF(ISNUMBER(AU389),AU389*参数!$B$38,0)-AV389*参数!$B$41-AW389*参数!$B$14),0),0)</f>
        <v>0.7</v>
      </c>
      <c r="AZ389">
        <f>AY389-MAX(AP389,0)*参数!$B$10</f>
        <v>-0.50000000000000022</v>
      </c>
      <c r="BA389">
        <f t="shared" si="13"/>
        <v>1.7499999999999998</v>
      </c>
    </row>
    <row r="390" spans="1:53" x14ac:dyDescent="0.3">
      <c r="A390">
        <v>389</v>
      </c>
      <c r="B390" t="s">
        <v>1671</v>
      </c>
      <c r="C390" t="s">
        <v>1401</v>
      </c>
      <c r="D390" t="s">
        <v>1672</v>
      </c>
      <c r="E390" t="s">
        <v>1673</v>
      </c>
      <c r="F390" t="s">
        <v>124</v>
      </c>
      <c r="G390" t="s">
        <v>14</v>
      </c>
      <c r="H390">
        <v>2</v>
      </c>
      <c r="I390">
        <v>1</v>
      </c>
      <c r="J390" t="s">
        <v>1674</v>
      </c>
      <c r="L390" t="s">
        <v>301</v>
      </c>
      <c r="M390">
        <v>10</v>
      </c>
      <c r="N390">
        <v>10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 t="s">
        <v>112</v>
      </c>
      <c r="AL390" t="s">
        <v>127</v>
      </c>
      <c r="AN390" t="s">
        <v>124</v>
      </c>
      <c r="AP390">
        <f t="shared" si="12"/>
        <v>2</v>
      </c>
      <c r="AQ390">
        <v>0</v>
      </c>
      <c r="AR390">
        <v>0</v>
      </c>
      <c r="AT390" t="s">
        <v>113</v>
      </c>
      <c r="AU390">
        <v>0</v>
      </c>
      <c r="AY390">
        <f>IFERROR(MAX(IF(IF(AND(F390="能力",AL390="能力持续"),(参数!$B$2-1)*参数!$B$3,0)+M390*O390*参数!$B$5*IF(AND(F390="能力",AL390="能力持续"),参数!$B$2,1)+P390*参数!$B$6*IF(AND(F390="能力",AL390="能力持续"),参数!$B$2,1)+R390*参数!$B$7*IF(AND(F390="能力",AL390="能力持续"),参数!$B$2,1)+V390*参数!$B$8+IF(X390&lt;0,X390*参数!$B$13,X390*参数!$B$39)+IF(AE390&lt;0,AE390*参数!$B$13,AE390*参数!$B$12)*参数!$B$2+AQ390*参数!$B$15+AB390*参数!$B$11+AF390*参数!$B$40*参数!$B$2+AG390*参数!$B$44*参数!$B$2+AH390*参数!$B$6*参数!$B$2+AI390*参数!$B$39*参数!$B$2+AJ390*参数!$B$6*参数!$B$2+Z390*参数!$B$13-T390*参数!$B$14-AD390*参数!$B$13+IF(ISNUMBER(AU390),AU390*参数!$B$38,0)-AV390*参数!$B$41-AW390*参数!$B$14&gt;参数!$B$17,参数!$B$17+SQRT(IF(AND(F390="能力",AL390="能力持续"),(参数!$B$2-1)*参数!$B$3,0)+M390*O390*参数!$B$5*IF(AND(F390="能力",AL390="能力持续"),参数!$B$2,1)+P390*参数!$B$6*IF(AND(F390="能力",AL390="能力持续"),参数!$B$2,1)+R390*参数!$B$7*IF(AND(F390="能力",AL390="能力持续"),参数!$B$2,1)+V390*参数!$B$8+IF(X390&lt;0,X390*参数!$B$13,X390*参数!$B$39)+IF(AE390&lt;0,AE390*参数!$B$13,AE390*参数!$B$12)*参数!$B$2+AQ390*参数!$B$15+AB390*参数!$B$11+AF390*参数!$B$40*参数!$B$2+AG390*参数!$B$44*参数!$B$2+AH390*参数!$B$6*参数!$B$2+AI390*参数!$B$39*参数!$B$2+AJ390*参数!$B$6*参数!$B$2+Z390*参数!$B$13-T390*参数!$B$14-AD390*参数!$B$13+IF(ISNUMBER(AU390),AU390*参数!$B$38,0)-AV390*参数!$B$41-AW390*参数!$B$14-参数!$B$17)*参数!$B$18,IF(AND(F390="能力",AL390="能力持续"),(参数!$B$2-1)*参数!$B$3,0)+M390*O390*参数!$B$5*IF(AND(F390="能力",AL390="能力持续"),参数!$B$2,1)+P390*参数!$B$6*IF(AND(F390="能力",AL390="能力持续"),参数!$B$2,1)+R390*参数!$B$7*IF(AND(F390="能力",AL390="能力持续"),参数!$B$2,1)+V390*参数!$B$8+IF(X390&lt;0,X390*参数!$B$13,X390*参数!$B$39)+IF(AE390&lt;0,AE390*参数!$B$13,AE390*参数!$B$12)*参数!$B$2+AQ390*参数!$B$15+AB390*参数!$B$11+AF390*参数!$B$40*参数!$B$2+AG390*参数!$B$44*参数!$B$2+AH390*参数!$B$6*参数!$B$2+AI390*参数!$B$39*参数!$B$2+AJ390*参数!$B$6*参数!$B$2+Z390*参数!$B$13-T390*参数!$B$14-AD390*参数!$B$13+IF(ISNUMBER(AU390),AU390*参数!$B$38,0)-AV390*参数!$B$41-AW390*参数!$B$14),0),0)</f>
        <v>18.694826047713661</v>
      </c>
      <c r="AZ390">
        <f>AY390-MAX(AP390,0)*参数!$B$10</f>
        <v>12.694826047713661</v>
      </c>
      <c r="BA390">
        <f t="shared" si="13"/>
        <v>9.3474130238568307</v>
      </c>
    </row>
    <row r="391" spans="1:53" x14ac:dyDescent="0.3">
      <c r="A391">
        <v>390</v>
      </c>
      <c r="B391" t="s">
        <v>1675</v>
      </c>
      <c r="C391" t="s">
        <v>1401</v>
      </c>
      <c r="D391" t="s">
        <v>1676</v>
      </c>
      <c r="E391" t="s">
        <v>1677</v>
      </c>
      <c r="F391" t="s">
        <v>108</v>
      </c>
      <c r="G391" t="s">
        <v>12</v>
      </c>
      <c r="H391">
        <v>2</v>
      </c>
      <c r="I391">
        <v>2</v>
      </c>
      <c r="J391" t="s">
        <v>1678</v>
      </c>
      <c r="L391" t="s">
        <v>111</v>
      </c>
      <c r="M391">
        <v>13</v>
      </c>
      <c r="N391">
        <v>18</v>
      </c>
      <c r="O391">
        <v>1</v>
      </c>
      <c r="P391">
        <v>0</v>
      </c>
      <c r="Q391">
        <v>0</v>
      </c>
      <c r="R391">
        <v>3</v>
      </c>
      <c r="S391">
        <v>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 t="s">
        <v>112</v>
      </c>
      <c r="AP391">
        <f t="shared" si="12"/>
        <v>2</v>
      </c>
      <c r="AQ391">
        <v>0</v>
      </c>
      <c r="AR391">
        <v>0</v>
      </c>
      <c r="AT391" t="s">
        <v>113</v>
      </c>
      <c r="AU391">
        <v>0</v>
      </c>
      <c r="AY391">
        <f>IFERROR(MAX(IF(IF(AND(F391="能力",AL391="能力持续"),(参数!$B$2-1)*参数!$B$3,0)+M391*O391*参数!$B$5*IF(AND(F391="能力",AL391="能力持续"),参数!$B$2,1)+P391*参数!$B$6*IF(AND(F391="能力",AL391="能力持续"),参数!$B$2,1)+R391*参数!$B$7*IF(AND(F391="能力",AL391="能力持续"),参数!$B$2,1)+V391*参数!$B$8+IF(X391&lt;0,X391*参数!$B$13,X391*参数!$B$39)+IF(AE391&lt;0,AE391*参数!$B$13,AE391*参数!$B$12)*参数!$B$2+AQ391*参数!$B$15+AB391*参数!$B$11+AF391*参数!$B$40*参数!$B$2+AG391*参数!$B$44*参数!$B$2+AH391*参数!$B$6*参数!$B$2+AI391*参数!$B$39*参数!$B$2+AJ391*参数!$B$6*参数!$B$2+Z391*参数!$B$13-T391*参数!$B$14-AD391*参数!$B$13+IF(ISNUMBER(AU391),AU391*参数!$B$38,0)-AV391*参数!$B$41-AW391*参数!$B$14&gt;参数!$B$17,参数!$B$17+SQRT(IF(AND(F391="能力",AL391="能力持续"),(参数!$B$2-1)*参数!$B$3,0)+M391*O391*参数!$B$5*IF(AND(F391="能力",AL391="能力持续"),参数!$B$2,1)+P391*参数!$B$6*IF(AND(F391="能力",AL391="能力持续"),参数!$B$2,1)+R391*参数!$B$7*IF(AND(F391="能力",AL391="能力持续"),参数!$B$2,1)+V391*参数!$B$8+IF(X391&lt;0,X391*参数!$B$13,X391*参数!$B$39)+IF(AE391&lt;0,AE391*参数!$B$13,AE391*参数!$B$12)*参数!$B$2+AQ391*参数!$B$15+AB391*参数!$B$11+AF391*参数!$B$40*参数!$B$2+AG391*参数!$B$44*参数!$B$2+AH391*参数!$B$6*参数!$B$2+AI391*参数!$B$39*参数!$B$2+AJ391*参数!$B$6*参数!$B$2+Z391*参数!$B$13-T391*参数!$B$14-AD391*参数!$B$13+IF(ISNUMBER(AU391),AU391*参数!$B$38,0)-AV391*参数!$B$41-AW391*参数!$B$14-参数!$B$17)*参数!$B$18,IF(AND(F391="能力",AL391="能力持续"),(参数!$B$2-1)*参数!$B$3,0)+M391*O391*参数!$B$5*IF(AND(F391="能力",AL391="能力持续"),参数!$B$2,1)+P391*参数!$B$6*IF(AND(F391="能力",AL391="能力持续"),参数!$B$2,1)+R391*参数!$B$7*IF(AND(F391="能力",AL391="能力持续"),参数!$B$2,1)+V391*参数!$B$8+IF(X391&lt;0,X391*参数!$B$13,X391*参数!$B$39)+IF(AE391&lt;0,AE391*参数!$B$13,AE391*参数!$B$12)*参数!$B$2+AQ391*参数!$B$15+AB391*参数!$B$11+AF391*参数!$B$40*参数!$B$2+AG391*参数!$B$44*参数!$B$2+AH391*参数!$B$6*参数!$B$2+AI391*参数!$B$39*参数!$B$2+AJ391*参数!$B$6*参数!$B$2+Z391*参数!$B$13-T391*参数!$B$14-AD391*参数!$B$13+IF(ISNUMBER(AU391),AU391*参数!$B$38,0)-AV391*参数!$B$41-AW391*参数!$B$14),0),0)</f>
        <v>13.387476937190865</v>
      </c>
      <c r="AZ391">
        <f>AY391-MAX(AP391,0)*参数!$B$10</f>
        <v>7.3874769371908648</v>
      </c>
      <c r="BA391">
        <f t="shared" si="13"/>
        <v>6.6937384685954324</v>
      </c>
    </row>
    <row r="392" spans="1:53" x14ac:dyDescent="0.3">
      <c r="A392">
        <v>391</v>
      </c>
      <c r="B392" t="s">
        <v>1679</v>
      </c>
      <c r="C392" t="s">
        <v>1401</v>
      </c>
      <c r="D392" t="s">
        <v>1680</v>
      </c>
      <c r="E392" t="s">
        <v>1681</v>
      </c>
      <c r="F392" t="s">
        <v>117</v>
      </c>
      <c r="G392" t="s">
        <v>14</v>
      </c>
      <c r="H392">
        <v>0</v>
      </c>
      <c r="I392">
        <v>0</v>
      </c>
      <c r="J392" t="s">
        <v>1682</v>
      </c>
      <c r="L392" t="s">
        <v>111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-2</v>
      </c>
      <c r="AF392">
        <v>0</v>
      </c>
      <c r="AG392">
        <v>0</v>
      </c>
      <c r="AH392">
        <v>0</v>
      </c>
      <c r="AI392">
        <v>0</v>
      </c>
      <c r="AJ392">
        <v>0</v>
      </c>
      <c r="AK392" t="s">
        <v>112</v>
      </c>
      <c r="AP392">
        <f t="shared" si="12"/>
        <v>0.4</v>
      </c>
      <c r="AQ392">
        <f>2*参数!$B$12*参数!$B$2</f>
        <v>9.6</v>
      </c>
      <c r="AR392">
        <v>0</v>
      </c>
      <c r="AT392" t="s">
        <v>113</v>
      </c>
      <c r="AU392">
        <v>0</v>
      </c>
      <c r="AY392">
        <f>IFERROR(MAX(IF(IF(AND(F392="能力",AL392="能力持续"),(参数!$B$2-1)*参数!$B$3,0)+M392*O392*参数!$B$5*IF(AND(F392="能力",AL392="能力持续"),参数!$B$2,1)+P392*参数!$B$6*IF(AND(F392="能力",AL392="能力持续"),参数!$B$2,1)+R392*参数!$B$7*IF(AND(F392="能力",AL392="能力持续"),参数!$B$2,1)+V392*参数!$B$8+IF(X392&lt;0,X392*参数!$B$13,X392*参数!$B$39)+IF(AE392&lt;0,AE392*参数!$B$13,AE392*参数!$B$12)*参数!$B$2+AQ392*参数!$B$15+AB392*参数!$B$11+AF392*参数!$B$40*参数!$B$2+AG392*参数!$B$44*参数!$B$2+AH392*参数!$B$6*参数!$B$2+AI392*参数!$B$39*参数!$B$2+AJ392*参数!$B$6*参数!$B$2+Z392*参数!$B$13-T392*参数!$B$14-AD392*参数!$B$13+IF(ISNUMBER(AU392),AU392*参数!$B$38,0)-AV392*参数!$B$41-AW392*参数!$B$14&gt;参数!$B$17,参数!$B$17+SQRT(IF(AND(F392="能力",AL392="能力持续"),(参数!$B$2-1)*参数!$B$3,0)+M392*O392*参数!$B$5*IF(AND(F392="能力",AL392="能力持续"),参数!$B$2,1)+P392*参数!$B$6*IF(AND(F392="能力",AL392="能力持续"),参数!$B$2,1)+R392*参数!$B$7*IF(AND(F392="能力",AL392="能力持续"),参数!$B$2,1)+V392*参数!$B$8+IF(X392&lt;0,X392*参数!$B$13,X392*参数!$B$39)+IF(AE392&lt;0,AE392*参数!$B$13,AE392*参数!$B$12)*参数!$B$2+AQ392*参数!$B$15+AB392*参数!$B$11+AF392*参数!$B$40*参数!$B$2+AG392*参数!$B$44*参数!$B$2+AH392*参数!$B$6*参数!$B$2+AI392*参数!$B$39*参数!$B$2+AJ392*参数!$B$6*参数!$B$2+Z392*参数!$B$13-T392*参数!$B$14-AD392*参数!$B$13+IF(ISNUMBER(AU392),AU392*参数!$B$38,0)-AV392*参数!$B$41-AW392*参数!$B$14-参数!$B$17)*参数!$B$18,IF(AND(F392="能力",AL392="能力持续"),(参数!$B$2-1)*参数!$B$3,0)+M392*O392*参数!$B$5*IF(AND(F392="能力",AL392="能力持续"),参数!$B$2,1)+P392*参数!$B$6*IF(AND(F392="能力",AL392="能力持续"),参数!$B$2,1)+R392*参数!$B$7*IF(AND(F392="能力",AL392="能力持续"),参数!$B$2,1)+V392*参数!$B$8+IF(X392&lt;0,X392*参数!$B$13,X392*参数!$B$39)+IF(AE392&lt;0,AE392*参数!$B$13,AE392*参数!$B$12)*参数!$B$2+AQ392*参数!$B$15+AB392*参数!$B$11+AF392*参数!$B$40*参数!$B$2+AG392*参数!$B$44*参数!$B$2+AH392*参数!$B$6*参数!$B$2+AI392*参数!$B$39*参数!$B$2+AJ392*参数!$B$6*参数!$B$2+Z392*参数!$B$13-T392*参数!$B$14-AD392*参数!$B$13+IF(ISNUMBER(AU392),AU392*参数!$B$38,0)-AV392*参数!$B$41-AW392*参数!$B$14),0),0)</f>
        <v>13.91152144312159</v>
      </c>
      <c r="AZ392">
        <f>AY392-MAX(AP392,0)*参数!$B$10</f>
        <v>12.71152144312159</v>
      </c>
      <c r="BA392">
        <f t="shared" si="13"/>
        <v>34.778803607803972</v>
      </c>
    </row>
    <row r="393" spans="1:53" x14ac:dyDescent="0.3">
      <c r="A393">
        <v>392</v>
      </c>
      <c r="B393" t="s">
        <v>1683</v>
      </c>
      <c r="C393" t="s">
        <v>1401</v>
      </c>
      <c r="D393" t="s">
        <v>1684</v>
      </c>
      <c r="E393" t="s">
        <v>1685</v>
      </c>
      <c r="F393" t="s">
        <v>124</v>
      </c>
      <c r="G393" t="s">
        <v>12</v>
      </c>
      <c r="H393">
        <v>1</v>
      </c>
      <c r="I393">
        <v>1</v>
      </c>
      <c r="J393" t="s">
        <v>1686</v>
      </c>
      <c r="L393" t="s">
        <v>120</v>
      </c>
      <c r="M393">
        <v>0</v>
      </c>
      <c r="N393">
        <v>0</v>
      </c>
      <c r="O393">
        <v>1</v>
      </c>
      <c r="P393">
        <f>参数!$B$34*2</f>
        <v>4</v>
      </c>
      <c r="Q393">
        <f>参数!$B$34*3</f>
        <v>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 t="s">
        <v>112</v>
      </c>
      <c r="AN393" t="s">
        <v>124</v>
      </c>
      <c r="AP393">
        <f t="shared" si="12"/>
        <v>1</v>
      </c>
      <c r="AQ393">
        <v>0</v>
      </c>
      <c r="AR393">
        <v>0</v>
      </c>
      <c r="AT393" t="s">
        <v>113</v>
      </c>
      <c r="AU393">
        <v>0</v>
      </c>
      <c r="AY393">
        <f>IFERROR(MAX(IF(IF(AND(F393="能力",AL393="能力持续"),(参数!$B$2-1)*参数!$B$3,0)+M393*O393*参数!$B$5*IF(AND(F393="能力",AL393="能力持续"),参数!$B$2,1)+P393*参数!$B$6*IF(AND(F393="能力",AL393="能力持续"),参数!$B$2,1)+R393*参数!$B$7*IF(AND(F393="能力",AL393="能力持续"),参数!$B$2,1)+V393*参数!$B$8+IF(X393&lt;0,X393*参数!$B$13,X393*参数!$B$39)+IF(AE393&lt;0,AE393*参数!$B$13,AE393*参数!$B$12)*参数!$B$2+AQ393*参数!$B$15+AB393*参数!$B$11+AF393*参数!$B$40*参数!$B$2+AG393*参数!$B$44*参数!$B$2+AH393*参数!$B$6*参数!$B$2+AI393*参数!$B$39*参数!$B$2+AJ393*参数!$B$6*参数!$B$2+Z393*参数!$B$13-T393*参数!$B$14-AD393*参数!$B$13+IF(ISNUMBER(AU393),AU393*参数!$B$38,0)-AV393*参数!$B$41-AW393*参数!$B$14&gt;参数!$B$17,参数!$B$17+SQRT(IF(AND(F393="能力",AL393="能力持续"),(参数!$B$2-1)*参数!$B$3,0)+M393*O393*参数!$B$5*IF(AND(F393="能力",AL393="能力持续"),参数!$B$2,1)+P393*参数!$B$6*IF(AND(F393="能力",AL393="能力持续"),参数!$B$2,1)+R393*参数!$B$7*IF(AND(F393="能力",AL393="能力持续"),参数!$B$2,1)+V393*参数!$B$8+IF(X393&lt;0,X393*参数!$B$13,X393*参数!$B$39)+IF(AE393&lt;0,AE393*参数!$B$13,AE393*参数!$B$12)*参数!$B$2+AQ393*参数!$B$15+AB393*参数!$B$11+AF393*参数!$B$40*参数!$B$2+AG393*参数!$B$44*参数!$B$2+AH393*参数!$B$6*参数!$B$2+AI393*参数!$B$39*参数!$B$2+AJ393*参数!$B$6*参数!$B$2+Z393*参数!$B$13-T393*参数!$B$14-AD393*参数!$B$13+IF(ISNUMBER(AU393),AU393*参数!$B$38,0)-AV393*参数!$B$41-AW393*参数!$B$14-参数!$B$17)*参数!$B$18,IF(AND(F393="能力",AL393="能力持续"),(参数!$B$2-1)*参数!$B$3,0)+M393*O393*参数!$B$5*IF(AND(F393="能力",AL393="能力持续"),参数!$B$2,1)+P393*参数!$B$6*IF(AND(F393="能力",AL393="能力持续"),参数!$B$2,1)+R393*参数!$B$7*IF(AND(F393="能力",AL393="能力持续"),参数!$B$2,1)+V393*参数!$B$8+IF(X393&lt;0,X393*参数!$B$13,X393*参数!$B$39)+IF(AE393&lt;0,AE393*参数!$B$13,AE393*参数!$B$12)*参数!$B$2+AQ393*参数!$B$15+AB393*参数!$B$11+AF393*参数!$B$40*参数!$B$2+AG393*参数!$B$44*参数!$B$2+AH393*参数!$B$6*参数!$B$2+AI393*参数!$B$39*参数!$B$2+AJ393*参数!$B$6*参数!$B$2+Z393*参数!$B$13-T393*参数!$B$14-AD393*参数!$B$13+IF(ISNUMBER(AU393),AU393*参数!$B$38,0)-AV393*参数!$B$41-AW393*参数!$B$14),0),0)</f>
        <v>4.4000000000000004</v>
      </c>
      <c r="AZ393">
        <f>AY393-MAX(AP393,0)*参数!$B$10</f>
        <v>1.4000000000000004</v>
      </c>
      <c r="BA393">
        <f t="shared" si="13"/>
        <v>4.4000000000000004</v>
      </c>
    </row>
    <row r="394" spans="1:53" x14ac:dyDescent="0.3">
      <c r="A394">
        <v>393</v>
      </c>
      <c r="B394" t="s">
        <v>1687</v>
      </c>
      <c r="C394" t="s">
        <v>1401</v>
      </c>
      <c r="D394" t="s">
        <v>1688</v>
      </c>
      <c r="E394" t="s">
        <v>1689</v>
      </c>
      <c r="F394" t="s">
        <v>108</v>
      </c>
      <c r="G394" t="s">
        <v>12</v>
      </c>
      <c r="H394">
        <v>1</v>
      </c>
      <c r="I394">
        <v>1</v>
      </c>
      <c r="J394" t="s">
        <v>1690</v>
      </c>
      <c r="L394" t="s">
        <v>111</v>
      </c>
      <c r="M394">
        <v>5</v>
      </c>
      <c r="N394">
        <v>6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 t="s">
        <v>112</v>
      </c>
      <c r="AN394" t="s">
        <v>161</v>
      </c>
      <c r="AP394">
        <f t="shared" si="12"/>
        <v>1</v>
      </c>
      <c r="AQ394">
        <v>0</v>
      </c>
      <c r="AR394">
        <v>0</v>
      </c>
      <c r="AT394" t="s">
        <v>113</v>
      </c>
      <c r="AU394">
        <f>(参数!$B$33-1)*3</f>
        <v>6</v>
      </c>
      <c r="AY394">
        <f>IFERROR(MAX(IF(IF(AND(F394="能力",AL394="能力持续"),(参数!$B$2-1)*参数!$B$3,0)+M394*O394*参数!$B$5*IF(AND(F394="能力",AL394="能力持续"),参数!$B$2,1)+P394*参数!$B$6*IF(AND(F394="能力",AL394="能力持续"),参数!$B$2,1)+R394*参数!$B$7*IF(AND(F394="能力",AL394="能力持续"),参数!$B$2,1)+V394*参数!$B$8+IF(X394&lt;0,X394*参数!$B$13,X394*参数!$B$39)+IF(AE394&lt;0,AE394*参数!$B$13,AE394*参数!$B$12)*参数!$B$2+AQ394*参数!$B$15+AB394*参数!$B$11+AF394*参数!$B$40*参数!$B$2+AG394*参数!$B$44*参数!$B$2+AH394*参数!$B$6*参数!$B$2+AI394*参数!$B$39*参数!$B$2+AJ394*参数!$B$6*参数!$B$2+Z394*参数!$B$13-T394*参数!$B$14-AD394*参数!$B$13+IF(ISNUMBER(AU394),AU394*参数!$B$38,0)-AV394*参数!$B$41-AW394*参数!$B$14&gt;参数!$B$17,参数!$B$17+SQRT(IF(AND(F394="能力",AL394="能力持续"),(参数!$B$2-1)*参数!$B$3,0)+M394*O394*参数!$B$5*IF(AND(F394="能力",AL394="能力持续"),参数!$B$2,1)+P394*参数!$B$6*IF(AND(F394="能力",AL394="能力持续"),参数!$B$2,1)+R394*参数!$B$7*IF(AND(F394="能力",AL394="能力持续"),参数!$B$2,1)+V394*参数!$B$8+IF(X394&lt;0,X394*参数!$B$13,X394*参数!$B$39)+IF(AE394&lt;0,AE394*参数!$B$13,AE394*参数!$B$12)*参数!$B$2+AQ394*参数!$B$15+AB394*参数!$B$11+AF394*参数!$B$40*参数!$B$2+AG394*参数!$B$44*参数!$B$2+AH394*参数!$B$6*参数!$B$2+AI394*参数!$B$39*参数!$B$2+AJ394*参数!$B$6*参数!$B$2+Z394*参数!$B$13-T394*参数!$B$14-AD394*参数!$B$13+IF(ISNUMBER(AU394),AU394*参数!$B$38,0)-AV394*参数!$B$41-AW394*参数!$B$14-参数!$B$17)*参数!$B$18,IF(AND(F394="能力",AL394="能力持续"),(参数!$B$2-1)*参数!$B$3,0)+M394*O394*参数!$B$5*IF(AND(F394="能力",AL394="能力持续"),参数!$B$2,1)+P394*参数!$B$6*IF(AND(F394="能力",AL394="能力持续"),参数!$B$2,1)+R394*参数!$B$7*IF(AND(F394="能力",AL394="能力持续"),参数!$B$2,1)+V394*参数!$B$8+IF(X394&lt;0,X394*参数!$B$13,X394*参数!$B$39)+IF(AE394&lt;0,AE394*参数!$B$13,AE394*参数!$B$12)*参数!$B$2+AQ394*参数!$B$15+AB394*参数!$B$11+AF394*参数!$B$40*参数!$B$2+AG394*参数!$B$44*参数!$B$2+AH394*参数!$B$6*参数!$B$2+AI394*参数!$B$39*参数!$B$2+AJ394*参数!$B$6*参数!$B$2+Z394*参数!$B$13-T394*参数!$B$14-AD394*参数!$B$13+IF(ISNUMBER(AU394),AU394*参数!$B$38,0)-AV394*参数!$B$41-AW394*参数!$B$14),0),0)</f>
        <v>11.5</v>
      </c>
      <c r="AZ394">
        <f>AY394-MAX(AP394,0)*参数!$B$10</f>
        <v>8.5</v>
      </c>
      <c r="BA394">
        <f t="shared" si="13"/>
        <v>11.5</v>
      </c>
    </row>
    <row r="395" spans="1:53" x14ac:dyDescent="0.3">
      <c r="A395">
        <v>394</v>
      </c>
      <c r="B395" t="s">
        <v>1691</v>
      </c>
      <c r="C395" t="s">
        <v>1401</v>
      </c>
      <c r="D395" t="s">
        <v>1692</v>
      </c>
      <c r="E395" t="s">
        <v>1693</v>
      </c>
      <c r="F395" t="s">
        <v>124</v>
      </c>
      <c r="G395" t="s">
        <v>12</v>
      </c>
      <c r="H395">
        <v>2</v>
      </c>
      <c r="I395">
        <v>2</v>
      </c>
      <c r="J395" t="s">
        <v>1694</v>
      </c>
      <c r="L395" t="s">
        <v>120</v>
      </c>
      <c r="M395">
        <f>参数!$B$35*9</f>
        <v>18</v>
      </c>
      <c r="N395">
        <f>参数!$B$35*13</f>
        <v>26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 t="s">
        <v>112</v>
      </c>
      <c r="AN395" t="s">
        <v>124</v>
      </c>
      <c r="AP395">
        <f t="shared" si="12"/>
        <v>2</v>
      </c>
      <c r="AQ395">
        <v>0</v>
      </c>
      <c r="AR395">
        <v>0</v>
      </c>
      <c r="AT395" t="s">
        <v>113</v>
      </c>
      <c r="AU395">
        <v>0</v>
      </c>
      <c r="AY395">
        <f>IFERROR(MAX(IF(IF(AND(F395="能力",AL395="能力持续"),(参数!$B$2-1)*参数!$B$3,0)+M395*O395*参数!$B$5*IF(AND(F395="能力",AL395="能力持续"),参数!$B$2,1)+P395*参数!$B$6*IF(AND(F395="能力",AL395="能力持续"),参数!$B$2,1)+R395*参数!$B$7*IF(AND(F395="能力",AL395="能力持续"),参数!$B$2,1)+V395*参数!$B$8+IF(X395&lt;0,X395*参数!$B$13,X395*参数!$B$39)+IF(AE395&lt;0,AE395*参数!$B$13,AE395*参数!$B$12)*参数!$B$2+AQ395*参数!$B$15+AB395*参数!$B$11+AF395*参数!$B$40*参数!$B$2+AG395*参数!$B$44*参数!$B$2+AH395*参数!$B$6*参数!$B$2+AI395*参数!$B$39*参数!$B$2+AJ395*参数!$B$6*参数!$B$2+Z395*参数!$B$13-T395*参数!$B$14-AD395*参数!$B$13+IF(ISNUMBER(AU395),AU395*参数!$B$38,0)-AV395*参数!$B$41-AW395*参数!$B$14&gt;参数!$B$17,参数!$B$17+SQRT(IF(AND(F395="能力",AL395="能力持续"),(参数!$B$2-1)*参数!$B$3,0)+M395*O395*参数!$B$5*IF(AND(F395="能力",AL395="能力持续"),参数!$B$2,1)+P395*参数!$B$6*IF(AND(F395="能力",AL395="能力持续"),参数!$B$2,1)+R395*参数!$B$7*IF(AND(F395="能力",AL395="能力持续"),参数!$B$2,1)+V395*参数!$B$8+IF(X395&lt;0,X395*参数!$B$13,X395*参数!$B$39)+IF(AE395&lt;0,AE395*参数!$B$13,AE395*参数!$B$12)*参数!$B$2+AQ395*参数!$B$15+AB395*参数!$B$11+AF395*参数!$B$40*参数!$B$2+AG395*参数!$B$44*参数!$B$2+AH395*参数!$B$6*参数!$B$2+AI395*参数!$B$39*参数!$B$2+AJ395*参数!$B$6*参数!$B$2+Z395*参数!$B$13-T395*参数!$B$14-AD395*参数!$B$13+IF(ISNUMBER(AU395),AU395*参数!$B$38,0)-AV395*参数!$B$41-AW395*参数!$B$14-参数!$B$17)*参数!$B$18,IF(AND(F395="能力",AL395="能力持续"),(参数!$B$2-1)*参数!$B$3,0)+M395*O395*参数!$B$5*IF(AND(F395="能力",AL395="能力持续"),参数!$B$2,1)+P395*参数!$B$6*IF(AND(F395="能力",AL395="能力持续"),参数!$B$2,1)+R395*参数!$B$7*IF(AND(F395="能力",AL395="能力持续"),参数!$B$2,1)+V395*参数!$B$8+IF(X395&lt;0,X395*参数!$B$13,X395*参数!$B$39)+IF(AE395&lt;0,AE395*参数!$B$13,AE395*参数!$B$12)*参数!$B$2+AQ395*参数!$B$15+AB395*参数!$B$11+AF395*参数!$B$40*参数!$B$2+AG395*参数!$B$44*参数!$B$2+AH395*参数!$B$6*参数!$B$2+AI395*参数!$B$39*参数!$B$2+AJ395*参数!$B$6*参数!$B$2+Z395*参数!$B$13-T395*参数!$B$14-AD395*参数!$B$13+IF(ISNUMBER(AU395),AU395*参数!$B$38,0)-AV395*参数!$B$41-AW395*参数!$B$14),0),0)</f>
        <v>14.242640687119286</v>
      </c>
      <c r="AZ395">
        <f>AY395-MAX(AP395,0)*参数!$B$10</f>
        <v>8.2426406871192857</v>
      </c>
      <c r="BA395">
        <f t="shared" si="13"/>
        <v>7.1213203435596428</v>
      </c>
    </row>
    <row r="396" spans="1:53" x14ac:dyDescent="0.3">
      <c r="A396">
        <v>395</v>
      </c>
      <c r="B396" t="s">
        <v>1695</v>
      </c>
      <c r="C396" t="s">
        <v>1401</v>
      </c>
      <c r="D396" t="s">
        <v>1696</v>
      </c>
      <c r="E396" t="s">
        <v>1697</v>
      </c>
      <c r="F396" t="s">
        <v>108</v>
      </c>
      <c r="G396" t="s">
        <v>10</v>
      </c>
      <c r="H396">
        <v>1</v>
      </c>
      <c r="I396">
        <v>1</v>
      </c>
      <c r="J396" t="s">
        <v>1698</v>
      </c>
      <c r="L396" t="s">
        <v>111</v>
      </c>
      <c r="M396">
        <v>7</v>
      </c>
      <c r="N396">
        <v>10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 t="s">
        <v>112</v>
      </c>
      <c r="AP396">
        <f t="shared" si="12"/>
        <v>1</v>
      </c>
      <c r="AQ396">
        <v>0</v>
      </c>
      <c r="AR396">
        <v>0</v>
      </c>
      <c r="AT396" t="s">
        <v>113</v>
      </c>
      <c r="AU396">
        <v>0</v>
      </c>
      <c r="AY396">
        <f>IFERROR(MAX(IF(IF(AND(F396="能力",AL396="能力持续"),(参数!$B$2-1)*参数!$B$3,0)+M396*O396*参数!$B$5*IF(AND(F396="能力",AL396="能力持续"),参数!$B$2,1)+P396*参数!$B$6*IF(AND(F396="能力",AL396="能力持续"),参数!$B$2,1)+R396*参数!$B$7*IF(AND(F396="能力",AL396="能力持续"),参数!$B$2,1)+V396*参数!$B$8+IF(X396&lt;0,X396*参数!$B$13,X396*参数!$B$39)+IF(AE396&lt;0,AE396*参数!$B$13,AE396*参数!$B$12)*参数!$B$2+AQ396*参数!$B$15+AB396*参数!$B$11+AF396*参数!$B$40*参数!$B$2+AG396*参数!$B$44*参数!$B$2+AH396*参数!$B$6*参数!$B$2+AI396*参数!$B$39*参数!$B$2+AJ396*参数!$B$6*参数!$B$2+Z396*参数!$B$13-T396*参数!$B$14-AD396*参数!$B$13+IF(ISNUMBER(AU396),AU396*参数!$B$38,0)-AV396*参数!$B$41-AW396*参数!$B$14&gt;参数!$B$17,参数!$B$17+SQRT(IF(AND(F396="能力",AL396="能力持续"),(参数!$B$2-1)*参数!$B$3,0)+M396*O396*参数!$B$5*IF(AND(F396="能力",AL396="能力持续"),参数!$B$2,1)+P396*参数!$B$6*IF(AND(F396="能力",AL396="能力持续"),参数!$B$2,1)+R396*参数!$B$7*IF(AND(F396="能力",AL396="能力持续"),参数!$B$2,1)+V396*参数!$B$8+IF(X396&lt;0,X396*参数!$B$13,X396*参数!$B$39)+IF(AE396&lt;0,AE396*参数!$B$13,AE396*参数!$B$12)*参数!$B$2+AQ396*参数!$B$15+AB396*参数!$B$11+AF396*参数!$B$40*参数!$B$2+AG396*参数!$B$44*参数!$B$2+AH396*参数!$B$6*参数!$B$2+AI396*参数!$B$39*参数!$B$2+AJ396*参数!$B$6*参数!$B$2+Z396*参数!$B$13-T396*参数!$B$14-AD396*参数!$B$13+IF(ISNUMBER(AU396),AU396*参数!$B$38,0)-AV396*参数!$B$41-AW396*参数!$B$14-参数!$B$17)*参数!$B$18,IF(AND(F396="能力",AL396="能力持续"),(参数!$B$2-1)*参数!$B$3,0)+M396*O396*参数!$B$5*IF(AND(F396="能力",AL396="能力持续"),参数!$B$2,1)+P396*参数!$B$6*IF(AND(F396="能力",AL396="能力持续"),参数!$B$2,1)+R396*参数!$B$7*IF(AND(F396="能力",AL396="能力持续"),参数!$B$2,1)+V396*参数!$B$8+IF(X396&lt;0,X396*参数!$B$13,X396*参数!$B$39)+IF(AE396&lt;0,AE396*参数!$B$13,AE396*参数!$B$12)*参数!$B$2+AQ396*参数!$B$15+AB396*参数!$B$11+AF396*参数!$B$40*参数!$B$2+AG396*参数!$B$44*参数!$B$2+AH396*参数!$B$6*参数!$B$2+AI396*参数!$B$39*参数!$B$2+AJ396*参数!$B$6*参数!$B$2+Z396*参数!$B$13-T396*参数!$B$14-AD396*参数!$B$13+IF(ISNUMBER(AU396),AU396*参数!$B$38,0)-AV396*参数!$B$41-AW396*参数!$B$14),0),0)</f>
        <v>7</v>
      </c>
      <c r="AZ396">
        <f>AY396-MAX(AP396,0)*参数!$B$10</f>
        <v>4</v>
      </c>
      <c r="BA396">
        <f t="shared" si="13"/>
        <v>7</v>
      </c>
    </row>
    <row r="397" spans="1:53" x14ac:dyDescent="0.3">
      <c r="A397">
        <v>396</v>
      </c>
      <c r="B397" t="s">
        <v>1699</v>
      </c>
      <c r="C397" t="s">
        <v>1401</v>
      </c>
      <c r="D397" t="s">
        <v>1700</v>
      </c>
      <c r="E397" t="s">
        <v>1701</v>
      </c>
      <c r="F397" t="s">
        <v>108</v>
      </c>
      <c r="G397" t="s">
        <v>14</v>
      </c>
      <c r="H397">
        <v>1</v>
      </c>
      <c r="I397">
        <v>1</v>
      </c>
      <c r="J397" t="s">
        <v>1702</v>
      </c>
      <c r="L397" t="s">
        <v>111</v>
      </c>
      <c r="M397">
        <f>参数!$B$36*2+9</f>
        <v>19</v>
      </c>
      <c r="N397">
        <f>参数!$B$36*3+9</f>
        <v>24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t="s">
        <v>112</v>
      </c>
      <c r="AO397" t="s">
        <v>182</v>
      </c>
      <c r="AP397">
        <f t="shared" si="12"/>
        <v>1</v>
      </c>
      <c r="AQ397">
        <v>0</v>
      </c>
      <c r="AR397">
        <v>0</v>
      </c>
      <c r="AT397" t="s">
        <v>113</v>
      </c>
      <c r="AU397">
        <v>0</v>
      </c>
      <c r="AY397">
        <f>IFERROR(MAX(IF(IF(AND(F397="能力",AL397="能力持续"),(参数!$B$2-1)*参数!$B$3,0)+M397*O397*参数!$B$5*IF(AND(F397="能力",AL397="能力持续"),参数!$B$2,1)+P397*参数!$B$6*IF(AND(F397="能力",AL397="能力持续"),参数!$B$2,1)+R397*参数!$B$7*IF(AND(F397="能力",AL397="能力持续"),参数!$B$2,1)+V397*参数!$B$8+IF(X397&lt;0,X397*参数!$B$13,X397*参数!$B$39)+IF(AE397&lt;0,AE397*参数!$B$13,AE397*参数!$B$12)*参数!$B$2+AQ397*参数!$B$15+AB397*参数!$B$11+AF397*参数!$B$40*参数!$B$2+AG397*参数!$B$44*参数!$B$2+AH397*参数!$B$6*参数!$B$2+AI397*参数!$B$39*参数!$B$2+AJ397*参数!$B$6*参数!$B$2+Z397*参数!$B$13-T397*参数!$B$14-AD397*参数!$B$13+IF(ISNUMBER(AU397),AU397*参数!$B$38,0)-AV397*参数!$B$41-AW397*参数!$B$14&gt;参数!$B$17,参数!$B$17+SQRT(IF(AND(F397="能力",AL397="能力持续"),(参数!$B$2-1)*参数!$B$3,0)+M397*O397*参数!$B$5*IF(AND(F397="能力",AL397="能力持续"),参数!$B$2,1)+P397*参数!$B$6*IF(AND(F397="能力",AL397="能力持续"),参数!$B$2,1)+R397*参数!$B$7*IF(AND(F397="能力",AL397="能力持续"),参数!$B$2,1)+V397*参数!$B$8+IF(X397&lt;0,X397*参数!$B$13,X397*参数!$B$39)+IF(AE397&lt;0,AE397*参数!$B$13,AE397*参数!$B$12)*参数!$B$2+AQ397*参数!$B$15+AB397*参数!$B$11+AF397*参数!$B$40*参数!$B$2+AG397*参数!$B$44*参数!$B$2+AH397*参数!$B$6*参数!$B$2+AI397*参数!$B$39*参数!$B$2+AJ397*参数!$B$6*参数!$B$2+Z397*参数!$B$13-T397*参数!$B$14-AD397*参数!$B$13+IF(ISNUMBER(AU397),AU397*参数!$B$38,0)-AV397*参数!$B$41-AW397*参数!$B$14-参数!$B$17)*参数!$B$18,IF(AND(F397="能力",AL397="能力持续"),(参数!$B$2-1)*参数!$B$3,0)+M397*O397*参数!$B$5*IF(AND(F397="能力",AL397="能力持续"),参数!$B$2,1)+P397*参数!$B$6*IF(AND(F397="能力",AL397="能力持续"),参数!$B$2,1)+R397*参数!$B$7*IF(AND(F397="能力",AL397="能力持续"),参数!$B$2,1)+V397*参数!$B$8+IF(X397&lt;0,X397*参数!$B$13,X397*参数!$B$39)+IF(AE397&lt;0,AE397*参数!$B$13,AE397*参数!$B$12)*参数!$B$2+AQ397*参数!$B$15+AB397*参数!$B$11+AF397*参数!$B$40*参数!$B$2+AG397*参数!$B$44*参数!$B$2+AH397*参数!$B$6*参数!$B$2+AI397*参数!$B$39*参数!$B$2+AJ397*参数!$B$6*参数!$B$2+Z397*参数!$B$13-T397*参数!$B$14-AD397*参数!$B$13+IF(ISNUMBER(AU397),AU397*参数!$B$38,0)-AV397*参数!$B$41-AW397*参数!$B$14),0),0)</f>
        <v>14.5</v>
      </c>
      <c r="AZ397">
        <f>AY397-MAX(AP397,0)*参数!$B$10</f>
        <v>11.5</v>
      </c>
      <c r="BA397">
        <f t="shared" si="13"/>
        <v>14.5</v>
      </c>
    </row>
    <row r="398" spans="1:53" x14ac:dyDescent="0.3">
      <c r="A398">
        <v>397</v>
      </c>
      <c r="B398" t="s">
        <v>1703</v>
      </c>
      <c r="C398" t="s">
        <v>1401</v>
      </c>
      <c r="D398" t="s">
        <v>1704</v>
      </c>
      <c r="E398" t="s">
        <v>1705</v>
      </c>
      <c r="F398" t="s">
        <v>108</v>
      </c>
      <c r="G398" t="s">
        <v>10</v>
      </c>
      <c r="H398">
        <v>1</v>
      </c>
      <c r="I398">
        <v>1</v>
      </c>
      <c r="J398" t="s">
        <v>1706</v>
      </c>
      <c r="L398" t="s">
        <v>191</v>
      </c>
      <c r="M398">
        <v>8</v>
      </c>
      <c r="N398">
        <v>11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 t="s">
        <v>112</v>
      </c>
      <c r="AN398" t="s">
        <v>192</v>
      </c>
      <c r="AP398">
        <f t="shared" si="12"/>
        <v>1</v>
      </c>
      <c r="AQ398">
        <v>0</v>
      </c>
      <c r="AR398">
        <v>0</v>
      </c>
      <c r="AT398" t="s">
        <v>113</v>
      </c>
      <c r="AU398">
        <v>0</v>
      </c>
      <c r="AY398">
        <f>IFERROR(MAX(IF(IF(AND(F398="能力",AL398="能力持续"),(参数!$B$2-1)*参数!$B$3,0)+M398*O398*参数!$B$5*IF(AND(F398="能力",AL398="能力持续"),参数!$B$2,1)+P398*参数!$B$6*IF(AND(F398="能力",AL398="能力持续"),参数!$B$2,1)+R398*参数!$B$7*IF(AND(F398="能力",AL398="能力持续"),参数!$B$2,1)+V398*参数!$B$8+IF(X398&lt;0,X398*参数!$B$13,X398*参数!$B$39)+IF(AE398&lt;0,AE398*参数!$B$13,AE398*参数!$B$12)*参数!$B$2+AQ398*参数!$B$15+AB398*参数!$B$11+AF398*参数!$B$40*参数!$B$2+AG398*参数!$B$44*参数!$B$2+AH398*参数!$B$6*参数!$B$2+AI398*参数!$B$39*参数!$B$2+AJ398*参数!$B$6*参数!$B$2+Z398*参数!$B$13-T398*参数!$B$14-AD398*参数!$B$13+IF(ISNUMBER(AU398),AU398*参数!$B$38,0)-AV398*参数!$B$41-AW398*参数!$B$14&gt;参数!$B$17,参数!$B$17+SQRT(IF(AND(F398="能力",AL398="能力持续"),(参数!$B$2-1)*参数!$B$3,0)+M398*O398*参数!$B$5*IF(AND(F398="能力",AL398="能力持续"),参数!$B$2,1)+P398*参数!$B$6*IF(AND(F398="能力",AL398="能力持续"),参数!$B$2,1)+R398*参数!$B$7*IF(AND(F398="能力",AL398="能力持续"),参数!$B$2,1)+V398*参数!$B$8+IF(X398&lt;0,X398*参数!$B$13,X398*参数!$B$39)+IF(AE398&lt;0,AE398*参数!$B$13,AE398*参数!$B$12)*参数!$B$2+AQ398*参数!$B$15+AB398*参数!$B$11+AF398*参数!$B$40*参数!$B$2+AG398*参数!$B$44*参数!$B$2+AH398*参数!$B$6*参数!$B$2+AI398*参数!$B$39*参数!$B$2+AJ398*参数!$B$6*参数!$B$2+Z398*参数!$B$13-T398*参数!$B$14-AD398*参数!$B$13+IF(ISNUMBER(AU398),AU398*参数!$B$38,0)-AV398*参数!$B$41-AW398*参数!$B$14-参数!$B$17)*参数!$B$18,IF(AND(F398="能力",AL398="能力持续"),(参数!$B$2-1)*参数!$B$3,0)+M398*O398*参数!$B$5*IF(AND(F398="能力",AL398="能力持续"),参数!$B$2,1)+P398*参数!$B$6*IF(AND(F398="能力",AL398="能力持续"),参数!$B$2,1)+R398*参数!$B$7*IF(AND(F398="能力",AL398="能力持续"),参数!$B$2,1)+V398*参数!$B$8+IF(X398&lt;0,X398*参数!$B$13,X398*参数!$B$39)+IF(AE398&lt;0,AE398*参数!$B$13,AE398*参数!$B$12)*参数!$B$2+AQ398*参数!$B$15+AB398*参数!$B$11+AF398*参数!$B$40*参数!$B$2+AG398*参数!$B$44*参数!$B$2+AH398*参数!$B$6*参数!$B$2+AI398*参数!$B$39*参数!$B$2+AJ398*参数!$B$6*参数!$B$2+Z398*参数!$B$13-T398*参数!$B$14-AD398*参数!$B$13+IF(ISNUMBER(AU398),AU398*参数!$B$38,0)-AV398*参数!$B$41-AW398*参数!$B$14),0),0)</f>
        <v>8</v>
      </c>
      <c r="AZ398">
        <f>AY398-MAX(AP398,0)*参数!$B$10</f>
        <v>5</v>
      </c>
      <c r="BA398">
        <f t="shared" si="13"/>
        <v>8</v>
      </c>
    </row>
    <row r="399" spans="1:53" x14ac:dyDescent="0.3">
      <c r="A399">
        <v>398</v>
      </c>
      <c r="B399" t="s">
        <v>1707</v>
      </c>
      <c r="C399" t="s">
        <v>1401</v>
      </c>
      <c r="D399" t="s">
        <v>1708</v>
      </c>
      <c r="E399" t="s">
        <v>1709</v>
      </c>
      <c r="F399" t="s">
        <v>124</v>
      </c>
      <c r="G399" t="s">
        <v>14</v>
      </c>
      <c r="H399">
        <v>1</v>
      </c>
      <c r="I399">
        <v>1</v>
      </c>
      <c r="J399" t="s">
        <v>1710</v>
      </c>
      <c r="L399" t="s">
        <v>120</v>
      </c>
      <c r="M399">
        <v>0</v>
      </c>
      <c r="N399">
        <v>0</v>
      </c>
      <c r="O399">
        <v>1</v>
      </c>
      <c r="P399">
        <f>参数!$B$31*4</f>
        <v>6</v>
      </c>
      <c r="Q399">
        <f>参数!$B$31*5</f>
        <v>7.5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t="s">
        <v>112</v>
      </c>
      <c r="AL399" t="s">
        <v>127</v>
      </c>
      <c r="AN399" t="s">
        <v>124</v>
      </c>
      <c r="AP399">
        <f t="shared" si="12"/>
        <v>1</v>
      </c>
      <c r="AQ399">
        <v>0</v>
      </c>
      <c r="AR399">
        <v>0</v>
      </c>
      <c r="AT399" t="s">
        <v>113</v>
      </c>
      <c r="AU399">
        <v>0</v>
      </c>
      <c r="AY399">
        <f>IFERROR(MAX(IF(IF(AND(F399="能力",AL399="能力持续"),(参数!$B$2-1)*参数!$B$3,0)+M399*O399*参数!$B$5*IF(AND(F399="能力",AL399="能力持续"),参数!$B$2,1)+P399*参数!$B$6*IF(AND(F399="能力",AL399="能力持续"),参数!$B$2,1)+R399*参数!$B$7*IF(AND(F399="能力",AL399="能力持续"),参数!$B$2,1)+V399*参数!$B$8+IF(X399&lt;0,X399*参数!$B$13,X399*参数!$B$39)+IF(AE399&lt;0,AE399*参数!$B$13,AE399*参数!$B$12)*参数!$B$2+AQ399*参数!$B$15+AB399*参数!$B$11+AF399*参数!$B$40*参数!$B$2+AG399*参数!$B$44*参数!$B$2+AH399*参数!$B$6*参数!$B$2+AI399*参数!$B$39*参数!$B$2+AJ399*参数!$B$6*参数!$B$2+Z399*参数!$B$13-T399*参数!$B$14-AD399*参数!$B$13+IF(ISNUMBER(AU399),AU399*参数!$B$38,0)-AV399*参数!$B$41-AW399*参数!$B$14&gt;参数!$B$17,参数!$B$17+SQRT(IF(AND(F399="能力",AL399="能力持续"),(参数!$B$2-1)*参数!$B$3,0)+M399*O399*参数!$B$5*IF(AND(F399="能力",AL399="能力持续"),参数!$B$2,1)+P399*参数!$B$6*IF(AND(F399="能力",AL399="能力持续"),参数!$B$2,1)+R399*参数!$B$7*IF(AND(F399="能力",AL399="能力持续"),参数!$B$2,1)+V399*参数!$B$8+IF(X399&lt;0,X399*参数!$B$13,X399*参数!$B$39)+IF(AE399&lt;0,AE399*参数!$B$13,AE399*参数!$B$12)*参数!$B$2+AQ399*参数!$B$15+AB399*参数!$B$11+AF399*参数!$B$40*参数!$B$2+AG399*参数!$B$44*参数!$B$2+AH399*参数!$B$6*参数!$B$2+AI399*参数!$B$39*参数!$B$2+AJ399*参数!$B$6*参数!$B$2+Z399*参数!$B$13-T399*参数!$B$14-AD399*参数!$B$13+IF(ISNUMBER(AU399),AU399*参数!$B$38,0)-AV399*参数!$B$41-AW399*参数!$B$14-参数!$B$17)*参数!$B$18,IF(AND(F399="能力",AL399="能力持续"),(参数!$B$2-1)*参数!$B$3,0)+M399*O399*参数!$B$5*IF(AND(F399="能力",AL399="能力持续"),参数!$B$2,1)+P399*参数!$B$6*IF(AND(F399="能力",AL399="能力持续"),参数!$B$2,1)+R399*参数!$B$7*IF(AND(F399="能力",AL399="能力持续"),参数!$B$2,1)+V399*参数!$B$8+IF(X399&lt;0,X399*参数!$B$13,X399*参数!$B$39)+IF(AE399&lt;0,AE399*参数!$B$13,AE399*参数!$B$12)*参数!$B$2+AQ399*参数!$B$15+AB399*参数!$B$11+AF399*参数!$B$40*参数!$B$2+AG399*参数!$B$44*参数!$B$2+AH399*参数!$B$6*参数!$B$2+AI399*参数!$B$39*参数!$B$2+AJ399*参数!$B$6*参数!$B$2+Z399*参数!$B$13-T399*参数!$B$14-AD399*参数!$B$13+IF(ISNUMBER(AU399),AU399*参数!$B$38,0)-AV399*参数!$B$41-AW399*参数!$B$14),0),0)</f>
        <v>16.708203932499369</v>
      </c>
      <c r="AZ399">
        <f>AY399-MAX(AP399,0)*参数!$B$10</f>
        <v>13.708203932499369</v>
      </c>
      <c r="BA399">
        <f t="shared" si="13"/>
        <v>16.708203932499369</v>
      </c>
    </row>
    <row r="400" spans="1:53" x14ac:dyDescent="0.3">
      <c r="A400">
        <v>399</v>
      </c>
      <c r="B400" t="s">
        <v>1711</v>
      </c>
      <c r="C400" t="s">
        <v>1401</v>
      </c>
      <c r="D400" t="s">
        <v>1712</v>
      </c>
      <c r="E400" t="s">
        <v>1713</v>
      </c>
      <c r="F400" t="s">
        <v>117</v>
      </c>
      <c r="G400" t="s">
        <v>12</v>
      </c>
      <c r="H400">
        <v>1</v>
      </c>
      <c r="I400">
        <v>1</v>
      </c>
      <c r="J400" t="s">
        <v>1714</v>
      </c>
      <c r="L400" t="s">
        <v>111</v>
      </c>
      <c r="M400">
        <v>0</v>
      </c>
      <c r="N400">
        <v>0</v>
      </c>
      <c r="O400">
        <v>1</v>
      </c>
      <c r="P400">
        <v>5</v>
      </c>
      <c r="Q400">
        <v>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t="s">
        <v>112</v>
      </c>
      <c r="AP400">
        <f t="shared" si="12"/>
        <v>1</v>
      </c>
      <c r="AQ400">
        <v>0</v>
      </c>
      <c r="AR400">
        <v>0</v>
      </c>
      <c r="AT400" t="s">
        <v>113</v>
      </c>
      <c r="AU400">
        <v>3</v>
      </c>
      <c r="AY400">
        <f>IFERROR(MAX(IF(IF(AND(F400="能力",AL400="能力持续"),(参数!$B$2-1)*参数!$B$3,0)+M400*O400*参数!$B$5*IF(AND(F400="能力",AL400="能力持续"),参数!$B$2,1)+P400*参数!$B$6*IF(AND(F400="能力",AL400="能力持续"),参数!$B$2,1)+R400*参数!$B$7*IF(AND(F400="能力",AL400="能力持续"),参数!$B$2,1)+V400*参数!$B$8+IF(X400&lt;0,X400*参数!$B$13,X400*参数!$B$39)+IF(AE400&lt;0,AE400*参数!$B$13,AE400*参数!$B$12)*参数!$B$2+AQ400*参数!$B$15+AB400*参数!$B$11+AF400*参数!$B$40*参数!$B$2+AG400*参数!$B$44*参数!$B$2+AH400*参数!$B$6*参数!$B$2+AI400*参数!$B$39*参数!$B$2+AJ400*参数!$B$6*参数!$B$2+Z400*参数!$B$13-T400*参数!$B$14-AD400*参数!$B$13+IF(ISNUMBER(AU400),AU400*参数!$B$38,0)-AV400*参数!$B$41-AW400*参数!$B$14&gt;参数!$B$17,参数!$B$17+SQRT(IF(AND(F400="能力",AL400="能力持续"),(参数!$B$2-1)*参数!$B$3,0)+M400*O400*参数!$B$5*IF(AND(F400="能力",AL400="能力持续"),参数!$B$2,1)+P400*参数!$B$6*IF(AND(F400="能力",AL400="能力持续"),参数!$B$2,1)+R400*参数!$B$7*IF(AND(F400="能力",AL400="能力持续"),参数!$B$2,1)+V400*参数!$B$8+IF(X400&lt;0,X400*参数!$B$13,X400*参数!$B$39)+IF(AE400&lt;0,AE400*参数!$B$13,AE400*参数!$B$12)*参数!$B$2+AQ400*参数!$B$15+AB400*参数!$B$11+AF400*参数!$B$40*参数!$B$2+AG400*参数!$B$44*参数!$B$2+AH400*参数!$B$6*参数!$B$2+AI400*参数!$B$39*参数!$B$2+AJ400*参数!$B$6*参数!$B$2+Z400*参数!$B$13-T400*参数!$B$14-AD400*参数!$B$13+IF(ISNUMBER(AU400),AU400*参数!$B$38,0)-AV400*参数!$B$41-AW400*参数!$B$14-参数!$B$17)*参数!$B$18,IF(AND(F400="能力",AL400="能力持续"),(参数!$B$2-1)*参数!$B$3,0)+M400*O400*参数!$B$5*IF(AND(F400="能力",AL400="能力持续"),参数!$B$2,1)+P400*参数!$B$6*IF(AND(F400="能力",AL400="能力持续"),参数!$B$2,1)+R400*参数!$B$7*IF(AND(F400="能力",AL400="能力持续"),参数!$B$2,1)+V400*参数!$B$8+IF(X400&lt;0,X400*参数!$B$13,X400*参数!$B$39)+IF(AE400&lt;0,AE400*参数!$B$13,AE400*参数!$B$12)*参数!$B$2+AQ400*参数!$B$15+AB400*参数!$B$11+AF400*参数!$B$40*参数!$B$2+AG400*参数!$B$44*参数!$B$2+AH400*参数!$B$6*参数!$B$2+AI400*参数!$B$39*参数!$B$2+AJ400*参数!$B$6*参数!$B$2+Z400*参数!$B$13-T400*参数!$B$14-AD400*参数!$B$13+IF(ISNUMBER(AU400),AU400*参数!$B$38,0)-AV400*参数!$B$41-AW400*参数!$B$14),0),0)</f>
        <v>8.5</v>
      </c>
      <c r="AZ400">
        <f>AY400-MAX(AP400,0)*参数!$B$10</f>
        <v>5.5</v>
      </c>
      <c r="BA400">
        <f t="shared" si="13"/>
        <v>8.5</v>
      </c>
    </row>
    <row r="401" spans="1:53" x14ac:dyDescent="0.3">
      <c r="A401">
        <v>400</v>
      </c>
      <c r="B401" t="s">
        <v>1715</v>
      </c>
      <c r="C401" t="s">
        <v>1401</v>
      </c>
      <c r="D401" t="s">
        <v>1716</v>
      </c>
      <c r="E401" t="s">
        <v>1717</v>
      </c>
      <c r="F401" t="s">
        <v>108</v>
      </c>
      <c r="G401" t="s">
        <v>14</v>
      </c>
      <c r="H401">
        <v>3</v>
      </c>
      <c r="I401">
        <v>3</v>
      </c>
      <c r="J401" t="s">
        <v>1718</v>
      </c>
      <c r="L401" t="s">
        <v>111</v>
      </c>
      <c r="M401">
        <f>参数!$B$37*5+25</f>
        <v>50</v>
      </c>
      <c r="N401">
        <f>参数!$B$37*6+25</f>
        <v>55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t="s">
        <v>112</v>
      </c>
      <c r="AP401">
        <f t="shared" si="12"/>
        <v>3</v>
      </c>
      <c r="AQ401">
        <v>0</v>
      </c>
      <c r="AR401">
        <v>0</v>
      </c>
      <c r="AT401" t="s">
        <v>113</v>
      </c>
      <c r="AU401">
        <v>0</v>
      </c>
      <c r="AY401">
        <f>IFERROR(MAX(IF(IF(AND(F401="能力",AL401="能力持续"),(参数!$B$2-1)*参数!$B$3,0)+M401*参数!$B$5+P401*参数!$B$6+R401*参数!$B$7+V401*参数!$B$8+X401*参数!$B$11+AE401*参数!$B$12+AQ401*参数!$B$15+AB401*参数!$B$11+AF401*1+Z401*参数!$B$13-T401*参数!$B$14-AD401*参数!$B$13 &gt; 参数!$B$17,参数!$B$17+SQRT(IF(AND(F401="能力",AL401="能力持续"),(参数!$B$2-1)*参数!$B$3,0)+M401*参数!$B$5+P401*参数!$B$6+R401*参数!$B$7+V401*参数!$B$8+X401*参数!$B$11+AE401*参数!$B$12+AQ401*参数!$B$15+AB401*参数!$B$11+AF401*1+Z401*参数!$B$13-T401*参数!$B$14-AD401*参数!$B$13-参数!$B$17)*参数!$B$18,IF(AND(F401="能力",AL401="能力持续"),(参数!$B$2-1)*参数!$B$3,0)+M401*参数!$B$5+P401*参数!$B$6+R401*参数!$B$7+V401*参数!$B$8+X401*参数!$B$11+AE401*参数!$B$12+AQ401*参数!$B$15+AB401*参数!$B$11+AF401*1+Z401*参数!$B$13-T401*参数!$B$14-AD401*参数!$B$13),0),0)</f>
        <v>19.486832980505138</v>
      </c>
      <c r="AZ401">
        <f>AY401-MAX(AP401,0)*参数!$B$10</f>
        <v>10.486832980505138</v>
      </c>
      <c r="BA401">
        <f t="shared" si="13"/>
        <v>6.495610993501713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1"/>
  <sheetViews>
    <sheetView topLeftCell="A109" zoomScale="85" zoomScaleNormal="85" workbookViewId="0">
      <selection activeCell="D341" sqref="D341"/>
    </sheetView>
  </sheetViews>
  <sheetFormatPr defaultRowHeight="14" x14ac:dyDescent="0.3"/>
  <cols>
    <col min="1" max="1" width="5.08203125" bestFit="1" customWidth="1"/>
    <col min="2" max="2" width="18.25" bestFit="1" customWidth="1"/>
    <col min="3" max="3" width="8.83203125" bestFit="1" customWidth="1"/>
    <col min="4" max="4" width="5.08203125" bestFit="1" customWidth="1"/>
    <col min="5" max="5" width="12.75" bestFit="1" customWidth="1"/>
    <col min="6" max="6" width="31" bestFit="1" customWidth="1"/>
    <col min="7" max="8" width="10.75" bestFit="1" customWidth="1"/>
    <col min="9" max="9" width="27.75" bestFit="1" customWidth="1"/>
    <col min="10" max="10" width="26.9140625" bestFit="1" customWidth="1"/>
    <col min="11" max="11" width="14.75" bestFit="1" customWidth="1"/>
    <col min="12" max="13" width="12.75" bestFit="1" customWidth="1"/>
    <col min="14" max="14" width="14.75" bestFit="1" customWidth="1"/>
    <col min="15" max="16" width="10.75" bestFit="1" customWidth="1"/>
    <col min="17" max="17" width="36.1640625" bestFit="1" customWidth="1"/>
  </cols>
  <sheetData>
    <row r="1" spans="1:17" x14ac:dyDescent="0.3">
      <c r="A1" t="s">
        <v>1719</v>
      </c>
      <c r="B1" t="s">
        <v>56</v>
      </c>
      <c r="C1" t="s">
        <v>58</v>
      </c>
      <c r="D1" t="s">
        <v>60</v>
      </c>
      <c r="E1" t="s">
        <v>1720</v>
      </c>
      <c r="F1" t="s">
        <v>1721</v>
      </c>
      <c r="G1" t="s">
        <v>1722</v>
      </c>
      <c r="H1" t="s">
        <v>1723</v>
      </c>
      <c r="I1" t="s">
        <v>1724</v>
      </c>
      <c r="J1" t="s">
        <v>1725</v>
      </c>
      <c r="K1" t="s">
        <v>1726</v>
      </c>
      <c r="L1" t="s">
        <v>1727</v>
      </c>
      <c r="M1" t="s">
        <v>1728</v>
      </c>
      <c r="N1" t="s">
        <v>1729</v>
      </c>
      <c r="O1" t="s">
        <v>1730</v>
      </c>
      <c r="P1" t="s">
        <v>1731</v>
      </c>
      <c r="Q1" t="s">
        <v>1732</v>
      </c>
    </row>
    <row r="2" spans="1:17" x14ac:dyDescent="0.3">
      <c r="A2">
        <f t="shared" ref="A2:A65" si="0">ROW()-1</f>
        <v>1</v>
      </c>
      <c r="B2" t="str">
        <f>卡牌总表!B2</f>
        <v>ironclad_strike</v>
      </c>
      <c r="C2" t="str">
        <f>卡牌总表!D2</f>
        <v>打击</v>
      </c>
      <c r="D2" t="str">
        <f>卡牌总表!F2</f>
        <v>攻击</v>
      </c>
      <c r="E2">
        <f>卡牌总表!AL2</f>
        <v>0</v>
      </c>
      <c r="F2">
        <f>卡牌总表!AN2</f>
        <v>0</v>
      </c>
      <c r="G2">
        <f>卡牌总表!AP2</f>
        <v>1</v>
      </c>
      <c r="H2">
        <f>IF(ISNUMBER(卡牌总表!H2),IF(AND(卡牌总表!H2=0,卡牌总表!V2=0,卡牌总表!AK2="none"),0.4,IF(卡牌总表!AK2="exhaust",MAX(卡牌总表!H2-卡牌总表!V2,0.4),IF(卡牌总表!AK2="ethereal",MAX(卡牌总表!H2-卡牌总表!V2,0.4),MAX(卡牌总表!H2-卡牌总表!V2,0.4)))),IF(OR(卡牌总表!H2="X",卡牌总表!H2="∞"),0.4,0.4))</f>
        <v>1</v>
      </c>
      <c r="I2">
        <f>卡牌总表!M2*卡牌总表!O2*参数!$B$5*IF(AND(卡牌总表!F2="能力",卡牌总表!AL2="能力持续"),参数!$B$2,1)+卡牌总表!P2*参数!$B$6*IF(AND(卡牌总表!F2="能力",卡牌总表!AL2="能力持续"),参数!$B$2,1)+卡牌总表!R2*参数!$B$7*IF(AND(卡牌总表!F2="能力",卡牌总表!AL2="能力持续"),参数!$B$2,1)+卡牌总表!V2*参数!$B$8+IF(卡牌总表!X2&lt;0,卡牌总表!X2*参数!$B$13,卡牌总表!X2*参数!$B$39)+IF(卡牌总表!AE2&lt;0,卡牌总表!AE2*参数!$B$13,卡牌总表!AE2*参数!$B$12)*参数!$B$2+卡牌总表!AQ2*参数!$B$15+卡牌总表!AB2*参数!$B$11+卡牌总表!AF2*参数!$B$40*参数!$B$2+卡牌总表!AG2*参数!$B$44*参数!$B$2+卡牌总表!AH2*参数!$B$6*参数!$B$2+卡牌总表!AI2*参数!$B$39*参数!$B$2+卡牌总表!AJ2*参数!$B$6*参数!$B$2+卡牌总表!Z2*参数!$B$13-卡牌总表!T2*参数!$B$14-卡牌总表!AD2*参数!$B$13+IF(ISNUMBER(卡牌总表!AU2),卡牌总表!AU2*参数!$B$38,0)-卡牌总表!AV2*参数!$B$41-卡牌总表!AW2*参数!$B$14</f>
        <v>6</v>
      </c>
      <c r="J2">
        <f>IF(AND(卡牌总表!F2="能力",卡牌总表!AL2="能力持续"),(参数!$B$2-1)*参数!$B$3,0)</f>
        <v>0</v>
      </c>
      <c r="K2">
        <f t="shared" ref="K2:K65" si="1">I2+J2</f>
        <v>6</v>
      </c>
      <c r="L2">
        <f>卡牌总表!N2*卡牌总表!O2*参数!$B$5*IF(AND(卡牌总表!F2="能力",卡牌总表!AL2="能力持续"),参数!$B$2,1)+卡牌总表!Q2*参数!$B$6*IF(AND(卡牌总表!F2="能力",卡牌总表!AL2="能力持续"),参数!$B$2,1)+卡牌总表!S2*参数!$B$7*IF(AND(卡牌总表!F2="能力",卡牌总表!AL2="能力持续"),参数!$B$2,1)+卡牌总表!W2*参数!$B$8+IF(卡牌总表!Y2&lt;0,卡牌总表!Y2*参数!$B$13,卡牌总表!Y2*参数!$B$39)+IF(卡牌总表!AE2&lt;0,卡牌总表!AE2*参数!$B$13,卡牌总表!AE2*参数!$B$12)*参数!$B$2+卡牌总表!AR2*参数!$B$15+卡牌总表!AC2*参数!$B$11+卡牌总表!AF2*参数!$B$40*参数!$B$2+卡牌总表!AG2*参数!$B$44*参数!$B$2+卡牌总表!AH2*参数!$B$6*参数!$B$2+卡牌总表!AI2*参数!$B$39*参数!$B$2+卡牌总表!AJ2*参数!$B$6*参数!$B$2+卡牌总表!AA2*参数!$B$13-卡牌总表!U2*参数!$B$14-卡牌总表!AD2*参数!$B$13+IF(ISNUMBER(卡牌总表!AU2),卡牌总表!AU2*参数!$B$38,0)-卡牌总表!AV2*参数!$B$41-卡牌总表!AW2*参数!$B$14</f>
        <v>9</v>
      </c>
      <c r="M2">
        <f>IF(AND(卡牌总表!F2="能力",卡牌总表!AL2="能力持续"),参数!$B$2*参数!$B$3,0)</f>
        <v>0</v>
      </c>
      <c r="N2">
        <f t="shared" ref="N2:N65" si="2">L2+M2</f>
        <v>9</v>
      </c>
      <c r="O2">
        <f>IFERROR(MAX(IF(K2 &gt; 参数!$B$17,参数!$B$17+SQRT(K2-参数!$B$17)*参数!$B$18,K2)-MAX(G2,0)*参数!$B$10,0)/MAX(G2,0.4),0)</f>
        <v>3</v>
      </c>
      <c r="P2">
        <f>IFERROR(MAX(IF(N2 &gt; 参数!$B$17,参数!$B$17+SQRT(N2-参数!$B$17)*参数!$B$18,N2)-MAX(H2,0)*参数!$B$10,0)/MAX(H2,0.4),0)</f>
        <v>6</v>
      </c>
      <c r="Q2" t="str">
        <f>卡牌总表!AO2</f>
        <v>版本基于v0.110.1，部分能力卡不好评估</v>
      </c>
    </row>
    <row r="3" spans="1:17" x14ac:dyDescent="0.3">
      <c r="A3">
        <f t="shared" si="0"/>
        <v>2</v>
      </c>
      <c r="B3" t="str">
        <f>卡牌总表!B3</f>
        <v>ironclad_defend</v>
      </c>
      <c r="C3" t="str">
        <f>卡牌总表!D3</f>
        <v>防御</v>
      </c>
      <c r="D3" t="str">
        <f>卡牌总表!F3</f>
        <v>技能</v>
      </c>
      <c r="E3">
        <f>卡牌总表!AL3</f>
        <v>0</v>
      </c>
      <c r="F3">
        <f>卡牌总表!AN3</f>
        <v>0</v>
      </c>
      <c r="G3">
        <f>卡牌总表!AP3</f>
        <v>1</v>
      </c>
      <c r="H3">
        <f>IF(ISNUMBER(卡牌总表!H3),IF(AND(卡牌总表!H3=0,卡牌总表!V3=0,卡牌总表!AK3="none"),0.4,IF(卡牌总表!AK3="exhaust",MAX(卡牌总表!H3-卡牌总表!V3,0.4),IF(卡牌总表!AK3="ethereal",MAX(卡牌总表!H3-卡牌总表!V3,0.4),MAX(卡牌总表!H3-卡牌总表!V3,0.4)))),IF(OR(卡牌总表!H3="X",卡牌总表!H3="∞"),0.4,0.4))</f>
        <v>1</v>
      </c>
      <c r="I3">
        <f>卡牌总表!M3*卡牌总表!O3*参数!$B$5*IF(AND(卡牌总表!F3="能力",卡牌总表!AL3="能力持续"),参数!$B$2,1)+卡牌总表!P3*参数!$B$6*IF(AND(卡牌总表!F3="能力",卡牌总表!AL3="能力持续"),参数!$B$2,1)+卡牌总表!R3*参数!$B$7*IF(AND(卡牌总表!F3="能力",卡牌总表!AL3="能力持续"),参数!$B$2,1)+卡牌总表!V3*参数!$B$8+IF(卡牌总表!X3&lt;0,卡牌总表!X3*参数!$B$13,卡牌总表!X3*参数!$B$39)+IF(卡牌总表!AE3&lt;0,卡牌总表!AE3*参数!$B$13,卡牌总表!AE3*参数!$B$12)*参数!$B$2+卡牌总表!AQ3*参数!$B$15+卡牌总表!AB3*参数!$B$11+卡牌总表!AF3*参数!$B$40*参数!$B$2+卡牌总表!AG3*参数!$B$44*参数!$B$2+卡牌总表!AH3*参数!$B$6*参数!$B$2+卡牌总表!AI3*参数!$B$39*参数!$B$2+卡牌总表!AJ3*参数!$B$6*参数!$B$2+卡牌总表!Z3*参数!$B$13-卡牌总表!T3*参数!$B$14-卡牌总表!AD3*参数!$B$13+IF(ISNUMBER(卡牌总表!AU3),卡牌总表!AU3*参数!$B$38,0)-卡牌总表!AV3*参数!$B$41-卡牌总表!AW3*参数!$B$14</f>
        <v>5.5</v>
      </c>
      <c r="J3">
        <f>IF(AND(卡牌总表!F3="能力",卡牌总表!AL3="能力持续"),(参数!$B$2-1)*参数!$B$3,0)</f>
        <v>0</v>
      </c>
      <c r="K3">
        <f t="shared" si="1"/>
        <v>5.5</v>
      </c>
      <c r="L3">
        <f>卡牌总表!N3*卡牌总表!O3*参数!$B$5*IF(AND(卡牌总表!F3="能力",卡牌总表!AL3="能力持续"),参数!$B$2,1)+卡牌总表!Q3*参数!$B$6*IF(AND(卡牌总表!F3="能力",卡牌总表!AL3="能力持续"),参数!$B$2,1)+卡牌总表!S3*参数!$B$7*IF(AND(卡牌总表!F3="能力",卡牌总表!AL3="能力持续"),参数!$B$2,1)+卡牌总表!W3*参数!$B$8+IF(卡牌总表!Y3&lt;0,卡牌总表!Y3*参数!$B$13,卡牌总表!Y3*参数!$B$39)+IF(卡牌总表!AE3&lt;0,卡牌总表!AE3*参数!$B$13,卡牌总表!AE3*参数!$B$12)*参数!$B$2+卡牌总表!AR3*参数!$B$15+卡牌总表!AC3*参数!$B$11+卡牌总表!AF3*参数!$B$40*参数!$B$2+卡牌总表!AG3*参数!$B$44*参数!$B$2+卡牌总表!AH3*参数!$B$6*参数!$B$2+卡牌总表!AI3*参数!$B$39*参数!$B$2+卡牌总表!AJ3*参数!$B$6*参数!$B$2+卡牌总表!AA3*参数!$B$13-卡牌总表!U3*参数!$B$14-卡牌总表!AD3*参数!$B$13+IF(ISNUMBER(卡牌总表!AU3),卡牌总表!AU3*参数!$B$38,0)-卡牌总表!AV3*参数!$B$41-卡牌总表!AW3*参数!$B$14</f>
        <v>8.8000000000000007</v>
      </c>
      <c r="M3">
        <f>IF(AND(卡牌总表!F3="能力",卡牌总表!AL3="能力持续"),参数!$B$2*参数!$B$3,0)</f>
        <v>0</v>
      </c>
      <c r="N3">
        <f t="shared" si="2"/>
        <v>8.8000000000000007</v>
      </c>
      <c r="O3">
        <f>IFERROR(MAX(IF(K3 &gt; 参数!$B$17,参数!$B$17+SQRT(K3-参数!$B$17)*参数!$B$18,K3)-MAX(G3,0)*参数!$B$10,0)/MAX(G3,0.4),0)</f>
        <v>2.5</v>
      </c>
      <c r="P3">
        <f>IFERROR(MAX(IF(N3 &gt; 参数!$B$17,参数!$B$17+SQRT(N3-参数!$B$17)*参数!$B$18,N3)-MAX(H3,0)*参数!$B$10,0)/MAX(H3,0.4),0)</f>
        <v>5.8000000000000007</v>
      </c>
      <c r="Q3">
        <f>卡牌总表!AO3</f>
        <v>0</v>
      </c>
    </row>
    <row r="4" spans="1:17" x14ac:dyDescent="0.3">
      <c r="A4">
        <f t="shared" si="0"/>
        <v>3</v>
      </c>
      <c r="B4" t="str">
        <f>卡牌总表!B4</f>
        <v>ironclad_aggression</v>
      </c>
      <c r="C4" t="str">
        <f>卡牌总表!D4</f>
        <v>好勇斗狠</v>
      </c>
      <c r="D4" t="str">
        <f>卡牌总表!F4</f>
        <v>能力</v>
      </c>
      <c r="E4" t="str">
        <f>卡牌总表!AL4</f>
        <v>能力持续</v>
      </c>
      <c r="F4" t="str">
        <f>卡牌总表!AN4</f>
        <v>能力，固有，弃牌回收，临时升级</v>
      </c>
      <c r="G4">
        <f>卡牌总表!AP4</f>
        <v>1</v>
      </c>
      <c r="H4">
        <f>IF(ISNUMBER(卡牌总表!H4),IF(AND(卡牌总表!H4=0,卡牌总表!V4=0,卡牌总表!AK4="none"),0.4,IF(卡牌总表!AK4="exhaust",MAX(卡牌总表!H4-卡牌总表!V4,0.4),IF(卡牌总表!AK4="ethereal",MAX(卡牌总表!H4-卡牌总表!V4,0.4),MAX(卡牌总表!H4-卡牌总表!V4,0.4)))),IF(OR(卡牌总表!H4="X",卡牌总表!H4="∞"),0.4,0.4))</f>
        <v>1</v>
      </c>
      <c r="I4">
        <f>卡牌总表!M4*卡牌总表!O4*参数!$B$5*IF(AND(卡牌总表!F4="能力",卡牌总表!AL4="能力持续"),参数!$B$2,1)+卡牌总表!P4*参数!$B$6*IF(AND(卡牌总表!F4="能力",卡牌总表!AL4="能力持续"),参数!$B$2,1)+卡牌总表!R4*参数!$B$7*IF(AND(卡牌总表!F4="能力",卡牌总表!AL4="能力持续"),参数!$B$2,1)+卡牌总表!V4*参数!$B$8+IF(卡牌总表!X4&lt;0,卡牌总表!X4*参数!$B$13,卡牌总表!X4*参数!$B$39)+IF(卡牌总表!AE4&lt;0,卡牌总表!AE4*参数!$B$13,卡牌总表!AE4*参数!$B$12)*参数!$B$2+卡牌总表!AQ4*参数!$B$15+卡牌总表!AB4*参数!$B$11+卡牌总表!AF4*参数!$B$40*参数!$B$2+卡牌总表!AG4*参数!$B$44*参数!$B$2+卡牌总表!AH4*参数!$B$6*参数!$B$2+卡牌总表!AI4*参数!$B$39*参数!$B$2+卡牌总表!AJ4*参数!$B$6*参数!$B$2+卡牌总表!Z4*参数!$B$13-卡牌总表!T4*参数!$B$14-卡牌总表!AD4*参数!$B$13+IF(ISNUMBER(卡牌总表!AU4),卡牌总表!AU4*参数!$B$38,0)-卡牌总表!AV4*参数!$B$41-卡牌总表!AW4*参数!$B$14</f>
        <v>0</v>
      </c>
      <c r="J4">
        <f>IF(AND(卡牌总表!F4="能力",卡牌总表!AL4="能力持续"),(参数!$B$2-1)*参数!$B$3,0)</f>
        <v>3.5999999999999996</v>
      </c>
      <c r="K4">
        <f t="shared" si="1"/>
        <v>3.5999999999999996</v>
      </c>
      <c r="L4">
        <f>卡牌总表!N4*卡牌总表!O4*参数!$B$5*IF(AND(卡牌总表!F4="能力",卡牌总表!AL4="能力持续"),参数!$B$2,1)+卡牌总表!Q4*参数!$B$6*IF(AND(卡牌总表!F4="能力",卡牌总表!AL4="能力持续"),参数!$B$2,1)+卡牌总表!S4*参数!$B$7*IF(AND(卡牌总表!F4="能力",卡牌总表!AL4="能力持续"),参数!$B$2,1)+卡牌总表!W4*参数!$B$8+IF(卡牌总表!Y4&lt;0,卡牌总表!Y4*参数!$B$13,卡牌总表!Y4*参数!$B$39)+IF(卡牌总表!AE4&lt;0,卡牌总表!AE4*参数!$B$13,卡牌总表!AE4*参数!$B$12)*参数!$B$2+卡牌总表!AR4*参数!$B$15+卡牌总表!AC4*参数!$B$11+卡牌总表!AF4*参数!$B$40*参数!$B$2+卡牌总表!AG4*参数!$B$44*参数!$B$2+卡牌总表!AH4*参数!$B$6*参数!$B$2+卡牌总表!AI4*参数!$B$39*参数!$B$2+卡牌总表!AJ4*参数!$B$6*参数!$B$2+卡牌总表!AA4*参数!$B$13-卡牌总表!U4*参数!$B$14-卡牌总表!AD4*参数!$B$13+IF(ISNUMBER(卡牌总表!AU4),卡牌总表!AU4*参数!$B$38,0)-卡牌总表!AV4*参数!$B$41-卡牌总表!AW4*参数!$B$14</f>
        <v>0</v>
      </c>
      <c r="M4">
        <f>IF(AND(卡牌总表!F4="能力",卡牌总表!AL4="能力持续"),参数!$B$2*参数!$B$3,0)</f>
        <v>4.8</v>
      </c>
      <c r="N4">
        <f t="shared" si="2"/>
        <v>4.8</v>
      </c>
      <c r="O4">
        <f>IFERROR(MAX(IF(K4 &gt; 参数!$B$17,参数!$B$17+SQRT(K4-参数!$B$17)*参数!$B$18,K4)-MAX(G4,0)*参数!$B$10,0)/MAX(G4,0.4),0)</f>
        <v>0.59999999999999964</v>
      </c>
      <c r="P4">
        <f>IFERROR(MAX(IF(N4 &gt; 参数!$B$17,参数!$B$17+SQRT(N4-参数!$B$17)*参数!$B$18,N4)-MAX(H4,0)*参数!$B$10,0)/MAX(H4,0.4),0)</f>
        <v>1.7999999999999998</v>
      </c>
      <c r="Q4" t="str">
        <f>卡牌总表!AO4</f>
        <v>此卡是敲后固有</v>
      </c>
    </row>
    <row r="5" spans="1:17" x14ac:dyDescent="0.3">
      <c r="A5">
        <f t="shared" si="0"/>
        <v>4</v>
      </c>
      <c r="B5" t="str">
        <f>卡牌总表!B5</f>
        <v>ironclad_anger</v>
      </c>
      <c r="C5" t="str">
        <f>卡牌总表!D5</f>
        <v>愤怒</v>
      </c>
      <c r="D5" t="str">
        <f>卡牌总表!F5</f>
        <v>攻击</v>
      </c>
      <c r="E5">
        <f>卡牌总表!AL5</f>
        <v>0</v>
      </c>
      <c r="F5">
        <f>卡牌总表!AN5</f>
        <v>0</v>
      </c>
      <c r="G5">
        <f>卡牌总表!AP5</f>
        <v>0.4</v>
      </c>
      <c r="H5">
        <f>IF(ISNUMBER(卡牌总表!H5),IF(AND(卡牌总表!H5=0,卡牌总表!V5=0,卡牌总表!AK5="none"),0.4,IF(卡牌总表!AK5="exhaust",MAX(卡牌总表!H5-卡牌总表!V5,0.4),IF(卡牌总表!AK5="ethereal",MAX(卡牌总表!H5-卡牌总表!V5,0.4),MAX(卡牌总表!H5-卡牌总表!V5,0.4)))),IF(OR(卡牌总表!H5="X",卡牌总表!H5="∞"),0.4,0.4))</f>
        <v>0.4</v>
      </c>
      <c r="I5">
        <f>卡牌总表!M5*卡牌总表!O5*参数!$B$5*IF(AND(卡牌总表!F5="能力",卡牌总表!AL5="能力持续"),参数!$B$2,1)+卡牌总表!P5*参数!$B$6*IF(AND(卡牌总表!F5="能力",卡牌总表!AL5="能力持续"),参数!$B$2,1)+卡牌总表!R5*参数!$B$7*IF(AND(卡牌总表!F5="能力",卡牌总表!AL5="能力持续"),参数!$B$2,1)+卡牌总表!V5*参数!$B$8+IF(卡牌总表!X5&lt;0,卡牌总表!X5*参数!$B$13,卡牌总表!X5*参数!$B$39)+IF(卡牌总表!AE5&lt;0,卡牌总表!AE5*参数!$B$13,卡牌总表!AE5*参数!$B$12)*参数!$B$2+卡牌总表!AQ5*参数!$B$15+卡牌总表!AB5*参数!$B$11+卡牌总表!AF5*参数!$B$40*参数!$B$2+卡牌总表!AG5*参数!$B$44*参数!$B$2+卡牌总表!AH5*参数!$B$6*参数!$B$2+卡牌总表!AI5*参数!$B$39*参数!$B$2+卡牌总表!AJ5*参数!$B$6*参数!$B$2+卡牌总表!Z5*参数!$B$13-卡牌总表!T5*参数!$B$14-卡牌总表!AD5*参数!$B$13+IF(ISNUMBER(卡牌总表!AU5),卡牌总表!AU5*参数!$B$38,0)-卡牌总表!AV5*参数!$B$41-卡牌总表!AW5*参数!$B$14</f>
        <v>6</v>
      </c>
      <c r="J5">
        <f>IF(AND(卡牌总表!F5="能力",卡牌总表!AL5="能力持续"),(参数!$B$2-1)*参数!$B$3,0)</f>
        <v>0</v>
      </c>
      <c r="K5">
        <f t="shared" si="1"/>
        <v>6</v>
      </c>
      <c r="L5">
        <f>卡牌总表!N5*卡牌总表!O5*参数!$B$5*IF(AND(卡牌总表!F5="能力",卡牌总表!AL5="能力持续"),参数!$B$2,1)+卡牌总表!Q5*参数!$B$6*IF(AND(卡牌总表!F5="能力",卡牌总表!AL5="能力持续"),参数!$B$2,1)+卡牌总表!S5*参数!$B$7*IF(AND(卡牌总表!F5="能力",卡牌总表!AL5="能力持续"),参数!$B$2,1)+卡牌总表!W5*参数!$B$8+IF(卡牌总表!Y5&lt;0,卡牌总表!Y5*参数!$B$13,卡牌总表!Y5*参数!$B$39)+IF(卡牌总表!AE5&lt;0,卡牌总表!AE5*参数!$B$13,卡牌总表!AE5*参数!$B$12)*参数!$B$2+卡牌总表!AR5*参数!$B$15+卡牌总表!AC5*参数!$B$11+卡牌总表!AF5*参数!$B$40*参数!$B$2+卡牌总表!AG5*参数!$B$44*参数!$B$2+卡牌总表!AH5*参数!$B$6*参数!$B$2+卡牌总表!AI5*参数!$B$39*参数!$B$2+卡牌总表!AJ5*参数!$B$6*参数!$B$2+卡牌总表!AA5*参数!$B$13-卡牌总表!U5*参数!$B$14-卡牌总表!AD5*参数!$B$13+IF(ISNUMBER(卡牌总表!AU5),卡牌总表!AU5*参数!$B$38,0)-卡牌总表!AV5*参数!$B$41-卡牌总表!AW5*参数!$B$14</f>
        <v>8</v>
      </c>
      <c r="M5">
        <f>IF(AND(卡牌总表!F5="能力",卡牌总表!AL5="能力持续"),参数!$B$2*参数!$B$3,0)</f>
        <v>0</v>
      </c>
      <c r="N5">
        <f t="shared" si="2"/>
        <v>8</v>
      </c>
      <c r="O5">
        <f>IFERROR(MAX(IF(K5 &gt; 参数!$B$17,参数!$B$17+SQRT(K5-参数!$B$17)*参数!$B$18,K5)-MAX(G5,0)*参数!$B$10,0)/MAX(G5,0.4),0)</f>
        <v>11.999999999999998</v>
      </c>
      <c r="P5">
        <f>IFERROR(MAX(IF(N5 &gt; 参数!$B$17,参数!$B$17+SQRT(N5-参数!$B$17)*参数!$B$18,N5)-MAX(H5,0)*参数!$B$10,0)/MAX(H5,0.4),0)</f>
        <v>17</v>
      </c>
      <c r="Q5">
        <f>卡牌总表!AO5</f>
        <v>0</v>
      </c>
    </row>
    <row r="6" spans="1:17" x14ac:dyDescent="0.3">
      <c r="A6">
        <f t="shared" si="0"/>
        <v>5</v>
      </c>
      <c r="B6" t="str">
        <f>卡牌总表!B6</f>
        <v>ironclad_armaments</v>
      </c>
      <c r="C6" t="str">
        <f>卡牌总表!D6</f>
        <v>武装</v>
      </c>
      <c r="D6" t="str">
        <f>卡牌总表!F6</f>
        <v>技能</v>
      </c>
      <c r="E6">
        <f>卡牌总表!AL6</f>
        <v>0</v>
      </c>
      <c r="F6">
        <f>卡牌总表!AN6</f>
        <v>0</v>
      </c>
      <c r="G6">
        <f>卡牌总表!AP6</f>
        <v>1</v>
      </c>
      <c r="H6">
        <f>IF(ISNUMBER(卡牌总表!H6),IF(AND(卡牌总表!H6=0,卡牌总表!V6=0,卡牌总表!AK6="none"),0.4,IF(卡牌总表!AK6="exhaust",MAX(卡牌总表!H6-卡牌总表!V6,0.4),IF(卡牌总表!AK6="ethereal",MAX(卡牌总表!H6-卡牌总表!V6,0.4),MAX(卡牌总表!H6-卡牌总表!V6,0.4)))),IF(OR(卡牌总表!H6="X",卡牌总表!H6="∞"),0.4,0.4))</f>
        <v>1</v>
      </c>
      <c r="I6">
        <f>卡牌总表!M6*卡牌总表!O6*参数!$B$5*IF(AND(卡牌总表!F6="能力",卡牌总表!AL6="能力持续"),参数!$B$2,1)+卡牌总表!P6*参数!$B$6*IF(AND(卡牌总表!F6="能力",卡牌总表!AL6="能力持续"),参数!$B$2,1)+卡牌总表!R6*参数!$B$7*IF(AND(卡牌总表!F6="能力",卡牌总表!AL6="能力持续"),参数!$B$2,1)+卡牌总表!V6*参数!$B$8+IF(卡牌总表!X6&lt;0,卡牌总表!X6*参数!$B$13,卡牌总表!X6*参数!$B$39)+IF(卡牌总表!AE6&lt;0,卡牌总表!AE6*参数!$B$13,卡牌总表!AE6*参数!$B$12)*参数!$B$2+卡牌总表!AQ6*参数!$B$15+卡牌总表!AB6*参数!$B$11+卡牌总表!AF6*参数!$B$40*参数!$B$2+卡牌总表!AG6*参数!$B$44*参数!$B$2+卡牌总表!AH6*参数!$B$6*参数!$B$2+卡牌总表!AI6*参数!$B$39*参数!$B$2+卡牌总表!AJ6*参数!$B$6*参数!$B$2+卡牌总表!Z6*参数!$B$13-卡牌总表!T6*参数!$B$14-卡牌总表!AD6*参数!$B$13+IF(ISNUMBER(卡牌总表!AU6),卡牌总表!AU6*参数!$B$38,0)-卡牌总表!AV6*参数!$B$41-卡牌总表!AW6*参数!$B$14</f>
        <v>5.5</v>
      </c>
      <c r="J6">
        <f>IF(AND(卡牌总表!F6="能力",卡牌总表!AL6="能力持续"),(参数!$B$2-1)*参数!$B$3,0)</f>
        <v>0</v>
      </c>
      <c r="K6">
        <f t="shared" si="1"/>
        <v>5.5</v>
      </c>
      <c r="L6">
        <f>卡牌总表!N6*卡牌总表!O6*参数!$B$5*IF(AND(卡牌总表!F6="能力",卡牌总表!AL6="能力持续"),参数!$B$2,1)+卡牌总表!Q6*参数!$B$6*IF(AND(卡牌总表!F6="能力",卡牌总表!AL6="能力持续"),参数!$B$2,1)+卡牌总表!S6*参数!$B$7*IF(AND(卡牌总表!F6="能力",卡牌总表!AL6="能力持续"),参数!$B$2,1)+卡牌总表!W6*参数!$B$8+IF(卡牌总表!Y6&lt;0,卡牌总表!Y6*参数!$B$13,卡牌总表!Y6*参数!$B$39)+IF(卡牌总表!AE6&lt;0,卡牌总表!AE6*参数!$B$13,卡牌总表!AE6*参数!$B$12)*参数!$B$2+卡牌总表!AR6*参数!$B$15+卡牌总表!AC6*参数!$B$11+卡牌总表!AF6*参数!$B$40*参数!$B$2+卡牌总表!AG6*参数!$B$44*参数!$B$2+卡牌总表!AH6*参数!$B$6*参数!$B$2+卡牌总表!AI6*参数!$B$39*参数!$B$2+卡牌总表!AJ6*参数!$B$6*参数!$B$2+卡牌总表!AA6*参数!$B$13-卡牌总表!U6*参数!$B$14-卡牌总表!AD6*参数!$B$13+IF(ISNUMBER(卡牌总表!AU6),卡牌总表!AU6*参数!$B$38,0)-卡牌总表!AV6*参数!$B$41-卡牌总表!AW6*参数!$B$14</f>
        <v>5.5</v>
      </c>
      <c r="M6">
        <f>IF(AND(卡牌总表!F6="能力",卡牌总表!AL6="能力持续"),参数!$B$2*参数!$B$3,0)</f>
        <v>0</v>
      </c>
      <c r="N6">
        <f t="shared" si="2"/>
        <v>5.5</v>
      </c>
      <c r="O6">
        <f>IFERROR(MAX(IF(K6 &gt; 参数!$B$17,参数!$B$17+SQRT(K6-参数!$B$17)*参数!$B$18,K6)-MAX(G6,0)*参数!$B$10,0)/MAX(G6,0.4),0)</f>
        <v>2.5</v>
      </c>
      <c r="P6">
        <f>IFERROR(MAX(IF(N6 &gt; 参数!$B$17,参数!$B$17+SQRT(N6-参数!$B$17)*参数!$B$18,N6)-MAX(H6,0)*参数!$B$10,0)/MAX(H6,0.4),0)</f>
        <v>2.5</v>
      </c>
      <c r="Q6">
        <f>卡牌总表!AO6</f>
        <v>0</v>
      </c>
    </row>
    <row r="7" spans="1:17" x14ac:dyDescent="0.3">
      <c r="A7">
        <f t="shared" si="0"/>
        <v>6</v>
      </c>
      <c r="B7" t="str">
        <f>卡牌总表!B7</f>
        <v>ironclad_ashen_strike</v>
      </c>
      <c r="C7" t="str">
        <f>卡牌总表!D7</f>
        <v>灰烬打击</v>
      </c>
      <c r="D7" t="str">
        <f>卡牌总表!F7</f>
        <v>攻击</v>
      </c>
      <c r="E7">
        <f>卡牌总表!AL7</f>
        <v>0</v>
      </c>
      <c r="F7">
        <f>卡牌总表!AN7</f>
        <v>0</v>
      </c>
      <c r="G7">
        <f>卡牌总表!AP7</f>
        <v>1</v>
      </c>
      <c r="H7">
        <f>IF(ISNUMBER(卡牌总表!H7),IF(AND(卡牌总表!H7=0,卡牌总表!V7=0,卡牌总表!AK7="none"),0.4,IF(卡牌总表!AK7="exhaust",MAX(卡牌总表!H7-卡牌总表!V7,0.4),IF(卡牌总表!AK7="ethereal",MAX(卡牌总表!H7-卡牌总表!V7,0.4),MAX(卡牌总表!H7-卡牌总表!V7,0.4)))),IF(OR(卡牌总表!H7="X",卡牌总表!H7="∞"),0.4,0.4))</f>
        <v>1</v>
      </c>
      <c r="I7">
        <f>卡牌总表!M7*卡牌总表!O7*参数!$B$5*IF(AND(卡牌总表!F7="能力",卡牌总表!AL7="能力持续"),参数!$B$2,1)+卡牌总表!P7*参数!$B$6*IF(AND(卡牌总表!F7="能力",卡牌总表!AL7="能力持续"),参数!$B$2,1)+卡牌总表!R7*参数!$B$7*IF(AND(卡牌总表!F7="能力",卡牌总表!AL7="能力持续"),参数!$B$2,1)+卡牌总表!V7*参数!$B$8+IF(卡牌总表!X7&lt;0,卡牌总表!X7*参数!$B$13,卡牌总表!X7*参数!$B$39)+IF(卡牌总表!AE7&lt;0,卡牌总表!AE7*参数!$B$13,卡牌总表!AE7*参数!$B$12)*参数!$B$2+卡牌总表!AQ7*参数!$B$15+卡牌总表!AB7*参数!$B$11+卡牌总表!AF7*参数!$B$40*参数!$B$2+卡牌总表!AG7*参数!$B$44*参数!$B$2+卡牌总表!AH7*参数!$B$6*参数!$B$2+卡牌总表!AI7*参数!$B$39*参数!$B$2+卡牌总表!AJ7*参数!$B$6*参数!$B$2+卡牌总表!Z7*参数!$B$13-卡牌总表!T7*参数!$B$14-卡牌总表!AD7*参数!$B$13+IF(ISNUMBER(卡牌总表!AU7),卡牌总表!AU7*参数!$B$38,0)-卡牌总表!AV7*参数!$B$41-卡牌总表!AW7*参数!$B$14</f>
        <v>24</v>
      </c>
      <c r="J7">
        <f>IF(AND(卡牌总表!F7="能力",卡牌总表!AL7="能力持续"),(参数!$B$2-1)*参数!$B$3,0)</f>
        <v>0</v>
      </c>
      <c r="K7">
        <f t="shared" si="1"/>
        <v>24</v>
      </c>
      <c r="L7">
        <f>卡牌总表!N7*卡牌总表!O7*参数!$B$5*IF(AND(卡牌总表!F7="能力",卡牌总表!AL7="能力持续"),参数!$B$2,1)+卡牌总表!Q7*参数!$B$6*IF(AND(卡牌总表!F7="能力",卡牌总表!AL7="能力持续"),参数!$B$2,1)+卡牌总表!S7*参数!$B$7*IF(AND(卡牌总表!F7="能力",卡牌总表!AL7="能力持续"),参数!$B$2,1)+卡牌总表!W7*参数!$B$8+IF(卡牌总表!Y7&lt;0,卡牌总表!Y7*参数!$B$13,卡牌总表!Y7*参数!$B$39)+IF(卡牌总表!AE7&lt;0,卡牌总表!AE7*参数!$B$13,卡牌总表!AE7*参数!$B$12)*参数!$B$2+卡牌总表!AR7*参数!$B$15+卡牌总表!AC7*参数!$B$11+卡牌总表!AF7*参数!$B$40*参数!$B$2+卡牌总表!AG7*参数!$B$44*参数!$B$2+卡牌总表!AH7*参数!$B$6*参数!$B$2+卡牌总表!AI7*参数!$B$39*参数!$B$2+卡牌总表!AJ7*参数!$B$6*参数!$B$2+卡牌总表!AA7*参数!$B$13-卡牌总表!U7*参数!$B$14-卡牌总表!AD7*参数!$B$13+IF(ISNUMBER(卡牌总表!AU7),卡牌总表!AU7*参数!$B$38,0)-卡牌总表!AV7*参数!$B$41-卡牌总表!AW7*参数!$B$14</f>
        <v>6</v>
      </c>
      <c r="M7">
        <f>IF(AND(卡牌总表!F7="能力",卡牌总表!AL7="能力持续"),参数!$B$2*参数!$B$3,0)</f>
        <v>0</v>
      </c>
      <c r="N7">
        <f t="shared" si="2"/>
        <v>6</v>
      </c>
      <c r="O7">
        <f>IFERROR(MAX(IF(K7 &gt; 参数!$B$17,参数!$B$17+SQRT(K7-参数!$B$17)*参数!$B$18,K7)-MAX(G7,0)*参数!$B$10,0)/MAX(G7,0.4),0)</f>
        <v>12.612486080160913</v>
      </c>
      <c r="P7">
        <f>IFERROR(MAX(IF(N7 &gt; 参数!$B$17,参数!$B$17+SQRT(N7-参数!$B$17)*参数!$B$18,N7)-MAX(H7,0)*参数!$B$10,0)/MAX(H7,0.4),0)</f>
        <v>3</v>
      </c>
      <c r="Q7" t="str">
        <f>卡牌总表!AO7</f>
        <v>加伤效果视为打击多次升级</v>
      </c>
    </row>
    <row r="8" spans="1:17" x14ac:dyDescent="0.3">
      <c r="A8">
        <f t="shared" si="0"/>
        <v>7</v>
      </c>
      <c r="B8" t="str">
        <f>卡牌总表!B8</f>
        <v>ironclad_barricade</v>
      </c>
      <c r="C8" t="str">
        <f>卡牌总表!D8</f>
        <v>壁垒</v>
      </c>
      <c r="D8" t="str">
        <f>卡牌总表!F8</f>
        <v>能力</v>
      </c>
      <c r="E8" t="str">
        <f>卡牌总表!AL8</f>
        <v>能力持续</v>
      </c>
      <c r="F8">
        <f>卡牌总表!AN8</f>
        <v>0</v>
      </c>
      <c r="G8">
        <f>卡牌总表!AP8</f>
        <v>3</v>
      </c>
      <c r="H8">
        <f>IF(ISNUMBER(卡牌总表!H8),IF(AND(卡牌总表!H8=0,卡牌总表!V8=0,卡牌总表!AK8="none"),0.4,IF(卡牌总表!AK8="exhaust",MAX(卡牌总表!H8-卡牌总表!V8,0.4),IF(卡牌总表!AK8="ethereal",MAX(卡牌总表!H8-卡牌总表!V8,0.4),MAX(卡牌总表!H8-卡牌总表!V8,0.4)))),IF(OR(卡牌总表!H8="X",卡牌总表!H8="∞"),0.4,0.4))</f>
        <v>3</v>
      </c>
      <c r="I8">
        <f>卡牌总表!M8*卡牌总表!O8*参数!$B$5*IF(AND(卡牌总表!F8="能力",卡牌总表!AL8="能力持续"),参数!$B$2,1)+卡牌总表!P8*参数!$B$6*IF(AND(卡牌总表!F8="能力",卡牌总表!AL8="能力持续"),参数!$B$2,1)+卡牌总表!R8*参数!$B$7*IF(AND(卡牌总表!F8="能力",卡牌总表!AL8="能力持续"),参数!$B$2,1)+卡牌总表!V8*参数!$B$8+IF(卡牌总表!X8&lt;0,卡牌总表!X8*参数!$B$13,卡牌总表!X8*参数!$B$39)+IF(卡牌总表!AE8&lt;0,卡牌总表!AE8*参数!$B$13,卡牌总表!AE8*参数!$B$12)*参数!$B$2+卡牌总表!AQ8*参数!$B$15+卡牌总表!AB8*参数!$B$11+卡牌总表!AF8*参数!$B$40*参数!$B$2+卡牌总表!AG8*参数!$B$44*参数!$B$2+卡牌总表!AH8*参数!$B$6*参数!$B$2+卡牌总表!AI8*参数!$B$39*参数!$B$2+卡牌总表!AJ8*参数!$B$6*参数!$B$2+卡牌总表!Z8*参数!$B$13-卡牌总表!T8*参数!$B$14-卡牌总表!AD8*参数!$B$13+IF(ISNUMBER(卡牌总表!AU8),卡牌总表!AU8*参数!$B$38,0)-卡牌总表!AV8*参数!$B$41-卡牌总表!AW8*参数!$B$14</f>
        <v>0</v>
      </c>
      <c r="J8">
        <f>IF(AND(卡牌总表!F8="能力",卡牌总表!AL8="能力持续"),(参数!$B$2-1)*参数!$B$3,0)</f>
        <v>3.5999999999999996</v>
      </c>
      <c r="K8">
        <f t="shared" si="1"/>
        <v>3.5999999999999996</v>
      </c>
      <c r="L8">
        <f>卡牌总表!N8*卡牌总表!O8*参数!$B$5*IF(AND(卡牌总表!F8="能力",卡牌总表!AL8="能力持续"),参数!$B$2,1)+卡牌总表!Q8*参数!$B$6*IF(AND(卡牌总表!F8="能力",卡牌总表!AL8="能力持续"),参数!$B$2,1)+卡牌总表!S8*参数!$B$7*IF(AND(卡牌总表!F8="能力",卡牌总表!AL8="能力持续"),参数!$B$2,1)+卡牌总表!W8*参数!$B$8+IF(卡牌总表!Y8&lt;0,卡牌总表!Y8*参数!$B$13,卡牌总表!Y8*参数!$B$39)+IF(卡牌总表!AE8&lt;0,卡牌总表!AE8*参数!$B$13,卡牌总表!AE8*参数!$B$12)*参数!$B$2+卡牌总表!AR8*参数!$B$15+卡牌总表!AC8*参数!$B$11+卡牌总表!AF8*参数!$B$40*参数!$B$2+卡牌总表!AG8*参数!$B$44*参数!$B$2+卡牌总表!AH8*参数!$B$6*参数!$B$2+卡牌总表!AI8*参数!$B$39*参数!$B$2+卡牌总表!AJ8*参数!$B$6*参数!$B$2+卡牌总表!AA8*参数!$B$13-卡牌总表!U8*参数!$B$14-卡牌总表!AD8*参数!$B$13+IF(ISNUMBER(卡牌总表!AU8),卡牌总表!AU8*参数!$B$38,0)-卡牌总表!AV8*参数!$B$41-卡牌总表!AW8*参数!$B$14</f>
        <v>0</v>
      </c>
      <c r="M8">
        <f>IF(AND(卡牌总表!F8="能力",卡牌总表!AL8="能力持续"),参数!$B$2*参数!$B$3,0)</f>
        <v>4.8</v>
      </c>
      <c r="N8">
        <f t="shared" si="2"/>
        <v>4.8</v>
      </c>
      <c r="O8">
        <f>IFERROR(MAX(IF(K8 &gt; 参数!$B$17,参数!$B$17+SQRT(K8-参数!$B$17)*参数!$B$18,K8)-MAX(G8,0)*参数!$B$10,0)/MAX(G8,0.4),0)</f>
        <v>0</v>
      </c>
      <c r="P8">
        <f>IFERROR(MAX(IF(N8 &gt; 参数!$B$17,参数!$B$17+SQRT(N8-参数!$B$17)*参数!$B$18,N8)-MAX(H8,0)*参数!$B$10,0)/MAX(H8,0.4),0)</f>
        <v>0</v>
      </c>
      <c r="Q8" t="str">
        <f>卡牌总表!AO8</f>
        <v>保留格挡视为防御多次升级乘以能力系数</v>
      </c>
    </row>
    <row r="9" spans="1:17" x14ac:dyDescent="0.3">
      <c r="A9">
        <f t="shared" si="0"/>
        <v>8</v>
      </c>
      <c r="B9" t="str">
        <f>卡牌总表!B9</f>
        <v>ironclad_bash</v>
      </c>
      <c r="C9" t="str">
        <f>卡牌总表!D9</f>
        <v>痛击</v>
      </c>
      <c r="D9" t="str">
        <f>卡牌总表!F9</f>
        <v>攻击</v>
      </c>
      <c r="E9">
        <f>卡牌总表!AL9</f>
        <v>0</v>
      </c>
      <c r="F9">
        <f>卡牌总表!AN9</f>
        <v>0</v>
      </c>
      <c r="G9">
        <f>卡牌总表!AP9</f>
        <v>2</v>
      </c>
      <c r="H9">
        <f>IF(ISNUMBER(卡牌总表!H9),IF(AND(卡牌总表!H9=0,卡牌总表!V9=0,卡牌总表!AK9="none"),0.4,IF(卡牌总表!AK9="exhaust",MAX(卡牌总表!H9-卡牌总表!V9,0.4),IF(卡牌总表!AK9="ethereal",MAX(卡牌总表!H9-卡牌总表!V9,0.4),MAX(卡牌总表!H9-卡牌总表!V9,0.4)))),IF(OR(卡牌总表!H9="X",卡牌总表!H9="∞"),0.4,0.4))</f>
        <v>2</v>
      </c>
      <c r="I9">
        <f>卡牌总表!M9*卡牌总表!O9*参数!$B$5*IF(AND(卡牌总表!F9="能力",卡牌总表!AL9="能力持续"),参数!$B$2,1)+卡牌总表!P9*参数!$B$6*IF(AND(卡牌总表!F9="能力",卡牌总表!AL9="能力持续"),参数!$B$2,1)+卡牌总表!R9*参数!$B$7*IF(AND(卡牌总表!F9="能力",卡牌总表!AL9="能力持续"),参数!$B$2,1)+卡牌总表!V9*参数!$B$8+IF(卡牌总表!X9&lt;0,卡牌总表!X9*参数!$B$13,卡牌总表!X9*参数!$B$39)+IF(卡牌总表!AE9&lt;0,卡牌总表!AE9*参数!$B$13,卡牌总表!AE9*参数!$B$12)*参数!$B$2+卡牌总表!AQ9*参数!$B$15+卡牌总表!AB9*参数!$B$11+卡牌总表!AF9*参数!$B$40*参数!$B$2+卡牌总表!AG9*参数!$B$44*参数!$B$2+卡牌总表!AH9*参数!$B$6*参数!$B$2+卡牌总表!AI9*参数!$B$39*参数!$B$2+卡牌总表!AJ9*参数!$B$6*参数!$B$2+卡牌总表!Z9*参数!$B$13-卡牌总表!T9*参数!$B$14-卡牌总表!AD9*参数!$B$13+IF(ISNUMBER(卡牌总表!AU9),卡牌总表!AU9*参数!$B$38,0)-卡牌总表!AV9*参数!$B$41-卡牌总表!AW9*参数!$B$14</f>
        <v>4.5999999999999996</v>
      </c>
      <c r="J9">
        <f>IF(AND(卡牌总表!F9="能力",卡牌总表!AL9="能力持续"),(参数!$B$2-1)*参数!$B$3,0)</f>
        <v>0</v>
      </c>
      <c r="K9">
        <f t="shared" si="1"/>
        <v>4.5999999999999996</v>
      </c>
      <c r="L9">
        <f>卡牌总表!N9*卡牌总表!O9*参数!$B$5*IF(AND(卡牌总表!F9="能力",卡牌总表!AL9="能力持续"),参数!$B$2,1)+卡牌总表!Q9*参数!$B$6*IF(AND(卡牌总表!F9="能力",卡牌总表!AL9="能力持续"),参数!$B$2,1)+卡牌总表!S9*参数!$B$7*IF(AND(卡牌总表!F9="能力",卡牌总表!AL9="能力持续"),参数!$B$2,1)+卡牌总表!W9*参数!$B$8+IF(卡牌总表!Y9&lt;0,卡牌总表!Y9*参数!$B$13,卡牌总表!Y9*参数!$B$39)+IF(卡牌总表!AE9&lt;0,卡牌总表!AE9*参数!$B$13,卡牌总表!AE9*参数!$B$12)*参数!$B$2+卡牌总表!AR9*参数!$B$15+卡牌总表!AC9*参数!$B$11+卡牌总表!AF9*参数!$B$40*参数!$B$2+卡牌总表!AG9*参数!$B$44*参数!$B$2+卡牌总表!AH9*参数!$B$6*参数!$B$2+卡牌总表!AI9*参数!$B$39*参数!$B$2+卡牌总表!AJ9*参数!$B$6*参数!$B$2+卡牌总表!AA9*参数!$B$13-卡牌总表!U9*参数!$B$14-卡牌总表!AD9*参数!$B$13+IF(ISNUMBER(卡牌总表!AU9),卡牌总表!AU9*参数!$B$38,0)-卡牌总表!AV9*参数!$B$41-卡牌总表!AW9*参数!$B$14</f>
        <v>10.899999999999999</v>
      </c>
      <c r="M9">
        <f>IF(AND(卡牌总表!F9="能力",卡牌总表!AL9="能力持续"),参数!$B$2*参数!$B$3,0)</f>
        <v>0</v>
      </c>
      <c r="N9">
        <f t="shared" si="2"/>
        <v>10.899999999999999</v>
      </c>
      <c r="O9">
        <f>IFERROR(MAX(IF(K9 &gt; 参数!$B$17,参数!$B$17+SQRT(K9-参数!$B$17)*参数!$B$18,K9)-MAX(G9,0)*参数!$B$10,0)/MAX(G9,0.4),0)</f>
        <v>0</v>
      </c>
      <c r="P9">
        <f>IFERROR(MAX(IF(N9 &gt; 参数!$B$17,参数!$B$17+SQRT(N9-参数!$B$17)*参数!$B$18,N9)-MAX(H9,0)*参数!$B$10,0)/MAX(H9,0.4),0)</f>
        <v>2.7115124735378853</v>
      </c>
      <c r="Q9">
        <f>卡牌总表!AO9</f>
        <v>0</v>
      </c>
    </row>
    <row r="10" spans="1:17" x14ac:dyDescent="0.3">
      <c r="A10">
        <f t="shared" si="0"/>
        <v>9</v>
      </c>
      <c r="B10" t="str">
        <f>卡牌总表!B10</f>
        <v>ironclad_battle_trance</v>
      </c>
      <c r="C10" t="str">
        <f>卡牌总表!D10</f>
        <v>战斗专注</v>
      </c>
      <c r="D10" t="str">
        <f>卡牌总表!F10</f>
        <v>技能</v>
      </c>
      <c r="E10">
        <f>卡牌总表!AL10</f>
        <v>0</v>
      </c>
      <c r="F10" t="str">
        <f>卡牌总表!AN10</f>
        <v>本回合</v>
      </c>
      <c r="G10">
        <f>卡牌总表!AP10</f>
        <v>0.4</v>
      </c>
      <c r="H10">
        <f>IF(ISNUMBER(卡牌总表!H10),IF(AND(卡牌总表!H10=0,卡牌总表!V10=0,卡牌总表!AK10="none"),0.4,IF(卡牌总表!AK10="exhaust",MAX(卡牌总表!H10-卡牌总表!V10,0.4),IF(卡牌总表!AK10="ethereal",MAX(卡牌总表!H10-卡牌总表!V10,0.4),MAX(卡牌总表!H10-卡牌总表!V10,0.4)))),IF(OR(卡牌总表!H10="X",卡牌总表!H10="∞"),0.4,0.4))</f>
        <v>0.4</v>
      </c>
      <c r="I10">
        <f>卡牌总表!M10*卡牌总表!O10*参数!$B$5*IF(AND(卡牌总表!F10="能力",卡牌总表!AL10="能力持续"),参数!$B$2,1)+卡牌总表!P10*参数!$B$6*IF(AND(卡牌总表!F10="能力",卡牌总表!AL10="能力持续"),参数!$B$2,1)+卡牌总表!R10*参数!$B$7*IF(AND(卡牌总表!F10="能力",卡牌总表!AL10="能力持续"),参数!$B$2,1)+卡牌总表!V10*参数!$B$8+IF(卡牌总表!X10&lt;0,卡牌总表!X10*参数!$B$13,卡牌总表!X10*参数!$B$39)+IF(卡牌总表!AE10&lt;0,卡牌总表!AE10*参数!$B$13,卡牌总表!AE10*参数!$B$12)*参数!$B$2+卡牌总表!AQ10*参数!$B$15+卡牌总表!AB10*参数!$B$11+卡牌总表!AF10*参数!$B$40*参数!$B$2+卡牌总表!AG10*参数!$B$44*参数!$B$2+卡牌总表!AH10*参数!$B$6*参数!$B$2+卡牌总表!AI10*参数!$B$39*参数!$B$2+卡牌总表!AJ10*参数!$B$6*参数!$B$2+卡牌总表!Z10*参数!$B$13-卡牌总表!T10*参数!$B$14-卡牌总表!AD10*参数!$B$13+IF(ISNUMBER(卡牌总表!AU10),卡牌总表!AU10*参数!$B$38,0)-卡牌总表!AV10*参数!$B$41-卡牌总表!AW10*参数!$B$14</f>
        <v>2.0999999999999996</v>
      </c>
      <c r="J10">
        <f>IF(AND(卡牌总表!F10="能力",卡牌总表!AL10="能力持续"),(参数!$B$2-1)*参数!$B$3,0)</f>
        <v>0</v>
      </c>
      <c r="K10">
        <f t="shared" si="1"/>
        <v>2.0999999999999996</v>
      </c>
      <c r="L10">
        <f>卡牌总表!N10*卡牌总表!O10*参数!$B$5*IF(AND(卡牌总表!F10="能力",卡牌总表!AL10="能力持续"),参数!$B$2,1)+卡牌总表!Q10*参数!$B$6*IF(AND(卡牌总表!F10="能力",卡牌总表!AL10="能力持续"),参数!$B$2,1)+卡牌总表!S10*参数!$B$7*IF(AND(卡牌总表!F10="能力",卡牌总表!AL10="能力持续"),参数!$B$2,1)+卡牌总表!W10*参数!$B$8+IF(卡牌总表!Y10&lt;0,卡牌总表!Y10*参数!$B$13,卡牌总表!Y10*参数!$B$39)+IF(卡牌总表!AE10&lt;0,卡牌总表!AE10*参数!$B$13,卡牌总表!AE10*参数!$B$12)*参数!$B$2+卡牌总表!AR10*参数!$B$15+卡牌总表!AC10*参数!$B$11+卡牌总表!AF10*参数!$B$40*参数!$B$2+卡牌总表!AG10*参数!$B$44*参数!$B$2+卡牌总表!AH10*参数!$B$6*参数!$B$2+卡牌总表!AI10*参数!$B$39*参数!$B$2+卡牌总表!AJ10*参数!$B$6*参数!$B$2+卡牌总表!AA10*参数!$B$13-卡牌总表!U10*参数!$B$14-卡牌总表!AD10*参数!$B$13+IF(ISNUMBER(卡牌总表!AU10),卡牌总表!AU10*参数!$B$38,0)-卡牌总表!AV10*参数!$B$41-卡牌总表!AW10*参数!$B$14</f>
        <v>2.8</v>
      </c>
      <c r="M10">
        <f>IF(AND(卡牌总表!F10="能力",卡牌总表!AL10="能力持续"),参数!$B$2*参数!$B$3,0)</f>
        <v>0</v>
      </c>
      <c r="N10">
        <f t="shared" si="2"/>
        <v>2.8</v>
      </c>
      <c r="O10">
        <f>IFERROR(MAX(IF(K10 &gt; 参数!$B$17,参数!$B$17+SQRT(K10-参数!$B$17)*参数!$B$18,K10)-MAX(G10,0)*参数!$B$10,0)/MAX(G10,0.4),0)</f>
        <v>2.2499999999999987</v>
      </c>
      <c r="P10">
        <f>IFERROR(MAX(IF(N10 &gt; 参数!$B$17,参数!$B$17+SQRT(N10-参数!$B$17)*参数!$B$18,N10)-MAX(H10,0)*参数!$B$10,0)/MAX(H10,0.4),0)</f>
        <v>3.9999999999999991</v>
      </c>
      <c r="Q10">
        <f>卡牌总表!AO10</f>
        <v>0</v>
      </c>
    </row>
    <row r="11" spans="1:17" x14ac:dyDescent="0.3">
      <c r="A11">
        <f t="shared" si="0"/>
        <v>10</v>
      </c>
      <c r="B11" t="str">
        <f>卡牌总表!B11</f>
        <v>ironclad_blood_wall</v>
      </c>
      <c r="C11" t="str">
        <f>卡牌总表!D11</f>
        <v>血墙</v>
      </c>
      <c r="D11" t="str">
        <f>卡牌总表!F11</f>
        <v>技能</v>
      </c>
      <c r="E11">
        <f>卡牌总表!AL11</f>
        <v>0</v>
      </c>
      <c r="F11">
        <f>卡牌总表!AN11</f>
        <v>0</v>
      </c>
      <c r="G11">
        <f>卡牌总表!AP11</f>
        <v>2</v>
      </c>
      <c r="H11">
        <f>IF(ISNUMBER(卡牌总表!H11),IF(AND(卡牌总表!H11=0,卡牌总表!V11=0,卡牌总表!AK11="none"),0.4,IF(卡牌总表!AK11="exhaust",MAX(卡牌总表!H11-卡牌总表!V11,0.4),IF(卡牌总表!AK11="ethereal",MAX(卡牌总表!H11-卡牌总表!V11,0.4),MAX(卡牌总表!H11-卡牌总表!V11,0.4)))),IF(OR(卡牌总表!H11="X",卡牌总表!H11="∞"),0.4,0.4))</f>
        <v>2</v>
      </c>
      <c r="I11">
        <f>卡牌总表!M11*卡牌总表!O11*参数!$B$5*IF(AND(卡牌总表!F11="能力",卡牌总表!AL11="能力持续"),参数!$B$2,1)+卡牌总表!P11*参数!$B$6*IF(AND(卡牌总表!F11="能力",卡牌总表!AL11="能力持续"),参数!$B$2,1)+卡牌总表!R11*参数!$B$7*IF(AND(卡牌总表!F11="能力",卡牌总表!AL11="能力持续"),参数!$B$2,1)+卡牌总表!V11*参数!$B$8+IF(卡牌总表!X11&lt;0,卡牌总表!X11*参数!$B$13,卡牌总表!X11*参数!$B$39)+IF(卡牌总表!AE11&lt;0,卡牌总表!AE11*参数!$B$13,卡牌总表!AE11*参数!$B$12)*参数!$B$2+卡牌总表!AQ11*参数!$B$15+卡牌总表!AB11*参数!$B$11+卡牌总表!AF11*参数!$B$40*参数!$B$2+卡牌总表!AG11*参数!$B$44*参数!$B$2+卡牌总表!AH11*参数!$B$6*参数!$B$2+卡牌总表!AI11*参数!$B$39*参数!$B$2+卡牌总表!AJ11*参数!$B$6*参数!$B$2+卡牌总表!Z11*参数!$B$13-卡牌总表!T11*参数!$B$14-卡牌总表!AD11*参数!$B$13+IF(ISNUMBER(卡牌总表!AU11),卡牌总表!AU11*参数!$B$38,0)-卡牌总表!AV11*参数!$B$41-卡牌总表!AW11*参数!$B$14</f>
        <v>17.600000000000001</v>
      </c>
      <c r="J11">
        <f>IF(AND(卡牌总表!F11="能力",卡牌总表!AL11="能力持续"),(参数!$B$2-1)*参数!$B$3,0)</f>
        <v>0</v>
      </c>
      <c r="K11">
        <f t="shared" si="1"/>
        <v>17.600000000000001</v>
      </c>
      <c r="L11">
        <f>卡牌总表!N11*卡牌总表!O11*参数!$B$5*IF(AND(卡牌总表!F11="能力",卡牌总表!AL11="能力持续"),参数!$B$2,1)+卡牌总表!Q11*参数!$B$6*IF(AND(卡牌总表!F11="能力",卡牌总表!AL11="能力持续"),参数!$B$2,1)+卡牌总表!S11*参数!$B$7*IF(AND(卡牌总表!F11="能力",卡牌总表!AL11="能力持续"),参数!$B$2,1)+卡牌总表!W11*参数!$B$8+IF(卡牌总表!Y11&lt;0,卡牌总表!Y11*参数!$B$13,卡牌总表!Y11*参数!$B$39)+IF(卡牌总表!AE11&lt;0,卡牌总表!AE11*参数!$B$13,卡牌总表!AE11*参数!$B$12)*参数!$B$2+卡牌总表!AR11*参数!$B$15+卡牌总表!AC11*参数!$B$11+卡牌总表!AF11*参数!$B$40*参数!$B$2+卡牌总表!AG11*参数!$B$44*参数!$B$2+卡牌总表!AH11*参数!$B$6*参数!$B$2+卡牌总表!AI11*参数!$B$39*参数!$B$2+卡牌总表!AJ11*参数!$B$6*参数!$B$2+卡牌总表!AA11*参数!$B$13-卡牌总表!U11*参数!$B$14-卡牌总表!AD11*参数!$B$13+IF(ISNUMBER(卡牌总表!AU11),卡牌总表!AU11*参数!$B$38,0)-卡牌总表!AV11*参数!$B$41-卡牌总表!AW11*参数!$B$14</f>
        <v>20.900000000000002</v>
      </c>
      <c r="M11">
        <f>IF(AND(卡牌总表!F11="能力",卡牌总表!AL11="能力持续"),参数!$B$2*参数!$B$3,0)</f>
        <v>0</v>
      </c>
      <c r="N11">
        <f t="shared" si="2"/>
        <v>20.900000000000002</v>
      </c>
      <c r="O11">
        <f>IFERROR(MAX(IF(K11 &gt; 参数!$B$17,参数!$B$17+SQRT(K11-参数!$B$17)*参数!$B$18,K11)-MAX(G11,0)*参数!$B$10,0)/MAX(G11,0.4),0)</f>
        <v>4.0676073128135339</v>
      </c>
      <c r="P11">
        <f>IFERROR(MAX(IF(N11 &gt; 参数!$B$17,参数!$B$17+SQRT(N11-参数!$B$17)*参数!$B$18,N11)-MAX(H11,0)*参数!$B$10,0)/MAX(H11,0.4),0)</f>
        <v>4.4761361028828768</v>
      </c>
      <c r="Q11">
        <f>卡牌总表!AO11</f>
        <v>0</v>
      </c>
    </row>
    <row r="12" spans="1:17" x14ac:dyDescent="0.3">
      <c r="A12">
        <f t="shared" si="0"/>
        <v>11</v>
      </c>
      <c r="B12" t="str">
        <f>卡牌总表!B12</f>
        <v>ironclad_bloodletting</v>
      </c>
      <c r="C12" t="str">
        <f>卡牌总表!D12</f>
        <v>放血</v>
      </c>
      <c r="D12" t="str">
        <f>卡牌总表!F12</f>
        <v>技能</v>
      </c>
      <c r="E12">
        <f>卡牌总表!AL12</f>
        <v>0</v>
      </c>
      <c r="F12">
        <f>卡牌总表!AN12</f>
        <v>0</v>
      </c>
      <c r="G12">
        <f>卡牌总表!AP12</f>
        <v>0.4</v>
      </c>
      <c r="H12">
        <f>IF(ISNUMBER(卡牌总表!H12),IF(AND(卡牌总表!H12=0,卡牌总表!V12=0,卡牌总表!AK12="none"),0.4,IF(卡牌总表!AK12="exhaust",MAX(卡牌总表!H12-卡牌总表!V12,0.4),IF(卡牌总表!AK12="ethereal",MAX(卡牌总表!H12-卡牌总表!V12,0.4),MAX(卡牌总表!H12-卡牌总表!V12,0.4)))),IF(OR(卡牌总表!H12="X",卡牌总表!H12="∞"),0.4,0.4))</f>
        <v>0.4</v>
      </c>
      <c r="I12">
        <f>卡牌总表!M12*卡牌总表!O12*参数!$B$5*IF(AND(卡牌总表!F12="能力",卡牌总表!AL12="能力持续"),参数!$B$2,1)+卡牌总表!P12*参数!$B$6*IF(AND(卡牌总表!F12="能力",卡牌总表!AL12="能力持续"),参数!$B$2,1)+卡牌总表!R12*参数!$B$7*IF(AND(卡牌总表!F12="能力",卡牌总表!AL12="能力持续"),参数!$B$2,1)+卡牌总表!V12*参数!$B$8+IF(卡牌总表!X12&lt;0,卡牌总表!X12*参数!$B$13,卡牌总表!X12*参数!$B$39)+IF(卡牌总表!AE12&lt;0,卡牌总表!AE12*参数!$B$13,卡牌总表!AE12*参数!$B$12)*参数!$B$2+卡牌总表!AQ12*参数!$B$15+卡牌总表!AB12*参数!$B$11+卡牌总表!AF12*参数!$B$40*参数!$B$2+卡牌总表!AG12*参数!$B$44*参数!$B$2+卡牌总表!AH12*参数!$B$6*参数!$B$2+卡牌总表!AI12*参数!$B$39*参数!$B$2+卡牌总表!AJ12*参数!$B$6*参数!$B$2+卡牌总表!Z12*参数!$B$13-卡牌总表!T12*参数!$B$14-卡牌总表!AD12*参数!$B$13+IF(ISNUMBER(卡牌总表!AU12),卡牌总表!AU12*参数!$B$38,0)-卡牌总表!AV12*参数!$B$41-卡牌总表!AW12*参数!$B$14</f>
        <v>-3</v>
      </c>
      <c r="J12">
        <f>IF(AND(卡牌总表!F12="能力",卡牌总表!AL12="能力持续"),(参数!$B$2-1)*参数!$B$3,0)</f>
        <v>0</v>
      </c>
      <c r="K12">
        <f t="shared" si="1"/>
        <v>-3</v>
      </c>
      <c r="L12">
        <f>卡牌总表!N12*卡牌总表!O12*参数!$B$5*IF(AND(卡牌总表!F12="能力",卡牌总表!AL12="能力持续"),参数!$B$2,1)+卡牌总表!Q12*参数!$B$6*IF(AND(卡牌总表!F12="能力",卡牌总表!AL12="能力持续"),参数!$B$2,1)+卡牌总表!S12*参数!$B$7*IF(AND(卡牌总表!F12="能力",卡牌总表!AL12="能力持续"),参数!$B$2,1)+卡牌总表!W12*参数!$B$8+IF(卡牌总表!Y12&lt;0,卡牌总表!Y12*参数!$B$13,卡牌总表!Y12*参数!$B$39)+IF(卡牌总表!AE12&lt;0,卡牌总表!AE12*参数!$B$13,卡牌总表!AE12*参数!$B$12)*参数!$B$2+卡牌总表!AR12*参数!$B$15+卡牌总表!AC12*参数!$B$11+卡牌总表!AF12*参数!$B$40*参数!$B$2+卡牌总表!AG12*参数!$B$44*参数!$B$2+卡牌总表!AH12*参数!$B$6*参数!$B$2+卡牌总表!AI12*参数!$B$39*参数!$B$2+卡牌总表!AJ12*参数!$B$6*参数!$B$2+卡牌总表!AA12*参数!$B$13-卡牌总表!U12*参数!$B$14-卡牌总表!AD12*参数!$B$13+IF(ISNUMBER(卡牌总表!AU12),卡牌总表!AU12*参数!$B$38,0)-卡牌总表!AV12*参数!$B$41-卡牌总表!AW12*参数!$B$14</f>
        <v>-3</v>
      </c>
      <c r="M12">
        <f>IF(AND(卡牌总表!F12="能力",卡牌总表!AL12="能力持续"),参数!$B$2*参数!$B$3,0)</f>
        <v>0</v>
      </c>
      <c r="N12">
        <f t="shared" si="2"/>
        <v>-3</v>
      </c>
      <c r="O12">
        <f>IFERROR(MAX(IF(K12 &gt; 参数!$B$17,参数!$B$17+SQRT(K12-参数!$B$17)*参数!$B$18,K12)-MAX(G12,0)*参数!$B$10,0)/MAX(G12,0.4),0)</f>
        <v>0</v>
      </c>
      <c r="P12">
        <f>IFERROR(MAX(IF(N12 &gt; 参数!$B$17,参数!$B$17+SQRT(N12-参数!$B$17)*参数!$B$18,N12)-MAX(H12,0)*参数!$B$10,0)/MAX(H12,0.4),0)</f>
        <v>0</v>
      </c>
      <c r="Q12">
        <f>卡牌总表!AO12</f>
        <v>0</v>
      </c>
    </row>
    <row r="13" spans="1:17" x14ac:dyDescent="0.3">
      <c r="A13">
        <f t="shared" si="0"/>
        <v>12</v>
      </c>
      <c r="B13" t="str">
        <f>卡牌总表!B13</f>
        <v>ironclad_bludgeon</v>
      </c>
      <c r="C13" t="str">
        <f>卡牌总表!D13</f>
        <v>重锤</v>
      </c>
      <c r="D13" t="str">
        <f>卡牌总表!F13</f>
        <v>攻击</v>
      </c>
      <c r="E13">
        <f>卡牌总表!AL13</f>
        <v>0</v>
      </c>
      <c r="F13">
        <f>卡牌总表!AN13</f>
        <v>0</v>
      </c>
      <c r="G13">
        <f>卡牌总表!AP13</f>
        <v>3</v>
      </c>
      <c r="H13">
        <f>IF(ISNUMBER(卡牌总表!H13),IF(AND(卡牌总表!H13=0,卡牌总表!V13=0,卡牌总表!AK13="none"),0.4,IF(卡牌总表!AK13="exhaust",MAX(卡牌总表!H13-卡牌总表!V13,0.4),IF(卡牌总表!AK13="ethereal",MAX(卡牌总表!H13-卡牌总表!V13,0.4),MAX(卡牌总表!H13-卡牌总表!V13,0.4)))),IF(OR(卡牌总表!H13="X",卡牌总表!H13="∞"),0.4,0.4))</f>
        <v>3</v>
      </c>
      <c r="I13">
        <f>卡牌总表!M13*卡牌总表!O13*参数!$B$5*IF(AND(卡牌总表!F13="能力",卡牌总表!AL13="能力持续"),参数!$B$2,1)+卡牌总表!P13*参数!$B$6*IF(AND(卡牌总表!F13="能力",卡牌总表!AL13="能力持续"),参数!$B$2,1)+卡牌总表!R13*参数!$B$7*IF(AND(卡牌总表!F13="能力",卡牌总表!AL13="能力持续"),参数!$B$2,1)+卡牌总表!V13*参数!$B$8+IF(卡牌总表!X13&lt;0,卡牌总表!X13*参数!$B$13,卡牌总表!X13*参数!$B$39)+IF(卡牌总表!AE13&lt;0,卡牌总表!AE13*参数!$B$13,卡牌总表!AE13*参数!$B$12)*参数!$B$2+卡牌总表!AQ13*参数!$B$15+卡牌总表!AB13*参数!$B$11+卡牌总表!AF13*参数!$B$40*参数!$B$2+卡牌总表!AG13*参数!$B$44*参数!$B$2+卡牌总表!AH13*参数!$B$6*参数!$B$2+卡牌总表!AI13*参数!$B$39*参数!$B$2+卡牌总表!AJ13*参数!$B$6*参数!$B$2+卡牌总表!Z13*参数!$B$13-卡牌总表!T13*参数!$B$14-卡牌总表!AD13*参数!$B$13+IF(ISNUMBER(卡牌总表!AU13),卡牌总表!AU13*参数!$B$38,0)-卡牌总表!AV13*参数!$B$41-卡牌总表!AW13*参数!$B$14</f>
        <v>32</v>
      </c>
      <c r="J13">
        <f>IF(AND(卡牌总表!F13="能力",卡牌总表!AL13="能力持续"),(参数!$B$2-1)*参数!$B$3,0)</f>
        <v>0</v>
      </c>
      <c r="K13">
        <f t="shared" si="1"/>
        <v>32</v>
      </c>
      <c r="L13">
        <f>卡牌总表!N13*卡牌总表!O13*参数!$B$5*IF(AND(卡牌总表!F13="能力",卡牌总表!AL13="能力持续"),参数!$B$2,1)+卡牌总表!Q13*参数!$B$6*IF(AND(卡牌总表!F13="能力",卡牌总表!AL13="能力持续"),参数!$B$2,1)+卡牌总表!S13*参数!$B$7*IF(AND(卡牌总表!F13="能力",卡牌总表!AL13="能力持续"),参数!$B$2,1)+卡牌总表!W13*参数!$B$8+IF(卡牌总表!Y13&lt;0,卡牌总表!Y13*参数!$B$13,卡牌总表!Y13*参数!$B$39)+IF(卡牌总表!AE13&lt;0,卡牌总表!AE13*参数!$B$13,卡牌总表!AE13*参数!$B$12)*参数!$B$2+卡牌总表!AR13*参数!$B$15+卡牌总表!AC13*参数!$B$11+卡牌总表!AF13*参数!$B$40*参数!$B$2+卡牌总表!AG13*参数!$B$44*参数!$B$2+卡牌总表!AH13*参数!$B$6*参数!$B$2+卡牌总表!AI13*参数!$B$39*参数!$B$2+卡牌总表!AJ13*参数!$B$6*参数!$B$2+卡牌总表!AA13*参数!$B$13-卡牌总表!U13*参数!$B$14-卡牌总表!AD13*参数!$B$13+IF(ISNUMBER(卡牌总表!AU13),卡牌总表!AU13*参数!$B$38,0)-卡牌总表!AV13*参数!$B$41-卡牌总表!AW13*参数!$B$14</f>
        <v>42</v>
      </c>
      <c r="M13">
        <f>IF(AND(卡牌总表!F13="能力",卡牌总表!AL13="能力持续"),参数!$B$2*参数!$B$3,0)</f>
        <v>0</v>
      </c>
      <c r="N13">
        <f t="shared" si="2"/>
        <v>42</v>
      </c>
      <c r="O13">
        <f>IFERROR(MAX(IF(K13 &gt; 参数!$B$17,参数!$B$17+SQRT(K13-参数!$B$17)*参数!$B$18,K13)-MAX(G13,0)*参数!$B$10,0)/MAX(G13,0.4),0)</f>
        <v>2.6785412132450475</v>
      </c>
      <c r="P13">
        <f>IFERROR(MAX(IF(N13 &gt; 参数!$B$17,参数!$B$17+SQRT(N13-参数!$B$17)*参数!$B$18,N13)-MAX(H13,0)*参数!$B$10,0)/MAX(H13,0.4),0)</f>
        <v>3.1617604580795238</v>
      </c>
      <c r="Q13">
        <f>卡牌总表!AO13</f>
        <v>0</v>
      </c>
    </row>
    <row r="14" spans="1:17" x14ac:dyDescent="0.3">
      <c r="A14">
        <f t="shared" si="0"/>
        <v>13</v>
      </c>
      <c r="B14" t="str">
        <f>卡牌总表!B14</f>
        <v>ironclad_body_slam</v>
      </c>
      <c r="C14" t="str">
        <f>卡牌总表!D14</f>
        <v>全身撞击</v>
      </c>
      <c r="D14" t="str">
        <f>卡牌总表!F14</f>
        <v>攻击</v>
      </c>
      <c r="E14">
        <f>卡牌总表!AL14</f>
        <v>0</v>
      </c>
      <c r="F14">
        <f>卡牌总表!AN14</f>
        <v>0</v>
      </c>
      <c r="G14">
        <f>卡牌总表!AP14</f>
        <v>1</v>
      </c>
      <c r="H14">
        <f>IF(ISNUMBER(卡牌总表!H14),IF(AND(卡牌总表!H14=0,卡牌总表!V14=0,卡牌总表!AK14="none"),0.4,IF(卡牌总表!AK14="exhaust",MAX(卡牌总表!H14-卡牌总表!V14,0.4),IF(卡牌总表!AK14="ethereal",MAX(卡牌总表!H14-卡牌总表!V14,0.4),MAX(卡牌总表!H14-卡牌总表!V14,0.4)))),IF(OR(卡牌总表!H14="X",卡牌总表!H14="∞"),0.4,0.4))</f>
        <v>1</v>
      </c>
      <c r="I14">
        <f>卡牌总表!M14*卡牌总表!O14*参数!$B$5*IF(AND(卡牌总表!F14="能力",卡牌总表!AL14="能力持续"),参数!$B$2,1)+卡牌总表!P14*参数!$B$6*IF(AND(卡牌总表!F14="能力",卡牌总表!AL14="能力持续"),参数!$B$2,1)+卡牌总表!R14*参数!$B$7*IF(AND(卡牌总表!F14="能力",卡牌总表!AL14="能力持续"),参数!$B$2,1)+卡牌总表!V14*参数!$B$8+IF(卡牌总表!X14&lt;0,卡牌总表!X14*参数!$B$13,卡牌总表!X14*参数!$B$39)+IF(卡牌总表!AE14&lt;0,卡牌总表!AE14*参数!$B$13,卡牌总表!AE14*参数!$B$12)*参数!$B$2+卡牌总表!AQ14*参数!$B$15+卡牌总表!AB14*参数!$B$11+卡牌总表!AF14*参数!$B$40*参数!$B$2+卡牌总表!AG14*参数!$B$44*参数!$B$2+卡牌总表!AH14*参数!$B$6*参数!$B$2+卡牌总表!AI14*参数!$B$39*参数!$B$2+卡牌总表!AJ14*参数!$B$6*参数!$B$2+卡牌总表!Z14*参数!$B$13-卡牌总表!T14*参数!$B$14-卡牌总表!AD14*参数!$B$13+IF(ISNUMBER(卡牌总表!AU14),卡牌总表!AU14*参数!$B$38,0)-卡牌总表!AV14*参数!$B$41-卡牌总表!AW14*参数!$B$14</f>
        <v>10</v>
      </c>
      <c r="J14">
        <f>IF(AND(卡牌总表!F14="能力",卡牌总表!AL14="能力持续"),(参数!$B$2-1)*参数!$B$3,0)</f>
        <v>0</v>
      </c>
      <c r="K14">
        <f t="shared" si="1"/>
        <v>10</v>
      </c>
      <c r="L14">
        <f>卡牌总表!N14*卡牌总表!O14*参数!$B$5*IF(AND(卡牌总表!F14="能力",卡牌总表!AL14="能力持续"),参数!$B$2,1)+卡牌总表!Q14*参数!$B$6*IF(AND(卡牌总表!F14="能力",卡牌总表!AL14="能力持续"),参数!$B$2,1)+卡牌总表!S14*参数!$B$7*IF(AND(卡牌总表!F14="能力",卡牌总表!AL14="能力持续"),参数!$B$2,1)+卡牌总表!W14*参数!$B$8+IF(卡牌总表!Y14&lt;0,卡牌总表!Y14*参数!$B$13,卡牌总表!Y14*参数!$B$39)+IF(卡牌总表!AE14&lt;0,卡牌总表!AE14*参数!$B$13,卡牌总表!AE14*参数!$B$12)*参数!$B$2+卡牌总表!AR14*参数!$B$15+卡牌总表!AC14*参数!$B$11+卡牌总表!AF14*参数!$B$40*参数!$B$2+卡牌总表!AG14*参数!$B$44*参数!$B$2+卡牌总表!AH14*参数!$B$6*参数!$B$2+卡牌总表!AI14*参数!$B$39*参数!$B$2+卡牌总表!AJ14*参数!$B$6*参数!$B$2+卡牌总表!AA14*参数!$B$13-卡牌总表!U14*参数!$B$14-卡牌总表!AD14*参数!$B$13+IF(ISNUMBER(卡牌总表!AU14),卡牌总表!AU14*参数!$B$38,0)-卡牌总表!AV14*参数!$B$41-卡牌总表!AW14*参数!$B$14</f>
        <v>0</v>
      </c>
      <c r="M14">
        <f>IF(AND(卡牌总表!F14="能力",卡牌总表!AL14="能力持续"),参数!$B$2*参数!$B$3,0)</f>
        <v>0</v>
      </c>
      <c r="N14">
        <f t="shared" si="2"/>
        <v>0</v>
      </c>
      <c r="O14">
        <f>IFERROR(MAX(IF(K14 &gt; 参数!$B$17,参数!$B$17+SQRT(K14-参数!$B$17)*参数!$B$18,K14)-MAX(G14,0)*参数!$B$10,0)/MAX(G14,0.4),0)</f>
        <v>7</v>
      </c>
      <c r="P14">
        <f>IFERROR(MAX(IF(N14 &gt; 参数!$B$17,参数!$B$17+SQRT(N14-参数!$B$17)*参数!$B$18,N14)-MAX(H14,0)*参数!$B$10,0)/MAX(H14,0.4),0)</f>
        <v>0</v>
      </c>
      <c r="Q14">
        <f>卡牌总表!AO14</f>
        <v>0</v>
      </c>
    </row>
    <row r="15" spans="1:17" x14ac:dyDescent="0.3">
      <c r="A15">
        <f t="shared" si="0"/>
        <v>14</v>
      </c>
      <c r="B15" t="str">
        <f>卡牌总表!B15</f>
        <v>ironclad_brand</v>
      </c>
      <c r="C15" t="str">
        <f>卡牌总表!D15</f>
        <v>烙印</v>
      </c>
      <c r="D15" t="str">
        <f>卡牌总表!F15</f>
        <v>技能</v>
      </c>
      <c r="E15">
        <f>卡牌总表!AL15</f>
        <v>0</v>
      </c>
      <c r="F15">
        <f>卡牌总表!AN15</f>
        <v>0</v>
      </c>
      <c r="G15">
        <f>卡牌总表!AP15</f>
        <v>0.4</v>
      </c>
      <c r="H15">
        <f>IF(ISNUMBER(卡牌总表!H15),IF(AND(卡牌总表!H15=0,卡牌总表!V15=0,卡牌总表!AK15="none"),0.4,IF(卡牌总表!AK15="exhaust",MAX(卡牌总表!H15-卡牌总表!V15,0.4),IF(卡牌总表!AK15="ethereal",MAX(卡牌总表!H15-卡牌总表!V15,0.4),MAX(卡牌总表!H15-卡牌总表!V15,0.4)))),IF(OR(卡牌总表!H15="X",卡牌总表!H15="∞"),0.4,0.4))</f>
        <v>0.4</v>
      </c>
      <c r="I15">
        <f>卡牌总表!M15*卡牌总表!O15*参数!$B$5*IF(AND(卡牌总表!F15="能力",卡牌总表!AL15="能力持续"),参数!$B$2,1)+卡牌总表!P15*参数!$B$6*IF(AND(卡牌总表!F15="能力",卡牌总表!AL15="能力持续"),参数!$B$2,1)+卡牌总表!R15*参数!$B$7*IF(AND(卡牌总表!F15="能力",卡牌总表!AL15="能力持续"),参数!$B$2,1)+卡牌总表!V15*参数!$B$8+IF(卡牌总表!X15&lt;0,卡牌总表!X15*参数!$B$13,卡牌总表!X15*参数!$B$39)+IF(卡牌总表!AE15&lt;0,卡牌总表!AE15*参数!$B$13,卡牌总表!AE15*参数!$B$12)*参数!$B$2+卡牌总表!AQ15*参数!$B$15+卡牌总表!AB15*参数!$B$11+卡牌总表!AF15*参数!$B$40*参数!$B$2+卡牌总表!AG15*参数!$B$44*参数!$B$2+卡牌总表!AH15*参数!$B$6*参数!$B$2+卡牌总表!AI15*参数!$B$39*参数!$B$2+卡牌总表!AJ15*参数!$B$6*参数!$B$2+卡牌总表!Z15*参数!$B$13-卡牌总表!T15*参数!$B$14-卡牌总表!AD15*参数!$B$13+IF(ISNUMBER(卡牌总表!AU15),卡牌总表!AU15*参数!$B$38,0)-卡牌总表!AV15*参数!$B$41-卡牌总表!AW15*参数!$B$14</f>
        <v>3.3</v>
      </c>
      <c r="J15">
        <f>IF(AND(卡牌总表!F15="能力",卡牌总表!AL15="能力持续"),(参数!$B$2-1)*参数!$B$3,0)</f>
        <v>0</v>
      </c>
      <c r="K15">
        <f t="shared" si="1"/>
        <v>3.3</v>
      </c>
      <c r="L15">
        <f>卡牌总表!N15*卡牌总表!O15*参数!$B$5*IF(AND(卡牌总表!F15="能力",卡牌总表!AL15="能力持续"),参数!$B$2,1)+卡牌总表!Q15*参数!$B$6*IF(AND(卡牌总表!F15="能力",卡牌总表!AL15="能力持续"),参数!$B$2,1)+卡牌总表!S15*参数!$B$7*IF(AND(卡牌总表!F15="能力",卡牌总表!AL15="能力持续"),参数!$B$2,1)+卡牌总表!W15*参数!$B$8+IF(卡牌总表!Y15&lt;0,卡牌总表!Y15*参数!$B$13,卡牌总表!Y15*参数!$B$39)+IF(卡牌总表!AE15&lt;0,卡牌总表!AE15*参数!$B$13,卡牌总表!AE15*参数!$B$12)*参数!$B$2+卡牌总表!AR15*参数!$B$15+卡牌总表!AC15*参数!$B$11+卡牌总表!AF15*参数!$B$40*参数!$B$2+卡牌总表!AG15*参数!$B$44*参数!$B$2+卡牌总表!AH15*参数!$B$6*参数!$B$2+卡牌总表!AI15*参数!$B$39*参数!$B$2+卡牌总表!AJ15*参数!$B$6*参数!$B$2+卡牌总表!AA15*参数!$B$13-卡牌总表!U15*参数!$B$14-卡牌总表!AD15*参数!$B$13+IF(ISNUMBER(卡牌总表!AU15),卡牌总表!AU15*参数!$B$38,0)-卡牌总表!AV15*参数!$B$41-卡牌总表!AW15*参数!$B$14</f>
        <v>3.3</v>
      </c>
      <c r="M15">
        <f>IF(AND(卡牌总表!F15="能力",卡牌总表!AL15="能力持续"),参数!$B$2*参数!$B$3,0)</f>
        <v>0</v>
      </c>
      <c r="N15">
        <f t="shared" si="2"/>
        <v>3.3</v>
      </c>
      <c r="O15">
        <f>IFERROR(MAX(IF(K15 &gt; 参数!$B$17,参数!$B$17+SQRT(K15-参数!$B$17)*参数!$B$18,K15)-MAX(G15,0)*参数!$B$10,0)/MAX(G15,0.4),0)</f>
        <v>5.2499999999999991</v>
      </c>
      <c r="P15">
        <f>IFERROR(MAX(IF(N15 &gt; 参数!$B$17,参数!$B$17+SQRT(N15-参数!$B$17)*参数!$B$18,N15)-MAX(H15,0)*参数!$B$10,0)/MAX(H15,0.4),0)</f>
        <v>5.2499999999999991</v>
      </c>
      <c r="Q15" t="str">
        <f>卡牌总表!AO15</f>
        <v>含消耗其他牌效果</v>
      </c>
    </row>
    <row r="16" spans="1:17" x14ac:dyDescent="0.3">
      <c r="A16">
        <f t="shared" si="0"/>
        <v>15</v>
      </c>
      <c r="B16" t="str">
        <f>卡牌总表!B16</f>
        <v>ironclad_break</v>
      </c>
      <c r="C16" t="str">
        <f>卡牌总表!D16</f>
        <v>破击</v>
      </c>
      <c r="D16" t="str">
        <f>卡牌总表!F16</f>
        <v>攻击</v>
      </c>
      <c r="E16">
        <f>卡牌总表!AL16</f>
        <v>0</v>
      </c>
      <c r="F16">
        <f>卡牌总表!AN16</f>
        <v>0</v>
      </c>
      <c r="G16">
        <f>卡牌总表!AP16</f>
        <v>2</v>
      </c>
      <c r="H16">
        <f>IF(ISNUMBER(卡牌总表!H16),IF(AND(卡牌总表!H16=0,卡牌总表!V16=0,卡牌总表!AK16="none"),0.4,IF(卡牌总表!AK16="exhaust",MAX(卡牌总表!H16-卡牌总表!V16,0.4),IF(卡牌总表!AK16="ethereal",MAX(卡牌总表!H16-卡牌总表!V16,0.4),MAX(卡牌总表!H16-卡牌总表!V16,0.4)))),IF(OR(卡牌总表!H16="X",卡牌总表!H16="∞"),0.4,0.4))</f>
        <v>2</v>
      </c>
      <c r="I16">
        <f>卡牌总表!M16*卡牌总表!O16*参数!$B$5*IF(AND(卡牌总表!F16="能力",卡牌总表!AL16="能力持续"),参数!$B$2,1)+卡牌总表!P16*参数!$B$6*IF(AND(卡牌总表!F16="能力",卡牌总表!AL16="能力持续"),参数!$B$2,1)+卡牌总表!R16*参数!$B$7*IF(AND(卡牌总表!F16="能力",卡牌总表!AL16="能力持续"),参数!$B$2,1)+卡牌总表!V16*参数!$B$8+IF(卡牌总表!X16&lt;0,卡牌总表!X16*参数!$B$13,卡牌总表!X16*参数!$B$39)+IF(卡牌总表!AE16&lt;0,卡牌总表!AE16*参数!$B$13,卡牌总表!AE16*参数!$B$12)*参数!$B$2+卡牌总表!AQ16*参数!$B$15+卡牌总表!AB16*参数!$B$11+卡牌总表!AF16*参数!$B$40*参数!$B$2+卡牌总表!AG16*参数!$B$44*参数!$B$2+卡牌总表!AH16*参数!$B$6*参数!$B$2+卡牌总表!AI16*参数!$B$39*参数!$B$2+卡牌总表!AJ16*参数!$B$6*参数!$B$2+卡牌总表!Z16*参数!$B$13-卡牌总表!T16*参数!$B$14-卡牌总表!AD16*参数!$B$13+IF(ISNUMBER(卡牌总表!AU16),卡牌总表!AU16*参数!$B$38,0)-卡牌总表!AV16*参数!$B$41-卡牌总表!AW16*参数!$B$14</f>
        <v>26.5</v>
      </c>
      <c r="J16">
        <f>IF(AND(卡牌总表!F16="能力",卡牌总表!AL16="能力持续"),(参数!$B$2-1)*参数!$B$3,0)</f>
        <v>0</v>
      </c>
      <c r="K16">
        <f t="shared" si="1"/>
        <v>26.5</v>
      </c>
      <c r="L16">
        <f>卡牌总表!N16*卡牌总表!O16*参数!$B$5*IF(AND(卡牌总表!F16="能力",卡牌总表!AL16="能力持续"),参数!$B$2,1)+卡牌总表!Q16*参数!$B$6*IF(AND(卡牌总表!F16="能力",卡牌总表!AL16="能力持续"),参数!$B$2,1)+卡牌总表!S16*参数!$B$7*IF(AND(卡牌总表!F16="能力",卡牌总表!AL16="能力持续"),参数!$B$2,1)+卡牌总表!W16*参数!$B$8+IF(卡牌总表!Y16&lt;0,卡牌总表!Y16*参数!$B$13,卡牌总表!Y16*参数!$B$39)+IF(卡牌总表!AE16&lt;0,卡牌总表!AE16*参数!$B$13,卡牌总表!AE16*参数!$B$12)*参数!$B$2+卡牌总表!AR16*参数!$B$15+卡牌总表!AC16*参数!$B$11+卡牌总表!AF16*参数!$B$40*参数!$B$2+卡牌总表!AG16*参数!$B$44*参数!$B$2+卡牌总表!AH16*参数!$B$6*参数!$B$2+卡牌总表!AI16*参数!$B$39*参数!$B$2+卡牌总表!AJ16*参数!$B$6*参数!$B$2+卡牌总表!AA16*参数!$B$13-卡牌总表!U16*参数!$B$14-卡牌总表!AD16*参数!$B$13+IF(ISNUMBER(卡牌总表!AU16),卡牌总表!AU16*参数!$B$38,0)-卡牌总表!AV16*参数!$B$41-卡牌总表!AW16*参数!$B$14</f>
        <v>39.299999999999997</v>
      </c>
      <c r="M16">
        <f>IF(AND(卡牌总表!F16="能力",卡牌总表!AL16="能力持续"),参数!$B$2*参数!$B$3,0)</f>
        <v>0</v>
      </c>
      <c r="N16">
        <f t="shared" si="2"/>
        <v>39.299999999999997</v>
      </c>
      <c r="O16">
        <f>IFERROR(MAX(IF(K16 &gt; 参数!$B$17,参数!$B$17+SQRT(K16-参数!$B$17)*参数!$B$18,K16)-MAX(G16,0)*参数!$B$10,0)/MAX(G16,0.4),0)</f>
        <v>5.0465144017384844</v>
      </c>
      <c r="P16">
        <f>IFERROR(MAX(IF(N16 &gt; 参数!$B$17,参数!$B$17+SQRT(N16-参数!$B$17)*参数!$B$18,N16)-MAX(H16,0)*参数!$B$10,0)/MAX(H16,0.4),0)</f>
        <v>6.059710580817308</v>
      </c>
      <c r="Q16">
        <f>卡牌总表!AO16</f>
        <v>0</v>
      </c>
    </row>
    <row r="17" spans="1:17" x14ac:dyDescent="0.3">
      <c r="A17">
        <f t="shared" si="0"/>
        <v>16</v>
      </c>
      <c r="B17" t="str">
        <f>卡牌总表!B17</f>
        <v>ironclad_breakthrough</v>
      </c>
      <c r="C17" t="str">
        <f>卡牌总表!D17</f>
        <v>突破</v>
      </c>
      <c r="D17" t="str">
        <f>卡牌总表!F17</f>
        <v>攻击</v>
      </c>
      <c r="E17">
        <f>卡牌总表!AL17</f>
        <v>0</v>
      </c>
      <c r="F17" t="str">
        <f>卡牌总表!AN17</f>
        <v>群体攻击</v>
      </c>
      <c r="G17">
        <f>卡牌总表!AP17</f>
        <v>1</v>
      </c>
      <c r="H17">
        <f>IF(ISNUMBER(卡牌总表!H17),IF(AND(卡牌总表!H17=0,卡牌总表!V17=0,卡牌总表!AK17="none"),0.4,IF(卡牌总表!AK17="exhaust",MAX(卡牌总表!H17-卡牌总表!V17,0.4),IF(卡牌总表!AK17="ethereal",MAX(卡牌总表!H17-卡牌总表!V17,0.4),MAX(卡牌总表!H17-卡牌总表!V17,0.4)))),IF(OR(卡牌总表!H17="X",卡牌总表!H17="∞"),0.4,0.4))</f>
        <v>1</v>
      </c>
      <c r="I17">
        <f>卡牌总表!M17*卡牌总表!O17*参数!$B$5*IF(AND(卡牌总表!F17="能力",卡牌总表!AL17="能力持续"),参数!$B$2,1)+卡牌总表!P17*参数!$B$6*IF(AND(卡牌总表!F17="能力",卡牌总表!AL17="能力持续"),参数!$B$2,1)+卡牌总表!R17*参数!$B$7*IF(AND(卡牌总表!F17="能力",卡牌总表!AL17="能力持续"),参数!$B$2,1)+卡牌总表!V17*参数!$B$8+IF(卡牌总表!X17&lt;0,卡牌总表!X17*参数!$B$13,卡牌总表!X17*参数!$B$39)+IF(卡牌总表!AE17&lt;0,卡牌总表!AE17*参数!$B$13,卡牌总表!AE17*参数!$B$12)*参数!$B$2+卡牌总表!AQ17*参数!$B$15+卡牌总表!AB17*参数!$B$11+卡牌总表!AF17*参数!$B$40*参数!$B$2+卡牌总表!AG17*参数!$B$44*参数!$B$2+卡牌总表!AH17*参数!$B$6*参数!$B$2+卡牌总表!AI17*参数!$B$39*参数!$B$2+卡牌总表!AJ17*参数!$B$6*参数!$B$2+卡牌总表!Z17*参数!$B$13-卡牌总表!T17*参数!$B$14-卡牌总表!AD17*参数!$B$13+IF(ISNUMBER(卡牌总表!AU17),卡牌总表!AU17*参数!$B$38,0)-卡牌总表!AV17*参数!$B$41-卡牌总表!AW17*参数!$B$14</f>
        <v>9</v>
      </c>
      <c r="J17">
        <f>IF(AND(卡牌总表!F17="能力",卡牌总表!AL17="能力持续"),(参数!$B$2-1)*参数!$B$3,0)</f>
        <v>0</v>
      </c>
      <c r="K17">
        <f t="shared" si="1"/>
        <v>9</v>
      </c>
      <c r="L17">
        <f>卡牌总表!N17*卡牌总表!O17*参数!$B$5*IF(AND(卡牌总表!F17="能力",卡牌总表!AL17="能力持续"),参数!$B$2,1)+卡牌总表!Q17*参数!$B$6*IF(AND(卡牌总表!F17="能力",卡牌总表!AL17="能力持续"),参数!$B$2,1)+卡牌总表!S17*参数!$B$7*IF(AND(卡牌总表!F17="能力",卡牌总表!AL17="能力持续"),参数!$B$2,1)+卡牌总表!W17*参数!$B$8+IF(卡牌总表!Y17&lt;0,卡牌总表!Y17*参数!$B$13,卡牌总表!Y17*参数!$B$39)+IF(卡牌总表!AE17&lt;0,卡牌总表!AE17*参数!$B$13,卡牌总表!AE17*参数!$B$12)*参数!$B$2+卡牌总表!AR17*参数!$B$15+卡牌总表!AC17*参数!$B$11+卡牌总表!AF17*参数!$B$40*参数!$B$2+卡牌总表!AG17*参数!$B$44*参数!$B$2+卡牌总表!AH17*参数!$B$6*参数!$B$2+卡牌总表!AI17*参数!$B$39*参数!$B$2+卡牌总表!AJ17*参数!$B$6*参数!$B$2+卡牌总表!AA17*参数!$B$13-卡牌总表!U17*参数!$B$14-卡牌总表!AD17*参数!$B$13+IF(ISNUMBER(卡牌总表!AU17),卡牌总表!AU17*参数!$B$38,0)-卡牌总表!AV17*参数!$B$41-卡牌总表!AW17*参数!$B$14</f>
        <v>13</v>
      </c>
      <c r="M17">
        <f>IF(AND(卡牌总表!F17="能力",卡牌总表!AL17="能力持续"),参数!$B$2*参数!$B$3,0)</f>
        <v>0</v>
      </c>
      <c r="N17">
        <f t="shared" si="2"/>
        <v>13</v>
      </c>
      <c r="O17">
        <f>IFERROR(MAX(IF(K17 &gt; 参数!$B$17,参数!$B$17+SQRT(K17-参数!$B$17)*参数!$B$18,K17)-MAX(G17,0)*参数!$B$10,0)/MAX(G17,0.4),0)</f>
        <v>6</v>
      </c>
      <c r="P17">
        <f>IFERROR(MAX(IF(N17 &gt; 参数!$B$17,参数!$B$17+SQRT(N17-参数!$B$17)*参数!$B$18,N17)-MAX(H17,0)*参数!$B$10,0)/MAX(H17,0.4),0)</f>
        <v>9.598076211353316</v>
      </c>
      <c r="Q17">
        <f>卡牌总表!AO17</f>
        <v>0</v>
      </c>
    </row>
    <row r="18" spans="1:17" x14ac:dyDescent="0.3">
      <c r="A18">
        <f t="shared" si="0"/>
        <v>17</v>
      </c>
      <c r="B18" t="str">
        <f>卡牌总表!B18</f>
        <v>ironclad_bully</v>
      </c>
      <c r="C18" t="str">
        <f>卡牌总表!D18</f>
        <v>欺凌</v>
      </c>
      <c r="D18" t="str">
        <f>卡牌总表!F18</f>
        <v>攻击</v>
      </c>
      <c r="E18">
        <f>卡牌总表!AL18</f>
        <v>0</v>
      </c>
      <c r="F18">
        <f>卡牌总表!AN18</f>
        <v>0</v>
      </c>
      <c r="G18">
        <f>卡牌总表!AP18</f>
        <v>0.4</v>
      </c>
      <c r="H18">
        <f>IF(ISNUMBER(卡牌总表!H18),IF(AND(卡牌总表!H18=0,卡牌总表!V18=0,卡牌总表!AK18="none"),0.4,IF(卡牌总表!AK18="exhaust",MAX(卡牌总表!H18-卡牌总表!V18,0.4),IF(卡牌总表!AK18="ethereal",MAX(卡牌总表!H18-卡牌总表!V18,0.4),MAX(卡牌总表!H18-卡牌总表!V18,0.4)))),IF(OR(卡牌总表!H18="X",卡牌总表!H18="∞"),0.4,0.4))</f>
        <v>0.4</v>
      </c>
      <c r="I18">
        <f>卡牌总表!M18*卡牌总表!O18*参数!$B$5*IF(AND(卡牌总表!F18="能力",卡牌总表!AL18="能力持续"),参数!$B$2,1)+卡牌总表!P18*参数!$B$6*IF(AND(卡牌总表!F18="能力",卡牌总表!AL18="能力持续"),参数!$B$2,1)+卡牌总表!R18*参数!$B$7*IF(AND(卡牌总表!F18="能力",卡牌总表!AL18="能力持续"),参数!$B$2,1)+卡牌总表!V18*参数!$B$8+IF(卡牌总表!X18&lt;0,卡牌总表!X18*参数!$B$13,卡牌总表!X18*参数!$B$39)+IF(卡牌总表!AE18&lt;0,卡牌总表!AE18*参数!$B$13,卡牌总表!AE18*参数!$B$12)*参数!$B$2+卡牌总表!AQ18*参数!$B$15+卡牌总表!AB18*参数!$B$11+卡牌总表!AF18*参数!$B$40*参数!$B$2+卡牌总表!AG18*参数!$B$44*参数!$B$2+卡牌总表!AH18*参数!$B$6*参数!$B$2+卡牌总表!AI18*参数!$B$39*参数!$B$2+卡牌总表!AJ18*参数!$B$6*参数!$B$2+卡牌总表!Z18*参数!$B$13-卡牌总表!T18*参数!$B$14-卡牌总表!AD18*参数!$B$13+IF(ISNUMBER(卡牌总表!AU18),卡牌总表!AU18*参数!$B$38,0)-卡牌总表!AV18*参数!$B$41-卡牌总表!AW18*参数!$B$14</f>
        <v>6</v>
      </c>
      <c r="J18">
        <f>IF(AND(卡牌总表!F18="能力",卡牌总表!AL18="能力持续"),(参数!$B$2-1)*参数!$B$3,0)</f>
        <v>0</v>
      </c>
      <c r="K18">
        <f t="shared" si="1"/>
        <v>6</v>
      </c>
      <c r="L18">
        <f>卡牌总表!N18*卡牌总表!O18*参数!$B$5*IF(AND(卡牌总表!F18="能力",卡牌总表!AL18="能力持续"),参数!$B$2,1)+卡牌总表!Q18*参数!$B$6*IF(AND(卡牌总表!F18="能力",卡牌总表!AL18="能力持续"),参数!$B$2,1)+卡牌总表!S18*参数!$B$7*IF(AND(卡牌总表!F18="能力",卡牌总表!AL18="能力持续"),参数!$B$2,1)+卡牌总表!W18*参数!$B$8+IF(卡牌总表!Y18&lt;0,卡牌总表!Y18*参数!$B$13,卡牌总表!Y18*参数!$B$39)+IF(卡牌总表!AE18&lt;0,卡牌总表!AE18*参数!$B$13,卡牌总表!AE18*参数!$B$12)*参数!$B$2+卡牌总表!AR18*参数!$B$15+卡牌总表!AC18*参数!$B$11+卡牌总表!AF18*参数!$B$40*参数!$B$2+卡牌总表!AG18*参数!$B$44*参数!$B$2+卡牌总表!AH18*参数!$B$6*参数!$B$2+卡牌总表!AI18*参数!$B$39*参数!$B$2+卡牌总表!AJ18*参数!$B$6*参数!$B$2+卡牌总表!AA18*参数!$B$13-卡牌总表!U18*参数!$B$14-卡牌总表!AD18*参数!$B$13+IF(ISNUMBER(卡牌总表!AU18),卡牌总表!AU18*参数!$B$38,0)-卡牌总表!AV18*参数!$B$41-卡牌总表!AW18*参数!$B$14</f>
        <v>8</v>
      </c>
      <c r="M18">
        <f>IF(AND(卡牌总表!F18="能力",卡牌总表!AL18="能力持续"),参数!$B$2*参数!$B$3,0)</f>
        <v>0</v>
      </c>
      <c r="N18">
        <f t="shared" si="2"/>
        <v>8</v>
      </c>
      <c r="O18">
        <f>IFERROR(MAX(IF(K18 &gt; 参数!$B$17,参数!$B$17+SQRT(K18-参数!$B$17)*参数!$B$18,K18)-MAX(G18,0)*参数!$B$10,0)/MAX(G18,0.4),0)</f>
        <v>11.999999999999998</v>
      </c>
      <c r="P18">
        <f>IFERROR(MAX(IF(N18 &gt; 参数!$B$17,参数!$B$17+SQRT(N18-参数!$B$17)*参数!$B$18,N18)-MAX(H18,0)*参数!$B$10,0)/MAX(H18,0.4),0)</f>
        <v>17</v>
      </c>
      <c r="Q18">
        <f>卡牌总表!AO18</f>
        <v>0</v>
      </c>
    </row>
    <row r="19" spans="1:17" x14ac:dyDescent="0.3">
      <c r="A19">
        <f t="shared" si="0"/>
        <v>18</v>
      </c>
      <c r="B19" t="str">
        <f>卡牌总表!B19</f>
        <v>ironclad_burning_pact</v>
      </c>
      <c r="C19" t="str">
        <f>卡牌总表!D19</f>
        <v>燃烧契约</v>
      </c>
      <c r="D19" t="str">
        <f>卡牌总表!F19</f>
        <v>技能</v>
      </c>
      <c r="E19">
        <f>卡牌总表!AL19</f>
        <v>0</v>
      </c>
      <c r="F19">
        <f>卡牌总表!AN19</f>
        <v>0</v>
      </c>
      <c r="G19">
        <f>卡牌总表!AP19</f>
        <v>1</v>
      </c>
      <c r="H19">
        <f>IF(ISNUMBER(卡牌总表!H19),IF(AND(卡牌总表!H19=0,卡牌总表!V19=0,卡牌总表!AK19="none"),0.4,IF(卡牌总表!AK19="exhaust",MAX(卡牌总表!H19-卡牌总表!V19,0.4),IF(卡牌总表!AK19="ethereal",MAX(卡牌总表!H19-卡牌总表!V19,0.4),MAX(卡牌总表!H19-卡牌总表!V19,0.4)))),IF(OR(卡牌总表!H19="X",卡牌总表!H19="∞"),0.4,0.4))</f>
        <v>1</v>
      </c>
      <c r="I19">
        <f>卡牌总表!M19*卡牌总表!O19*参数!$B$5*IF(AND(卡牌总表!F19="能力",卡牌总表!AL19="能力持续"),参数!$B$2,1)+卡牌总表!P19*参数!$B$6*IF(AND(卡牌总表!F19="能力",卡牌总表!AL19="能力持续"),参数!$B$2,1)+卡牌总表!R19*参数!$B$7*IF(AND(卡牌总表!F19="能力",卡牌总表!AL19="能力持续"),参数!$B$2,1)+卡牌总表!V19*参数!$B$8+IF(卡牌总表!X19&lt;0,卡牌总表!X19*参数!$B$13,卡牌总表!X19*参数!$B$39)+IF(卡牌总表!AE19&lt;0,卡牌总表!AE19*参数!$B$13,卡牌总表!AE19*参数!$B$12)*参数!$B$2+卡牌总表!AQ19*参数!$B$15+卡牌总表!AB19*参数!$B$11+卡牌总表!AF19*参数!$B$40*参数!$B$2+卡牌总表!AG19*参数!$B$44*参数!$B$2+卡牌总表!AH19*参数!$B$6*参数!$B$2+卡牌总表!AI19*参数!$B$39*参数!$B$2+卡牌总表!AJ19*参数!$B$6*参数!$B$2+卡牌总表!Z19*参数!$B$13-卡牌总表!T19*参数!$B$14-卡牌总表!AD19*参数!$B$13+IF(ISNUMBER(卡牌总表!AU19),卡牌总表!AU19*参数!$B$38,0)-卡牌总表!AV19*参数!$B$41-卡牌总表!AW19*参数!$B$14</f>
        <v>-0.40000000000000008</v>
      </c>
      <c r="J19">
        <f>IF(AND(卡牌总表!F19="能力",卡牌总表!AL19="能力持续"),(参数!$B$2-1)*参数!$B$3,0)</f>
        <v>0</v>
      </c>
      <c r="K19">
        <f t="shared" si="1"/>
        <v>-0.40000000000000008</v>
      </c>
      <c r="L19">
        <f>卡牌总表!N19*卡牌总表!O19*参数!$B$5*IF(AND(卡牌总表!F19="能力",卡牌总表!AL19="能力持续"),参数!$B$2,1)+卡牌总表!Q19*参数!$B$6*IF(AND(卡牌总表!F19="能力",卡牌总表!AL19="能力持续"),参数!$B$2,1)+卡牌总表!S19*参数!$B$7*IF(AND(卡牌总表!F19="能力",卡牌总表!AL19="能力持续"),参数!$B$2,1)+卡牌总表!W19*参数!$B$8+IF(卡牌总表!Y19&lt;0,卡牌总表!Y19*参数!$B$13,卡牌总表!Y19*参数!$B$39)+IF(卡牌总表!AE19&lt;0,卡牌总表!AE19*参数!$B$13,卡牌总表!AE19*参数!$B$12)*参数!$B$2+卡牌总表!AR19*参数!$B$15+卡牌总表!AC19*参数!$B$11+卡牌总表!AF19*参数!$B$40*参数!$B$2+卡牌总表!AG19*参数!$B$44*参数!$B$2+卡牌总表!AH19*参数!$B$6*参数!$B$2+卡牌总表!AI19*参数!$B$39*参数!$B$2+卡牌总表!AJ19*参数!$B$6*参数!$B$2+卡牌总表!AA19*参数!$B$13-卡牌总表!U19*参数!$B$14-卡牌总表!AD19*参数!$B$13+IF(ISNUMBER(卡牌总表!AU19),卡牌总表!AU19*参数!$B$38,0)-卡牌总表!AV19*参数!$B$41-卡牌总表!AW19*参数!$B$14</f>
        <v>0.29999999999999966</v>
      </c>
      <c r="M19">
        <f>IF(AND(卡牌总表!F19="能力",卡牌总表!AL19="能力持续"),参数!$B$2*参数!$B$3,0)</f>
        <v>0</v>
      </c>
      <c r="N19">
        <f t="shared" si="2"/>
        <v>0.29999999999999966</v>
      </c>
      <c r="O19">
        <f>IFERROR(MAX(IF(K19 &gt; 参数!$B$17,参数!$B$17+SQRT(K19-参数!$B$17)*参数!$B$18,K19)-MAX(G19,0)*参数!$B$10,0)/MAX(G19,0.4),0)</f>
        <v>0</v>
      </c>
      <c r="P19">
        <f>IFERROR(MAX(IF(N19 &gt; 参数!$B$17,参数!$B$17+SQRT(N19-参数!$B$17)*参数!$B$18,N19)-MAX(H19,0)*参数!$B$10,0)/MAX(H19,0.4),0)</f>
        <v>0</v>
      </c>
      <c r="Q19" t="str">
        <f>卡牌总表!AO19</f>
        <v>含消耗其他牌效果</v>
      </c>
    </row>
    <row r="20" spans="1:17" x14ac:dyDescent="0.3">
      <c r="A20">
        <f t="shared" si="0"/>
        <v>19</v>
      </c>
      <c r="B20" t="str">
        <f>卡牌总表!B20</f>
        <v>ironclad_cascade</v>
      </c>
      <c r="C20" t="str">
        <f>卡牌总表!D20</f>
        <v>倾泻</v>
      </c>
      <c r="D20" t="str">
        <f>卡牌总表!F20</f>
        <v>技能</v>
      </c>
      <c r="E20">
        <f>卡牌总表!AL20</f>
        <v>0</v>
      </c>
      <c r="F20">
        <f>卡牌总表!AN20</f>
        <v>0</v>
      </c>
      <c r="G20">
        <f>卡牌总表!AP20</f>
        <v>0.4</v>
      </c>
      <c r="H20">
        <f>IF(ISNUMBER(卡牌总表!H20),IF(AND(卡牌总表!H20=0,卡牌总表!V20=0,卡牌总表!AK20="none"),0.4,IF(卡牌总表!AK20="exhaust",MAX(卡牌总表!H20-卡牌总表!V20,0.4),IF(卡牌总表!AK20="ethereal",MAX(卡牌总表!H20-卡牌总表!V20,0.4),MAX(卡牌总表!H20-卡牌总表!V20,0.4)))),IF(OR(卡牌总表!H20="X",卡牌总表!H20="∞"),0.4,0.4))</f>
        <v>0.4</v>
      </c>
      <c r="I20">
        <f>卡牌总表!M20*卡牌总表!O20*参数!$B$5*IF(AND(卡牌总表!F20="能力",卡牌总表!AL20="能力持续"),参数!$B$2,1)+卡牌总表!P20*参数!$B$6*IF(AND(卡牌总表!F20="能力",卡牌总表!AL20="能力持续"),参数!$B$2,1)+卡牌总表!R20*参数!$B$7*IF(AND(卡牌总表!F20="能力",卡牌总表!AL20="能力持续"),参数!$B$2,1)+卡牌总表!V20*参数!$B$8+IF(卡牌总表!X20&lt;0,卡牌总表!X20*参数!$B$13,卡牌总表!X20*参数!$B$39)+IF(卡牌总表!AE20&lt;0,卡牌总表!AE20*参数!$B$13,卡牌总表!AE20*参数!$B$12)*参数!$B$2+卡牌总表!AQ20*参数!$B$15+卡牌总表!AB20*参数!$B$11+卡牌总表!AF20*参数!$B$40*参数!$B$2+卡牌总表!AG20*参数!$B$44*参数!$B$2+卡牌总表!AH20*参数!$B$6*参数!$B$2+卡牌总表!AI20*参数!$B$39*参数!$B$2+卡牌总表!AJ20*参数!$B$6*参数!$B$2+卡牌总表!Z20*参数!$B$13-卡牌总表!T20*参数!$B$14-卡牌总表!AD20*参数!$B$13+IF(ISNUMBER(卡牌总表!AU20),卡牌总表!AU20*参数!$B$38,0)-卡牌总表!AV20*参数!$B$41-卡牌总表!AW20*参数!$B$14</f>
        <v>84</v>
      </c>
      <c r="J20">
        <f>IF(AND(卡牌总表!F20="能力",卡牌总表!AL20="能力持续"),(参数!$B$2-1)*参数!$B$3,0)</f>
        <v>0</v>
      </c>
      <c r="K20">
        <f t="shared" si="1"/>
        <v>84</v>
      </c>
      <c r="L20">
        <f>卡牌总表!N20*卡牌总表!O20*参数!$B$5*IF(AND(卡牌总表!F20="能力",卡牌总表!AL20="能力持续"),参数!$B$2,1)+卡牌总表!Q20*参数!$B$6*IF(AND(卡牌总表!F20="能力",卡牌总表!AL20="能力持续"),参数!$B$2,1)+卡牌总表!S20*参数!$B$7*IF(AND(卡牌总表!F20="能力",卡牌总表!AL20="能力持续"),参数!$B$2,1)+卡牌总表!W20*参数!$B$8+IF(卡牌总表!Y20&lt;0,卡牌总表!Y20*参数!$B$13,卡牌总表!Y20*参数!$B$39)+IF(卡牌总表!AE20&lt;0,卡牌总表!AE20*参数!$B$13,卡牌总表!AE20*参数!$B$12)*参数!$B$2+卡牌总表!AR20*参数!$B$15+卡牌总表!AC20*参数!$B$11+卡牌总表!AF20*参数!$B$40*参数!$B$2+卡牌总表!AG20*参数!$B$44*参数!$B$2+卡牌总表!AH20*参数!$B$6*参数!$B$2+卡牌总表!AI20*参数!$B$39*参数!$B$2+卡牌总表!AJ20*参数!$B$6*参数!$B$2+卡牌总表!AA20*参数!$B$13-卡牌总表!U20*参数!$B$14-卡牌总表!AD20*参数!$B$13+IF(ISNUMBER(卡牌总表!AU20),卡牌总表!AU20*参数!$B$38,0)-卡牌总表!AV20*参数!$B$41-卡牌总表!AW20*参数!$B$14</f>
        <v>0</v>
      </c>
      <c r="M20">
        <f>IF(AND(卡牌总表!F20="能力",卡牌总表!AL20="能力持续"),参数!$B$2*参数!$B$3,0)</f>
        <v>0</v>
      </c>
      <c r="N20">
        <f t="shared" si="2"/>
        <v>0</v>
      </c>
      <c r="O20">
        <f>IFERROR(MAX(IF(K20 &gt; 参数!$B$17,参数!$B$17+SQRT(K20-参数!$B$17)*参数!$B$18,K20)-MAX(G20,0)*参数!$B$10,0)/MAX(G20,0.4),0)</f>
        <v>54.258719751409842</v>
      </c>
      <c r="P20">
        <f>IFERROR(MAX(IF(N20 &gt; 参数!$B$17,参数!$B$17+SQRT(N20-参数!$B$17)*参数!$B$18,N20)-MAX(H20,0)*参数!$B$10,0)/MAX(H20,0.4),0)</f>
        <v>0</v>
      </c>
      <c r="Q20">
        <f>卡牌总表!AO20</f>
        <v>0</v>
      </c>
    </row>
    <row r="21" spans="1:17" x14ac:dyDescent="0.3">
      <c r="A21">
        <f t="shared" si="0"/>
        <v>20</v>
      </c>
      <c r="B21" t="str">
        <f>卡牌总表!B21</f>
        <v>ironclad_cinder</v>
      </c>
      <c r="C21" t="str">
        <f>卡牌总表!D21</f>
        <v>余烬</v>
      </c>
      <c r="D21" t="str">
        <f>卡牌总表!F21</f>
        <v>攻击</v>
      </c>
      <c r="E21">
        <f>卡牌总表!AL21</f>
        <v>0</v>
      </c>
      <c r="F21">
        <f>卡牌总表!AN21</f>
        <v>0</v>
      </c>
      <c r="G21">
        <f>卡牌总表!AP21</f>
        <v>2</v>
      </c>
      <c r="H21">
        <f>IF(ISNUMBER(卡牌总表!H21),IF(AND(卡牌总表!H21=0,卡牌总表!V21=0,卡牌总表!AK21="none"),0.4,IF(卡牌总表!AK21="exhaust",MAX(卡牌总表!H21-卡牌总表!V21,0.4),IF(卡牌总表!AK21="ethereal",MAX(卡牌总表!H21-卡牌总表!V21,0.4),MAX(卡牌总表!H21-卡牌总表!V21,0.4)))),IF(OR(卡牌总表!H21="X",卡牌总表!H21="∞"),0.4,0.4))</f>
        <v>2</v>
      </c>
      <c r="I21">
        <f>卡牌总表!M21*卡牌总表!O21*参数!$B$5*IF(AND(卡牌总表!F21="能力",卡牌总表!AL21="能力持续"),参数!$B$2,1)+卡牌总表!P21*参数!$B$6*IF(AND(卡牌总表!F21="能力",卡牌总表!AL21="能力持续"),参数!$B$2,1)+卡牌总表!R21*参数!$B$7*IF(AND(卡牌总表!F21="能力",卡牌总表!AL21="能力持续"),参数!$B$2,1)+卡牌总表!V21*参数!$B$8+IF(卡牌总表!X21&lt;0,卡牌总表!X21*参数!$B$13,卡牌总表!X21*参数!$B$39)+IF(卡牌总表!AE21&lt;0,卡牌总表!AE21*参数!$B$13,卡牌总表!AE21*参数!$B$12)*参数!$B$2+卡牌总表!AQ21*参数!$B$15+卡牌总表!AB21*参数!$B$11+卡牌总表!AF21*参数!$B$40*参数!$B$2+卡牌总表!AG21*参数!$B$44*参数!$B$2+卡牌总表!AH21*参数!$B$6*参数!$B$2+卡牌总表!AI21*参数!$B$39*参数!$B$2+卡牌总表!AJ21*参数!$B$6*参数!$B$2+卡牌总表!Z21*参数!$B$13-卡牌总表!T21*参数!$B$14-卡牌总表!AD21*参数!$B$13+IF(ISNUMBER(卡牌总表!AU21),卡牌总表!AU21*参数!$B$38,0)-卡牌总表!AV21*参数!$B$41-卡牌总表!AW21*参数!$B$14</f>
        <v>18</v>
      </c>
      <c r="J21">
        <f>IF(AND(卡牌总表!F21="能力",卡牌总表!AL21="能力持续"),(参数!$B$2-1)*参数!$B$3,0)</f>
        <v>0</v>
      </c>
      <c r="K21">
        <f t="shared" si="1"/>
        <v>18</v>
      </c>
      <c r="L21">
        <f>卡牌总表!N21*卡牌总表!O21*参数!$B$5*IF(AND(卡牌总表!F21="能力",卡牌总表!AL21="能力持续"),参数!$B$2,1)+卡牌总表!Q21*参数!$B$6*IF(AND(卡牌总表!F21="能力",卡牌总表!AL21="能力持续"),参数!$B$2,1)+卡牌总表!S21*参数!$B$7*IF(AND(卡牌总表!F21="能力",卡牌总表!AL21="能力持续"),参数!$B$2,1)+卡牌总表!W21*参数!$B$8+IF(卡牌总表!Y21&lt;0,卡牌总表!Y21*参数!$B$13,卡牌总表!Y21*参数!$B$39)+IF(卡牌总表!AE21&lt;0,卡牌总表!AE21*参数!$B$13,卡牌总表!AE21*参数!$B$12)*参数!$B$2+卡牌总表!AR21*参数!$B$15+卡牌总表!AC21*参数!$B$11+卡牌总表!AF21*参数!$B$40*参数!$B$2+卡牌总表!AG21*参数!$B$44*参数!$B$2+卡牌总表!AH21*参数!$B$6*参数!$B$2+卡牌总表!AI21*参数!$B$39*参数!$B$2+卡牌总表!AJ21*参数!$B$6*参数!$B$2+卡牌总表!AA21*参数!$B$13-卡牌总表!U21*参数!$B$14-卡牌总表!AD21*参数!$B$13+IF(ISNUMBER(卡牌总表!AU21),卡牌总表!AU21*参数!$B$38,0)-卡牌总表!AV21*参数!$B$41-卡牌总表!AW21*参数!$B$14</f>
        <v>24</v>
      </c>
      <c r="M21">
        <f>IF(AND(卡牌总表!F21="能力",卡牌总表!AL21="能力持续"),参数!$B$2*参数!$B$3,0)</f>
        <v>0</v>
      </c>
      <c r="N21">
        <f t="shared" si="2"/>
        <v>24</v>
      </c>
      <c r="O21">
        <f>IFERROR(MAX(IF(K21 &gt; 参数!$B$17,参数!$B$17+SQRT(K21-参数!$B$17)*参数!$B$18,K21)-MAX(G21,0)*参数!$B$10,0)/MAX(G21,0.4),0)</f>
        <v>4.1213203435596428</v>
      </c>
      <c r="P21">
        <f>IFERROR(MAX(IF(N21 &gt; 参数!$B$17,参数!$B$17+SQRT(N21-参数!$B$17)*参数!$B$18,N21)-MAX(H21,0)*参数!$B$10,0)/MAX(H21,0.4),0)</f>
        <v>4.8062430400804566</v>
      </c>
      <c r="Q21" t="str">
        <f>卡牌总表!AO21</f>
        <v>含消耗其他牌效果</v>
      </c>
    </row>
    <row r="22" spans="1:17" x14ac:dyDescent="0.3">
      <c r="A22">
        <f t="shared" si="0"/>
        <v>21</v>
      </c>
      <c r="B22" t="str">
        <f>卡牌总表!B22</f>
        <v>ironclad_colossus</v>
      </c>
      <c r="C22" t="str">
        <f>卡牌总表!D22</f>
        <v>巨像</v>
      </c>
      <c r="D22" t="str">
        <f>卡牌总表!F22</f>
        <v>技能</v>
      </c>
      <c r="E22">
        <f>卡牌总表!AL22</f>
        <v>0</v>
      </c>
      <c r="F22" t="str">
        <f>卡牌总表!AN22</f>
        <v>本回合</v>
      </c>
      <c r="G22">
        <f>卡牌总表!AP22</f>
        <v>1</v>
      </c>
      <c r="H22">
        <f>IF(ISNUMBER(卡牌总表!H22),IF(AND(卡牌总表!H22=0,卡牌总表!V22=0,卡牌总表!AK22="none"),0.4,IF(卡牌总表!AK22="exhaust",MAX(卡牌总表!H22-卡牌总表!V22,0.4),IF(卡牌总表!AK22="ethereal",MAX(卡牌总表!H22-卡牌总表!V22,0.4),MAX(卡牌总表!H22-卡牌总表!V22,0.4)))),IF(OR(卡牌总表!H22="X",卡牌总表!H22="∞"),0.4,0.4))</f>
        <v>1</v>
      </c>
      <c r="I22">
        <f>卡牌总表!M22*卡牌总表!O22*参数!$B$5*IF(AND(卡牌总表!F22="能力",卡牌总表!AL22="能力持续"),参数!$B$2,1)+卡牌总表!P22*参数!$B$6*IF(AND(卡牌总表!F22="能力",卡牌总表!AL22="能力持续"),参数!$B$2,1)+卡牌总表!R22*参数!$B$7*IF(AND(卡牌总表!F22="能力",卡牌总表!AL22="能力持续"),参数!$B$2,1)+卡牌总表!V22*参数!$B$8+IF(卡牌总表!X22&lt;0,卡牌总表!X22*参数!$B$13,卡牌总表!X22*参数!$B$39)+IF(卡牌总表!AE22&lt;0,卡牌总表!AE22*参数!$B$13,卡牌总表!AE22*参数!$B$12)*参数!$B$2+卡牌总表!AQ22*参数!$B$15+卡牌总表!AB22*参数!$B$11+卡牌总表!AF22*参数!$B$40*参数!$B$2+卡牌总表!AG22*参数!$B$44*参数!$B$2+卡牌总表!AH22*参数!$B$6*参数!$B$2+卡牌总表!AI22*参数!$B$39*参数!$B$2+卡牌总表!AJ22*参数!$B$6*参数!$B$2+卡牌总表!Z22*参数!$B$13-卡牌总表!T22*参数!$B$14-卡牌总表!AD22*参数!$B$13+IF(ISNUMBER(卡牌总表!AU22),卡牌总表!AU22*参数!$B$38,0)-卡牌总表!AV22*参数!$B$41-卡牌总表!AW22*参数!$B$14</f>
        <v>5.5</v>
      </c>
      <c r="J22">
        <f>IF(AND(卡牌总表!F22="能力",卡牌总表!AL22="能力持续"),(参数!$B$2-1)*参数!$B$3,0)</f>
        <v>0</v>
      </c>
      <c r="K22">
        <f t="shared" si="1"/>
        <v>5.5</v>
      </c>
      <c r="L22">
        <f>卡牌总表!N22*卡牌总表!O22*参数!$B$5*IF(AND(卡牌总表!F22="能力",卡牌总表!AL22="能力持续"),参数!$B$2,1)+卡牌总表!Q22*参数!$B$6*IF(AND(卡牌总表!F22="能力",卡牌总表!AL22="能力持续"),参数!$B$2,1)+卡牌总表!S22*参数!$B$7*IF(AND(卡牌总表!F22="能力",卡牌总表!AL22="能力持续"),参数!$B$2,1)+卡牌总表!W22*参数!$B$8+IF(卡牌总表!Y22&lt;0,卡牌总表!Y22*参数!$B$13,卡牌总表!Y22*参数!$B$39)+IF(卡牌总表!AE22&lt;0,卡牌总表!AE22*参数!$B$13,卡牌总表!AE22*参数!$B$12)*参数!$B$2+卡牌总表!AR22*参数!$B$15+卡牌总表!AC22*参数!$B$11+卡牌总表!AF22*参数!$B$40*参数!$B$2+卡牌总表!AG22*参数!$B$44*参数!$B$2+卡牌总表!AH22*参数!$B$6*参数!$B$2+卡牌总表!AI22*参数!$B$39*参数!$B$2+卡牌总表!AJ22*参数!$B$6*参数!$B$2+卡牌总表!AA22*参数!$B$13-卡牌总表!U22*参数!$B$14-卡牌总表!AD22*参数!$B$13+IF(ISNUMBER(卡牌总表!AU22),卡牌总表!AU22*参数!$B$38,0)-卡牌总表!AV22*参数!$B$41-卡牌总表!AW22*参数!$B$14</f>
        <v>8.8000000000000007</v>
      </c>
      <c r="M22">
        <f>IF(AND(卡牌总表!F22="能力",卡牌总表!AL22="能力持续"),参数!$B$2*参数!$B$3,0)</f>
        <v>0</v>
      </c>
      <c r="N22">
        <f t="shared" si="2"/>
        <v>8.8000000000000007</v>
      </c>
      <c r="O22">
        <f>IFERROR(MAX(IF(K22 &gt; 参数!$B$17,参数!$B$17+SQRT(K22-参数!$B$17)*参数!$B$18,K22)-MAX(G22,0)*参数!$B$10,0)/MAX(G22,0.4),0)</f>
        <v>2.5</v>
      </c>
      <c r="P22">
        <f>IFERROR(MAX(IF(N22 &gt; 参数!$B$17,参数!$B$17+SQRT(N22-参数!$B$17)*参数!$B$18,N22)-MAX(H22,0)*参数!$B$10,0)/MAX(H22,0.4),0)</f>
        <v>5.8000000000000007</v>
      </c>
      <c r="Q22">
        <f>卡牌总表!AO22</f>
        <v>0</v>
      </c>
    </row>
    <row r="23" spans="1:17" x14ac:dyDescent="0.3">
      <c r="A23">
        <f t="shared" si="0"/>
        <v>22</v>
      </c>
      <c r="B23" t="str">
        <f>卡牌总表!B23</f>
        <v>ironclad_conflagration</v>
      </c>
      <c r="C23" t="str">
        <f>卡牌总表!D23</f>
        <v>恶魔之焰</v>
      </c>
      <c r="D23" t="str">
        <f>卡牌总表!F23</f>
        <v>攻击</v>
      </c>
      <c r="E23">
        <f>卡牌总表!AL23</f>
        <v>0</v>
      </c>
      <c r="F23" t="str">
        <f>卡牌总表!AN23</f>
        <v>群体攻击，本回合</v>
      </c>
      <c r="G23">
        <f>卡牌总表!AP23</f>
        <v>1</v>
      </c>
      <c r="H23">
        <f>IF(ISNUMBER(卡牌总表!H23),IF(AND(卡牌总表!H23=0,卡牌总表!V23=0,卡牌总表!AK23="none"),0.4,IF(卡牌总表!AK23="exhaust",MAX(卡牌总表!H23-卡牌总表!V23,0.4),IF(卡牌总表!AK23="ethereal",MAX(卡牌总表!H23-卡牌总表!V23,0.4),MAX(卡牌总表!H23-卡牌总表!V23,0.4)))),IF(OR(卡牌总表!H23="X",卡牌总表!H23="∞"),0.4,0.4))</f>
        <v>1</v>
      </c>
      <c r="I23">
        <f>卡牌总表!M23*卡牌总表!O23*参数!$B$5*IF(AND(卡牌总表!F23="能力",卡牌总表!AL23="能力持续"),参数!$B$2,1)+卡牌总表!P23*参数!$B$6*IF(AND(卡牌总表!F23="能力",卡牌总表!AL23="能力持续"),参数!$B$2,1)+卡牌总表!R23*参数!$B$7*IF(AND(卡牌总表!F23="能力",卡牌总表!AL23="能力持续"),参数!$B$2,1)+卡牌总表!V23*参数!$B$8+IF(卡牌总表!X23&lt;0,卡牌总表!X23*参数!$B$13,卡牌总表!X23*参数!$B$39)+IF(卡牌总表!AE23&lt;0,卡牌总表!AE23*参数!$B$13,卡牌总表!AE23*参数!$B$12)*参数!$B$2+卡牌总表!AQ23*参数!$B$15+卡牌总表!AB23*参数!$B$11+卡牌总表!AF23*参数!$B$40*参数!$B$2+卡牌总表!AG23*参数!$B$44*参数!$B$2+卡牌总表!AH23*参数!$B$6*参数!$B$2+卡牌总表!AI23*参数!$B$39*参数!$B$2+卡牌总表!AJ23*参数!$B$6*参数!$B$2+卡牌总表!Z23*参数!$B$13-卡牌总表!T23*参数!$B$14-卡牌总表!AD23*参数!$B$13+IF(ISNUMBER(卡牌总表!AU23),卡牌总表!AU23*参数!$B$38,0)-卡牌总表!AV23*参数!$B$41-卡牌总表!AW23*参数!$B$14</f>
        <v>35</v>
      </c>
      <c r="J23">
        <f>IF(AND(卡牌总表!F23="能力",卡牌总表!AL23="能力持续"),(参数!$B$2-1)*参数!$B$3,0)</f>
        <v>0</v>
      </c>
      <c r="K23">
        <f t="shared" si="1"/>
        <v>35</v>
      </c>
      <c r="L23">
        <f>卡牌总表!N23*卡牌总表!O23*参数!$B$5*IF(AND(卡牌总表!F23="能力",卡牌总表!AL23="能力持续"),参数!$B$2,1)+卡牌总表!Q23*参数!$B$6*IF(AND(卡牌总表!F23="能力",卡牌总表!AL23="能力持续"),参数!$B$2,1)+卡牌总表!S23*参数!$B$7*IF(AND(卡牌总表!F23="能力",卡牌总表!AL23="能力持续"),参数!$B$2,1)+卡牌总表!W23*参数!$B$8+IF(卡牌总表!Y23&lt;0,卡牌总表!Y23*参数!$B$13,卡牌总表!Y23*参数!$B$39)+IF(卡牌总表!AE23&lt;0,卡牌总表!AE23*参数!$B$13,卡牌总表!AE23*参数!$B$12)*参数!$B$2+卡牌总表!AR23*参数!$B$15+卡牌总表!AC23*参数!$B$11+卡牌总表!AF23*参数!$B$40*参数!$B$2+卡牌总表!AG23*参数!$B$44*参数!$B$2+卡牌总表!AH23*参数!$B$6*参数!$B$2+卡牌总表!AI23*参数!$B$39*参数!$B$2+卡牌总表!AJ23*参数!$B$6*参数!$B$2+卡牌总表!AA23*参数!$B$13-卡牌总表!U23*参数!$B$14-卡牌总表!AD23*参数!$B$13+IF(ISNUMBER(卡牌总表!AU23),卡牌总表!AU23*参数!$B$38,0)-卡牌总表!AV23*参数!$B$41-卡牌总表!AW23*参数!$B$14</f>
        <v>50</v>
      </c>
      <c r="M23">
        <f>IF(AND(卡牌总表!F23="能力",卡牌总表!AL23="能力持续"),参数!$B$2*参数!$B$3,0)</f>
        <v>0</v>
      </c>
      <c r="N23">
        <f t="shared" si="2"/>
        <v>50</v>
      </c>
      <c r="O23">
        <f>IFERROR(MAX(IF(K23 &gt; 参数!$B$17,参数!$B$17+SQRT(K23-参数!$B$17)*参数!$B$18,K23)-MAX(G23,0)*参数!$B$10,0)/MAX(G23,0.4),0)</f>
        <v>14.5</v>
      </c>
      <c r="P23">
        <f>IFERROR(MAX(IF(N23 &gt; 参数!$B$17,参数!$B$17+SQRT(N23-参数!$B$17)*参数!$B$18,N23)-MAX(H23,0)*参数!$B$10,0)/MAX(H23,0.4),0)</f>
        <v>16.486832980505138</v>
      </c>
      <c r="Q23">
        <f>卡牌总表!AO23</f>
        <v>0</v>
      </c>
    </row>
    <row r="24" spans="1:17" x14ac:dyDescent="0.3">
      <c r="A24">
        <f t="shared" si="0"/>
        <v>23</v>
      </c>
      <c r="B24" t="str">
        <f>卡牌总表!B24</f>
        <v>ironclad_corruption</v>
      </c>
      <c r="C24" t="str">
        <f>卡牌总表!D24</f>
        <v>腐化</v>
      </c>
      <c r="D24" t="str">
        <f>卡牌总表!F24</f>
        <v>能力</v>
      </c>
      <c r="E24" t="str">
        <f>卡牌总表!AL24</f>
        <v>能力持续</v>
      </c>
      <c r="F24" t="str">
        <f>卡牌总表!AN24</f>
        <v>能力</v>
      </c>
      <c r="G24">
        <f>卡牌总表!AP24</f>
        <v>3</v>
      </c>
      <c r="H24">
        <f>IF(ISNUMBER(卡牌总表!H24),IF(AND(卡牌总表!H24=0,卡牌总表!V24=0,卡牌总表!AK24="none"),0.4,IF(卡牌总表!AK24="exhaust",MAX(卡牌总表!H24-卡牌总表!V24,0.4),IF(卡牌总表!AK24="ethereal",MAX(卡牌总表!H24-卡牌总表!V24,0.4),MAX(卡牌总表!H24-卡牌总表!V24,0.4)))),IF(OR(卡牌总表!H24="X",卡牌总表!H24="∞"),0.4,0.4))</f>
        <v>3</v>
      </c>
      <c r="I24">
        <f>卡牌总表!M24*卡牌总表!O24*参数!$B$5*IF(AND(卡牌总表!F24="能力",卡牌总表!AL24="能力持续"),参数!$B$2,1)+卡牌总表!P24*参数!$B$6*IF(AND(卡牌总表!F24="能力",卡牌总表!AL24="能力持续"),参数!$B$2,1)+卡牌总表!R24*参数!$B$7*IF(AND(卡牌总表!F24="能力",卡牌总表!AL24="能力持续"),参数!$B$2,1)+卡牌总表!V24*参数!$B$8+IF(卡牌总表!X24&lt;0,卡牌总表!X24*参数!$B$13,卡牌总表!X24*参数!$B$39)+IF(卡牌总表!AE24&lt;0,卡牌总表!AE24*参数!$B$13,卡牌总表!AE24*参数!$B$12)*参数!$B$2+卡牌总表!AQ24*参数!$B$15+卡牌总表!AB24*参数!$B$11+卡牌总表!AF24*参数!$B$40*参数!$B$2+卡牌总表!AG24*参数!$B$44*参数!$B$2+卡牌总表!AH24*参数!$B$6*参数!$B$2+卡牌总表!AI24*参数!$B$39*参数!$B$2+卡牌总表!AJ24*参数!$B$6*参数!$B$2+卡牌总表!Z24*参数!$B$13-卡牌总表!T24*参数!$B$14-卡牌总表!AD24*参数!$B$13+IF(ISNUMBER(卡牌总表!AU24),卡牌总表!AU24*参数!$B$38,0)-卡牌总表!AV24*参数!$B$41-卡牌总表!AW24*参数!$B$14</f>
        <v>0</v>
      </c>
      <c r="J24">
        <f>IF(AND(卡牌总表!F24="能力",卡牌总表!AL24="能力持续"),(参数!$B$2-1)*参数!$B$3,0)</f>
        <v>3.5999999999999996</v>
      </c>
      <c r="K24">
        <f t="shared" si="1"/>
        <v>3.5999999999999996</v>
      </c>
      <c r="L24">
        <f>卡牌总表!N24*卡牌总表!O24*参数!$B$5*IF(AND(卡牌总表!F24="能力",卡牌总表!AL24="能力持续"),参数!$B$2,1)+卡牌总表!Q24*参数!$B$6*IF(AND(卡牌总表!F24="能力",卡牌总表!AL24="能力持续"),参数!$B$2,1)+卡牌总表!S24*参数!$B$7*IF(AND(卡牌总表!F24="能力",卡牌总表!AL24="能力持续"),参数!$B$2,1)+卡牌总表!W24*参数!$B$8+IF(卡牌总表!Y24&lt;0,卡牌总表!Y24*参数!$B$13,卡牌总表!Y24*参数!$B$39)+IF(卡牌总表!AE24&lt;0,卡牌总表!AE24*参数!$B$13,卡牌总表!AE24*参数!$B$12)*参数!$B$2+卡牌总表!AR24*参数!$B$15+卡牌总表!AC24*参数!$B$11+卡牌总表!AF24*参数!$B$40*参数!$B$2+卡牌总表!AG24*参数!$B$44*参数!$B$2+卡牌总表!AH24*参数!$B$6*参数!$B$2+卡牌总表!AI24*参数!$B$39*参数!$B$2+卡牌总表!AJ24*参数!$B$6*参数!$B$2+卡牌总表!AA24*参数!$B$13-卡牌总表!U24*参数!$B$14-卡牌总表!AD24*参数!$B$13+IF(ISNUMBER(卡牌总表!AU24),卡牌总表!AU24*参数!$B$38,0)-卡牌总表!AV24*参数!$B$41-卡牌总表!AW24*参数!$B$14</f>
        <v>0</v>
      </c>
      <c r="M24">
        <f>IF(AND(卡牌总表!F24="能力",卡牌总表!AL24="能力持续"),参数!$B$2*参数!$B$3,0)</f>
        <v>4.8</v>
      </c>
      <c r="N24">
        <f t="shared" si="2"/>
        <v>4.8</v>
      </c>
      <c r="O24">
        <f>IFERROR(MAX(IF(K24 &gt; 参数!$B$17,参数!$B$17+SQRT(K24-参数!$B$17)*参数!$B$18,K24)-MAX(G24,0)*参数!$B$10,0)/MAX(G24,0.4),0)</f>
        <v>0</v>
      </c>
      <c r="P24">
        <f>IFERROR(MAX(IF(N24 &gt; 参数!$B$17,参数!$B$17+SQRT(N24-参数!$B$17)*参数!$B$18,N24)-MAX(H24,0)*参数!$B$10,0)/MAX(H24,0.4),0)</f>
        <v>0</v>
      </c>
      <c r="Q24" t="str">
        <f>卡牌总表!AO24</f>
        <v>含消耗其他牌效果</v>
      </c>
    </row>
    <row r="25" spans="1:17" x14ac:dyDescent="0.3">
      <c r="A25">
        <f t="shared" si="0"/>
        <v>24</v>
      </c>
      <c r="B25" t="str">
        <f>卡牌总表!B25</f>
        <v>ironclad_crimson_mantle</v>
      </c>
      <c r="C25" t="str">
        <f>卡牌总表!D25</f>
        <v>绯红披风</v>
      </c>
      <c r="D25" t="str">
        <f>卡牌总表!F25</f>
        <v>能力</v>
      </c>
      <c r="E25" t="str">
        <f>卡牌总表!AL25</f>
        <v>能力持续</v>
      </c>
      <c r="F25" t="str">
        <f>卡牌总表!AN25</f>
        <v>能力</v>
      </c>
      <c r="G25">
        <f>卡牌总表!AP25</f>
        <v>1</v>
      </c>
      <c r="H25">
        <f>IF(ISNUMBER(卡牌总表!H25),IF(AND(卡牌总表!H25=0,卡牌总表!V25=0,卡牌总表!AK25="none"),0.4,IF(卡牌总表!AK25="exhaust",MAX(卡牌总表!H25-卡牌总表!V25,0.4),IF(卡牌总表!AK25="ethereal",MAX(卡牌总表!H25-卡牌总表!V25,0.4),MAX(卡牌总表!H25-卡牌总表!V25,0.4)))),IF(OR(卡牌总表!H25="X",卡牌总表!H25="∞"),0.4,0.4))</f>
        <v>1</v>
      </c>
      <c r="I25">
        <f>卡牌总表!M25*卡牌总表!O25*参数!$B$5*IF(AND(卡牌总表!F25="能力",卡牌总表!AL25="能力持续"),参数!$B$2,1)+卡牌总表!P25*参数!$B$6*IF(AND(卡牌总表!F25="能力",卡牌总表!AL25="能力持续"),参数!$B$2,1)+卡牌总表!R25*参数!$B$7*IF(AND(卡牌总表!F25="能力",卡牌总表!AL25="能力持续"),参数!$B$2,1)+卡牌总表!V25*参数!$B$8+IF(卡牌总表!X25&lt;0,卡牌总表!X25*参数!$B$13,卡牌总表!X25*参数!$B$39)+IF(卡牌总表!AE25&lt;0,卡牌总表!AE25*参数!$B$13,卡牌总表!AE25*参数!$B$12)*参数!$B$2+卡牌总表!AQ25*参数!$B$15+卡牌总表!AB25*参数!$B$11+卡牌总表!AF25*参数!$B$40*参数!$B$2+卡牌总表!AG25*参数!$B$44*参数!$B$2+卡牌总表!AH25*参数!$B$6*参数!$B$2+卡牌总表!AI25*参数!$B$39*参数!$B$2+卡牌总表!AJ25*参数!$B$6*参数!$B$2+卡牌总表!Z25*参数!$B$13-卡牌总表!T25*参数!$B$14-卡牌总表!AD25*参数!$B$13+IF(ISNUMBER(卡牌总表!AU25),卡牌总表!AU25*参数!$B$38,0)-卡牌总表!AV25*参数!$B$41-卡牌总表!AW25*参数!$B$14</f>
        <v>32.200000000000003</v>
      </c>
      <c r="J25">
        <f>IF(AND(卡牌总表!F25="能力",卡牌总表!AL25="能力持续"),(参数!$B$2-1)*参数!$B$3,0)</f>
        <v>3.5999999999999996</v>
      </c>
      <c r="K25">
        <f t="shared" si="1"/>
        <v>35.800000000000004</v>
      </c>
      <c r="L25">
        <f>卡牌总表!N25*卡牌总表!O25*参数!$B$5*IF(AND(卡牌总表!F25="能力",卡牌总表!AL25="能力持续"),参数!$B$2,1)+卡牌总表!Q25*参数!$B$6*IF(AND(卡牌总表!F25="能力",卡牌总表!AL25="能力持续"),参数!$B$2,1)+卡牌总表!S25*参数!$B$7*IF(AND(卡牌总表!F25="能力",卡牌总表!AL25="能力持续"),参数!$B$2,1)+卡牌总表!W25*参数!$B$8+IF(卡牌总表!Y25&lt;0,卡牌总表!Y25*参数!$B$13,卡牌总表!Y25*参数!$B$39)+IF(卡牌总表!AE25&lt;0,卡牌总表!AE25*参数!$B$13,卡牌总表!AE25*参数!$B$12)*参数!$B$2+卡牌总表!AR25*参数!$B$15+卡牌总表!AC25*参数!$B$11+卡牌总表!AF25*参数!$B$40*参数!$B$2+卡牌总表!AG25*参数!$B$44*参数!$B$2+卡牌总表!AH25*参数!$B$6*参数!$B$2+卡牌总表!AI25*参数!$B$39*参数!$B$2+卡牌总表!AJ25*参数!$B$6*参数!$B$2+卡牌总表!AA25*参数!$B$13-卡牌总表!U25*参数!$B$14-卡牌总表!AD25*参数!$B$13+IF(ISNUMBER(卡牌总表!AU25),卡牌总表!AU25*参数!$B$38,0)-卡牌总表!AV25*参数!$B$41-卡牌总表!AW25*参数!$B$14</f>
        <v>45.400000000000006</v>
      </c>
      <c r="M25">
        <f>IF(AND(卡牌总表!F25="能力",卡牌总表!AL25="能力持续"),参数!$B$2*参数!$B$3,0)</f>
        <v>4.8</v>
      </c>
      <c r="N25">
        <f t="shared" si="2"/>
        <v>50.2</v>
      </c>
      <c r="O25">
        <f>IFERROR(MAX(IF(K25 &gt; 参数!$B$17,参数!$B$17+SQRT(K25-参数!$B$17)*参数!$B$18,K25)-MAX(G25,0)*参数!$B$10,0)/MAX(G25,0.4),0)</f>
        <v>14.619055059520178</v>
      </c>
      <c r="P25">
        <f>IFERROR(MAX(IF(N25 &gt; 参数!$B$17,参数!$B$17+SQRT(N25-参数!$B$17)*参数!$B$18,N25)-MAX(H25,0)*参数!$B$10,0)/MAX(H25,0.4),0)</f>
        <v>16.510520490488418</v>
      </c>
      <c r="Q25">
        <f>卡牌总表!AO25</f>
        <v>0</v>
      </c>
    </row>
    <row r="26" spans="1:17" x14ac:dyDescent="0.3">
      <c r="A26">
        <f t="shared" si="0"/>
        <v>25</v>
      </c>
      <c r="B26" t="str">
        <f>卡牌总表!B26</f>
        <v>ironclad_cruelty</v>
      </c>
      <c r="C26" t="str">
        <f>卡牌总表!D26</f>
        <v>残酷</v>
      </c>
      <c r="D26" t="str">
        <f>卡牌总表!F26</f>
        <v>能力</v>
      </c>
      <c r="E26" t="str">
        <f>卡牌总表!AL26</f>
        <v>能力持续</v>
      </c>
      <c r="F26" t="str">
        <f>卡牌总表!AN26</f>
        <v>能力</v>
      </c>
      <c r="G26">
        <f>卡牌总表!AP26</f>
        <v>1</v>
      </c>
      <c r="H26">
        <f>IF(ISNUMBER(卡牌总表!H26),IF(AND(卡牌总表!H26=0,卡牌总表!V26=0,卡牌总表!AK26="none"),0.4,IF(卡牌总表!AK26="exhaust",MAX(卡牌总表!H26-卡牌总表!V26,0.4),IF(卡牌总表!AK26="ethereal",MAX(卡牌总表!H26-卡牌总表!V26,0.4),MAX(卡牌总表!H26-卡牌总表!V26,0.4)))),IF(OR(卡牌总表!H26="X",卡牌总表!H26="∞"),0.4,0.4))</f>
        <v>1</v>
      </c>
      <c r="I26">
        <f>卡牌总表!M26*卡牌总表!O26*参数!$B$5*IF(AND(卡牌总表!F26="能力",卡牌总表!AL26="能力持续"),参数!$B$2,1)+卡牌总表!P26*参数!$B$6*IF(AND(卡牌总表!F26="能力",卡牌总表!AL26="能力持续"),参数!$B$2,1)+卡牌总表!R26*参数!$B$7*IF(AND(卡牌总表!F26="能力",卡牌总表!AL26="能力持续"),参数!$B$2,1)+卡牌总表!V26*参数!$B$8+IF(卡牌总表!X26&lt;0,卡牌总表!X26*参数!$B$13,卡牌总表!X26*参数!$B$39)+IF(卡牌总表!AE26&lt;0,卡牌总表!AE26*参数!$B$13,卡牌总表!AE26*参数!$B$12)*参数!$B$2+卡牌总表!AQ26*参数!$B$15+卡牌总表!AB26*参数!$B$11+卡牌总表!AF26*参数!$B$40*参数!$B$2+卡牌总表!AG26*参数!$B$44*参数!$B$2+卡牌总表!AH26*参数!$B$6*参数!$B$2+卡牌总表!AI26*参数!$B$39*参数!$B$2+卡牌总表!AJ26*参数!$B$6*参数!$B$2+卡牌总表!Z26*参数!$B$13-卡牌总表!T26*参数!$B$14-卡牌总表!AD26*参数!$B$13+IF(ISNUMBER(卡牌总表!AU26),卡牌总表!AU26*参数!$B$38,0)-卡牌总表!AV26*参数!$B$41-卡牌总表!AW26*参数!$B$14</f>
        <v>11.700000000000001</v>
      </c>
      <c r="J26">
        <f>IF(AND(卡牌总表!F26="能力",卡牌总表!AL26="能力持续"),(参数!$B$2-1)*参数!$B$3,0)</f>
        <v>3.5999999999999996</v>
      </c>
      <c r="K26">
        <f t="shared" si="1"/>
        <v>15.3</v>
      </c>
      <c r="L26">
        <f>卡牌总表!N26*卡牌总表!O26*参数!$B$5*IF(AND(卡牌总表!F26="能力",卡牌总表!AL26="能力持续"),参数!$B$2,1)+卡牌总表!Q26*参数!$B$6*IF(AND(卡牌总表!F26="能力",卡牌总表!AL26="能力持续"),参数!$B$2,1)+卡牌总表!S26*参数!$B$7*IF(AND(卡牌总表!F26="能力",卡牌总表!AL26="能力持续"),参数!$B$2,1)+卡牌总表!W26*参数!$B$8+IF(卡牌总表!Y26&lt;0,卡牌总表!Y26*参数!$B$13,卡牌总表!Y26*参数!$B$39)+IF(卡牌总表!AE26&lt;0,卡牌总表!AE26*参数!$B$13,卡牌总表!AE26*参数!$B$12)*参数!$B$2+卡牌总表!AR26*参数!$B$15+卡牌总表!AC26*参数!$B$11+卡牌总表!AF26*参数!$B$40*参数!$B$2+卡牌总表!AG26*参数!$B$44*参数!$B$2+卡牌总表!AH26*参数!$B$6*参数!$B$2+卡牌总表!AI26*参数!$B$39*参数!$B$2+卡牌总表!AJ26*参数!$B$6*参数!$B$2+卡牌总表!AA26*参数!$B$13-卡牌总表!U26*参数!$B$14-卡牌总表!AD26*参数!$B$13+IF(ISNUMBER(卡牌总表!AU26),卡牌总表!AU26*参数!$B$38,0)-卡牌总表!AV26*参数!$B$41-卡牌总表!AW26*参数!$B$14</f>
        <v>0</v>
      </c>
      <c r="M26">
        <f>IF(AND(卡牌总表!F26="能力",卡牌总表!AL26="能力持续"),参数!$B$2*参数!$B$3,0)</f>
        <v>4.8</v>
      </c>
      <c r="N26">
        <f t="shared" si="2"/>
        <v>4.8</v>
      </c>
      <c r="O26">
        <f>IFERROR(MAX(IF(K26 &gt; 参数!$B$17,参数!$B$17+SQRT(K26-参数!$B$17)*参数!$B$18,K26)-MAX(G26,0)*参数!$B$10,0)/MAX(G26,0.4),0)</f>
        <v>10.453259329966402</v>
      </c>
      <c r="P26">
        <f>IFERROR(MAX(IF(N26 &gt; 参数!$B$17,参数!$B$17+SQRT(N26-参数!$B$17)*参数!$B$18,N26)-MAX(H26,0)*参数!$B$10,0)/MAX(H26,0.4),0)</f>
        <v>1.7999999999999998</v>
      </c>
      <c r="Q26">
        <f>卡牌总表!AO26</f>
        <v>0</v>
      </c>
    </row>
    <row r="27" spans="1:17" x14ac:dyDescent="0.3">
      <c r="A27">
        <f t="shared" si="0"/>
        <v>26</v>
      </c>
      <c r="B27" t="str">
        <f>卡牌总表!B27</f>
        <v>ironclad_dark_embrace</v>
      </c>
      <c r="C27" t="str">
        <f>卡牌总表!D27</f>
        <v>黑暗之拥</v>
      </c>
      <c r="D27" t="str">
        <f>卡牌总表!F27</f>
        <v>能力</v>
      </c>
      <c r="E27" t="str">
        <f>卡牌总表!AL27</f>
        <v>能力持续</v>
      </c>
      <c r="F27" t="str">
        <f>卡牌总表!AN27</f>
        <v>能力</v>
      </c>
      <c r="G27">
        <f>卡牌总表!AP27</f>
        <v>2</v>
      </c>
      <c r="H27">
        <f>IF(ISNUMBER(卡牌总表!H27),IF(AND(卡牌总表!H27=0,卡牌总表!V27=0,卡牌总表!AK27="none"),0.4,IF(卡牌总表!AK27="exhaust",MAX(卡牌总表!H27-卡牌总表!V27,0.4),IF(卡牌总表!AK27="ethereal",MAX(卡牌总表!H27-卡牌总表!V27,0.4),MAX(卡牌总表!H27-卡牌总表!V27,0.4)))),IF(OR(卡牌总表!H27="X",卡牌总表!H27="∞"),0.4,0.4))</f>
        <v>2</v>
      </c>
      <c r="I27">
        <f>卡牌总表!M27*卡牌总表!O27*参数!$B$5*IF(AND(卡牌总表!F27="能力",卡牌总表!AL27="能力持续"),参数!$B$2,1)+卡牌总表!P27*参数!$B$6*IF(AND(卡牌总表!F27="能力",卡牌总表!AL27="能力持续"),参数!$B$2,1)+卡牌总表!R27*参数!$B$7*IF(AND(卡牌总表!F27="能力",卡牌总表!AL27="能力持续"),参数!$B$2,1)+卡牌总表!V27*参数!$B$8+IF(卡牌总表!X27&lt;0,卡牌总表!X27*参数!$B$13,卡牌总表!X27*参数!$B$39)+IF(卡牌总表!AE27&lt;0,卡牌总表!AE27*参数!$B$13,卡牌总表!AE27*参数!$B$12)*参数!$B$2+卡牌总表!AQ27*参数!$B$15+卡牌总表!AB27*参数!$B$11+卡牌总表!AF27*参数!$B$40*参数!$B$2+卡牌总表!AG27*参数!$B$44*参数!$B$2+卡牌总表!AH27*参数!$B$6*参数!$B$2+卡牌总表!AI27*参数!$B$39*参数!$B$2+卡牌总表!AJ27*参数!$B$6*参数!$B$2+卡牌总表!Z27*参数!$B$13-卡牌总表!T27*参数!$B$14-卡牌总表!AD27*参数!$B$13+IF(ISNUMBER(卡牌总表!AU27),卡牌总表!AU27*参数!$B$38,0)-卡牌总表!AV27*参数!$B$41-卡牌总表!AW27*参数!$B$14</f>
        <v>5.6</v>
      </c>
      <c r="J27">
        <f>IF(AND(卡牌总表!F27="能力",卡牌总表!AL27="能力持续"),(参数!$B$2-1)*参数!$B$3,0)</f>
        <v>3.5999999999999996</v>
      </c>
      <c r="K27">
        <f t="shared" si="1"/>
        <v>9.1999999999999993</v>
      </c>
      <c r="L27">
        <f>卡牌总表!N27*卡牌总表!O27*参数!$B$5*IF(AND(卡牌总表!F27="能力",卡牌总表!AL27="能力持续"),参数!$B$2,1)+卡牌总表!Q27*参数!$B$6*IF(AND(卡牌总表!F27="能力",卡牌总表!AL27="能力持续"),参数!$B$2,1)+卡牌总表!S27*参数!$B$7*IF(AND(卡牌总表!F27="能力",卡牌总表!AL27="能力持续"),参数!$B$2,1)+卡牌总表!W27*参数!$B$8+IF(卡牌总表!Y27&lt;0,卡牌总表!Y27*参数!$B$13,卡牌总表!Y27*参数!$B$39)+IF(卡牌总表!AE27&lt;0,卡牌总表!AE27*参数!$B$13,卡牌总表!AE27*参数!$B$12)*参数!$B$2+卡牌总表!AR27*参数!$B$15+卡牌总表!AC27*参数!$B$11+卡牌总表!AF27*参数!$B$40*参数!$B$2+卡牌总表!AG27*参数!$B$44*参数!$B$2+卡牌总表!AH27*参数!$B$6*参数!$B$2+卡牌总表!AI27*参数!$B$39*参数!$B$2+卡牌总表!AJ27*参数!$B$6*参数!$B$2+卡牌总表!AA27*参数!$B$13-卡牌总表!U27*参数!$B$14-卡牌总表!AD27*参数!$B$13+IF(ISNUMBER(卡牌总表!AU27),卡牌总表!AU27*参数!$B$38,0)-卡牌总表!AV27*参数!$B$41-卡牌总表!AW27*参数!$B$14</f>
        <v>2.8</v>
      </c>
      <c r="M27">
        <f>IF(AND(卡牌总表!F27="能力",卡牌总表!AL27="能力持续"),参数!$B$2*参数!$B$3,0)</f>
        <v>4.8</v>
      </c>
      <c r="N27">
        <f t="shared" si="2"/>
        <v>7.6</v>
      </c>
      <c r="O27">
        <f>IFERROR(MAX(IF(K27 &gt; 参数!$B$17,参数!$B$17+SQRT(K27-参数!$B$17)*参数!$B$18,K27)-MAX(G27,0)*参数!$B$10,0)/MAX(G27,0.4),0)</f>
        <v>1.5999999999999996</v>
      </c>
      <c r="P27">
        <f>IFERROR(MAX(IF(N27 &gt; 参数!$B$17,参数!$B$17+SQRT(N27-参数!$B$17)*参数!$B$18,N27)-MAX(H27,0)*参数!$B$10,0)/MAX(H27,0.4),0)</f>
        <v>0.79999999999999982</v>
      </c>
      <c r="Q27">
        <f>卡牌总表!AO27</f>
        <v>0</v>
      </c>
    </row>
    <row r="28" spans="1:17" x14ac:dyDescent="0.3">
      <c r="A28">
        <f t="shared" si="0"/>
        <v>27</v>
      </c>
      <c r="B28" t="str">
        <f>卡牌总表!B28</f>
        <v>ironclad_demon_form</v>
      </c>
      <c r="C28" t="str">
        <f>卡牌总表!D28</f>
        <v>恶魔形态</v>
      </c>
      <c r="D28" t="str">
        <f>卡牌总表!F28</f>
        <v>能力</v>
      </c>
      <c r="E28" t="str">
        <f>卡牌总表!AL28</f>
        <v>能力持续</v>
      </c>
      <c r="F28" t="str">
        <f>卡牌总表!AN28</f>
        <v>能力</v>
      </c>
      <c r="G28">
        <f>卡牌总表!AP28</f>
        <v>3</v>
      </c>
      <c r="H28">
        <f>IF(ISNUMBER(卡牌总表!H28),IF(AND(卡牌总表!H28=0,卡牌总表!V28=0,卡牌总表!AK28="none"),0.4,IF(卡牌总表!AK28="exhaust",MAX(卡牌总表!H28-卡牌总表!V28,0.4),IF(卡牌总表!AK28="ethereal",MAX(卡牌总表!H28-卡牌总表!V28,0.4),MAX(卡牌总表!H28-卡牌总表!V28,0.4)))),IF(OR(卡牌总表!H28="X",卡牌总表!H28="∞"),0.4,0.4))</f>
        <v>3</v>
      </c>
      <c r="I28">
        <f>卡牌总表!M28*卡牌总表!O28*参数!$B$5*IF(AND(卡牌总表!F28="能力",卡牌总表!AL28="能力持续"),参数!$B$2,1)+卡牌总表!P28*参数!$B$6*IF(AND(卡牌总表!F28="能力",卡牌总表!AL28="能力持续"),参数!$B$2,1)+卡牌总表!R28*参数!$B$7*IF(AND(卡牌总表!F28="能力",卡牌总表!AL28="能力持续"),参数!$B$2,1)+卡牌总表!V28*参数!$B$8+IF(卡牌总表!X28&lt;0,卡牌总表!X28*参数!$B$13,卡牌总表!X28*参数!$B$39)+IF(卡牌总表!AE28&lt;0,卡牌总表!AE28*参数!$B$13,卡牌总表!AE28*参数!$B$12)*参数!$B$2+卡牌总表!AQ28*参数!$B$15+卡牌总表!AB28*参数!$B$11+卡牌总表!AF28*参数!$B$40*参数!$B$2+卡牌总表!AG28*参数!$B$44*参数!$B$2+卡牌总表!AH28*参数!$B$6*参数!$B$2+卡牌总表!AI28*参数!$B$39*参数!$B$2+卡牌总表!AJ28*参数!$B$6*参数!$B$2+卡牌总表!Z28*参数!$B$13-卡牌总表!T28*参数!$B$14-卡牌总表!AD28*参数!$B$13+IF(ISNUMBER(卡牌总表!AU28),卡牌总表!AU28*参数!$B$38,0)-卡牌总表!AV28*参数!$B$41-卡牌总表!AW28*参数!$B$14</f>
        <v>19.2</v>
      </c>
      <c r="J28">
        <f>IF(AND(卡牌总表!F28="能力",卡牌总表!AL28="能力持续"),(参数!$B$2-1)*参数!$B$3,0)</f>
        <v>3.5999999999999996</v>
      </c>
      <c r="K28">
        <f t="shared" si="1"/>
        <v>22.799999999999997</v>
      </c>
      <c r="L28">
        <f>卡牌总表!N28*卡牌总表!O28*参数!$B$5*IF(AND(卡牌总表!F28="能力",卡牌总表!AL28="能力持续"),参数!$B$2,1)+卡牌总表!Q28*参数!$B$6*IF(AND(卡牌总表!F28="能力",卡牌总表!AL28="能力持续"),参数!$B$2,1)+卡牌总表!S28*参数!$B$7*IF(AND(卡牌总表!F28="能力",卡牌总表!AL28="能力持续"),参数!$B$2,1)+卡牌总表!W28*参数!$B$8+IF(卡牌总表!Y28&lt;0,卡牌总表!Y28*参数!$B$13,卡牌总表!Y28*参数!$B$39)+IF(卡牌总表!AE28&lt;0,卡牌总表!AE28*参数!$B$13,卡牌总表!AE28*参数!$B$12)*参数!$B$2+卡牌总表!AR28*参数!$B$15+卡牌总表!AC28*参数!$B$11+卡牌总表!AF28*参数!$B$40*参数!$B$2+卡牌总表!AG28*参数!$B$44*参数!$B$2+卡牌总表!AH28*参数!$B$6*参数!$B$2+卡牌总表!AI28*参数!$B$39*参数!$B$2+卡牌总表!AJ28*参数!$B$6*参数!$B$2+卡牌总表!AA28*参数!$B$13-卡牌总表!U28*参数!$B$14-卡牌总表!AD28*参数!$B$13+IF(ISNUMBER(卡牌总表!AU28),卡牌总表!AU28*参数!$B$38,0)-卡牌总表!AV28*参数!$B$41-卡牌总表!AW28*参数!$B$14</f>
        <v>19.2</v>
      </c>
      <c r="M28">
        <f>IF(AND(卡牌总表!F28="能力",卡牌总表!AL28="能力持续"),参数!$B$2*参数!$B$3,0)</f>
        <v>4.8</v>
      </c>
      <c r="N28">
        <f t="shared" si="2"/>
        <v>24</v>
      </c>
      <c r="O28">
        <f>IFERROR(MAX(IF(K28 &gt; 参数!$B$17,参数!$B$17+SQRT(K28-参数!$B$17)*参数!$B$18,K28)-MAX(G28,0)*参数!$B$10,0)/MAX(G28,0.4),0)</f>
        <v>2.122187715333165</v>
      </c>
      <c r="P28">
        <f>IFERROR(MAX(IF(N28 &gt; 参数!$B$17,参数!$B$17+SQRT(N28-参数!$B$17)*参数!$B$18,N28)-MAX(H28,0)*参数!$B$10,0)/MAX(H28,0.4),0)</f>
        <v>2.2041620267203044</v>
      </c>
      <c r="Q28">
        <f>卡牌总表!AO28</f>
        <v>0</v>
      </c>
    </row>
    <row r="29" spans="1:17" x14ac:dyDescent="0.3">
      <c r="A29">
        <f t="shared" si="0"/>
        <v>28</v>
      </c>
      <c r="B29" t="str">
        <f>卡牌总表!B29</f>
        <v>ironclad_demonic_shield</v>
      </c>
      <c r="C29" t="str">
        <f>卡牌总表!D29</f>
        <v>恶魔护盾</v>
      </c>
      <c r="D29" t="str">
        <f>卡牌总表!F29</f>
        <v>技能</v>
      </c>
      <c r="E29">
        <f>卡牌总表!AL29</f>
        <v>0</v>
      </c>
      <c r="F29">
        <f>卡牌总表!AN29</f>
        <v>0</v>
      </c>
      <c r="G29">
        <f>卡牌总表!AP29</f>
        <v>0.4</v>
      </c>
      <c r="H29">
        <f>IF(ISNUMBER(卡牌总表!H29),IF(AND(卡牌总表!H29=0,卡牌总表!V29=0,卡牌总表!AK29="none"),0.4,IF(卡牌总表!AK29="exhaust",MAX(卡牌总表!H29-卡牌总表!V29,0.4),IF(卡牌总表!AK29="ethereal",MAX(卡牌总表!H29-卡牌总表!V29,0.4),MAX(卡牌总表!H29-卡牌总表!V29,0.4)))),IF(OR(卡牌总表!H29="X",卡牌总表!H29="∞"),0.4,0.4))</f>
        <v>0.4</v>
      </c>
      <c r="I29">
        <f>卡牌总表!M29*卡牌总表!O29*参数!$B$5*IF(AND(卡牌总表!F29="能力",卡牌总表!AL29="能力持续"),参数!$B$2,1)+卡牌总表!P29*参数!$B$6*IF(AND(卡牌总表!F29="能力",卡牌总表!AL29="能力持续"),参数!$B$2,1)+卡牌总表!R29*参数!$B$7*IF(AND(卡牌总表!F29="能力",卡牌总表!AL29="能力持续"),参数!$B$2,1)+卡牌总表!V29*参数!$B$8+IF(卡牌总表!X29&lt;0,卡牌总表!X29*参数!$B$13,卡牌总表!X29*参数!$B$39)+IF(卡牌总表!AE29&lt;0,卡牌总表!AE29*参数!$B$13,卡牌总表!AE29*参数!$B$12)*参数!$B$2+卡牌总表!AQ29*参数!$B$15+卡牌总表!AB29*参数!$B$11+卡牌总表!AF29*参数!$B$40*参数!$B$2+卡牌总表!AG29*参数!$B$44*参数!$B$2+卡牌总表!AH29*参数!$B$6*参数!$B$2+卡牌总表!AI29*参数!$B$39*参数!$B$2+卡牌总表!AJ29*参数!$B$6*参数!$B$2+卡牌总表!Z29*参数!$B$13-卡牌总表!T29*参数!$B$14-卡牌总表!AD29*参数!$B$13+IF(ISNUMBER(卡牌总表!AU29),卡牌总表!AU29*参数!$B$38,0)-卡牌总表!AV29*参数!$B$41-卡牌总表!AW29*参数!$B$14</f>
        <v>5.8000000000000007</v>
      </c>
      <c r="J29">
        <f>IF(AND(卡牌总表!F29="能力",卡牌总表!AL29="能力持续"),(参数!$B$2-1)*参数!$B$3,0)</f>
        <v>0</v>
      </c>
      <c r="K29">
        <f t="shared" si="1"/>
        <v>5.8000000000000007</v>
      </c>
      <c r="L29">
        <f>卡牌总表!N29*卡牌总表!O29*参数!$B$5*IF(AND(卡牌总表!F29="能力",卡牌总表!AL29="能力持续"),参数!$B$2,1)+卡牌总表!Q29*参数!$B$6*IF(AND(卡牌总表!F29="能力",卡牌总表!AL29="能力持续"),参数!$B$2,1)+卡牌总表!S29*参数!$B$7*IF(AND(卡牌总表!F29="能力",卡牌总表!AL29="能力持续"),参数!$B$2,1)+卡牌总表!W29*参数!$B$8+IF(卡牌总表!Y29&lt;0,卡牌总表!Y29*参数!$B$13,卡牌总表!Y29*参数!$B$39)+IF(卡牌总表!AE29&lt;0,卡牌总表!AE29*参数!$B$13,卡牌总表!AE29*参数!$B$12)*参数!$B$2+卡牌总表!AR29*参数!$B$15+卡牌总表!AC29*参数!$B$11+卡牌总表!AF29*参数!$B$40*参数!$B$2+卡牌总表!AG29*参数!$B$44*参数!$B$2+卡牌总表!AH29*参数!$B$6*参数!$B$2+卡牌总表!AI29*参数!$B$39*参数!$B$2+卡牌总表!AJ29*参数!$B$6*参数!$B$2+卡牌总表!AA29*参数!$B$13-卡牌总表!U29*参数!$B$14-卡牌总表!AD29*参数!$B$13+IF(ISNUMBER(卡牌总表!AU29),卡牌总表!AU29*参数!$B$38,0)-卡牌总表!AV29*参数!$B$41-卡牌总表!AW29*参数!$B$14</f>
        <v>-3</v>
      </c>
      <c r="M29">
        <f>IF(AND(卡牌总表!F29="能力",卡牌总表!AL29="能力持续"),参数!$B$2*参数!$B$3,0)</f>
        <v>0</v>
      </c>
      <c r="N29">
        <f t="shared" si="2"/>
        <v>-3</v>
      </c>
      <c r="O29">
        <f>IFERROR(MAX(IF(K29 &gt; 参数!$B$17,参数!$B$17+SQRT(K29-参数!$B$17)*参数!$B$18,K29)-MAX(G29,0)*参数!$B$10,0)/MAX(G29,0.4),0)</f>
        <v>11.5</v>
      </c>
      <c r="P29">
        <f>IFERROR(MAX(IF(N29 &gt; 参数!$B$17,参数!$B$17+SQRT(N29-参数!$B$17)*参数!$B$18,N29)-MAX(H29,0)*参数!$B$10,0)/MAX(H29,0.4),0)</f>
        <v>0</v>
      </c>
      <c r="Q29">
        <f>卡牌总表!AO29</f>
        <v>0</v>
      </c>
    </row>
    <row r="30" spans="1:17" x14ac:dyDescent="0.3">
      <c r="A30">
        <f t="shared" si="0"/>
        <v>29</v>
      </c>
      <c r="B30" t="str">
        <f>卡牌总表!B30</f>
        <v>ironclad_dismantle</v>
      </c>
      <c r="C30" t="str">
        <f>卡牌总表!D30</f>
        <v>拆卸</v>
      </c>
      <c r="D30" t="str">
        <f>卡牌总表!F30</f>
        <v>攻击</v>
      </c>
      <c r="E30">
        <f>卡牌总表!AL30</f>
        <v>0</v>
      </c>
      <c r="F30">
        <f>卡牌总表!AN30</f>
        <v>0</v>
      </c>
      <c r="G30">
        <f>卡牌总表!AP30</f>
        <v>1</v>
      </c>
      <c r="H30">
        <f>IF(ISNUMBER(卡牌总表!H30),IF(AND(卡牌总表!H30=0,卡牌总表!V30=0,卡牌总表!AK30="none"),0.4,IF(卡牌总表!AK30="exhaust",MAX(卡牌总表!H30-卡牌总表!V30,0.4),IF(卡牌总表!AK30="ethereal",MAX(卡牌总表!H30-卡牌总表!V30,0.4),MAX(卡牌总表!H30-卡牌总表!V30,0.4)))),IF(OR(卡牌总表!H30="X",卡牌总表!H30="∞"),0.4,0.4))</f>
        <v>1</v>
      </c>
      <c r="I30">
        <f>卡牌总表!M30*卡牌总表!O30*参数!$B$5*IF(AND(卡牌总表!F30="能力",卡牌总表!AL30="能力持续"),参数!$B$2,1)+卡牌总表!P30*参数!$B$6*IF(AND(卡牌总表!F30="能力",卡牌总表!AL30="能力持续"),参数!$B$2,1)+卡牌总表!R30*参数!$B$7*IF(AND(卡牌总表!F30="能力",卡牌总表!AL30="能力持续"),参数!$B$2,1)+卡牌总表!V30*参数!$B$8+IF(卡牌总表!X30&lt;0,卡牌总表!X30*参数!$B$13,卡牌总表!X30*参数!$B$39)+IF(卡牌总表!AE30&lt;0,卡牌总表!AE30*参数!$B$13,卡牌总表!AE30*参数!$B$12)*参数!$B$2+卡牌总表!AQ30*参数!$B$15+卡牌总表!AB30*参数!$B$11+卡牌总表!AF30*参数!$B$40*参数!$B$2+卡牌总表!AG30*参数!$B$44*参数!$B$2+卡牌总表!AH30*参数!$B$6*参数!$B$2+卡牌总表!AI30*参数!$B$39*参数!$B$2+卡牌总表!AJ30*参数!$B$6*参数!$B$2+卡牌总表!Z30*参数!$B$13-卡牌总表!T30*参数!$B$14-卡牌总表!AD30*参数!$B$13+IF(ISNUMBER(卡牌总表!AU30),卡牌总表!AU30*参数!$B$38,0)-卡牌总表!AV30*参数!$B$41-卡牌总表!AW30*参数!$B$14</f>
        <v>16</v>
      </c>
      <c r="J30">
        <f>IF(AND(卡牌总表!F30="能力",卡牌总表!AL30="能力持续"),(参数!$B$2-1)*参数!$B$3,0)</f>
        <v>0</v>
      </c>
      <c r="K30">
        <f t="shared" si="1"/>
        <v>16</v>
      </c>
      <c r="L30">
        <f>卡牌总表!N30*卡牌总表!O30*参数!$B$5*IF(AND(卡牌总表!F30="能力",卡牌总表!AL30="能力持续"),参数!$B$2,1)+卡牌总表!Q30*参数!$B$6*IF(AND(卡牌总表!F30="能力",卡牌总表!AL30="能力持续"),参数!$B$2,1)+卡牌总表!S30*参数!$B$7*IF(AND(卡牌总表!F30="能力",卡牌总表!AL30="能力持续"),参数!$B$2,1)+卡牌总表!W30*参数!$B$8+IF(卡牌总表!Y30&lt;0,卡牌总表!Y30*参数!$B$13,卡牌总表!Y30*参数!$B$39)+IF(卡牌总表!AE30&lt;0,卡牌总表!AE30*参数!$B$13,卡牌总表!AE30*参数!$B$12)*参数!$B$2+卡牌总表!AR30*参数!$B$15+卡牌总表!AC30*参数!$B$11+卡牌总表!AF30*参数!$B$40*参数!$B$2+卡牌总表!AG30*参数!$B$44*参数!$B$2+卡牌总表!AH30*参数!$B$6*参数!$B$2+卡牌总表!AI30*参数!$B$39*参数!$B$2+卡牌总表!AJ30*参数!$B$6*参数!$B$2+卡牌总表!AA30*参数!$B$13-卡牌总表!U30*参数!$B$14-卡牌总表!AD30*参数!$B$13+IF(ISNUMBER(卡牌总表!AU30),卡牌总表!AU30*参数!$B$38,0)-卡牌总表!AV30*参数!$B$41-卡牌总表!AW30*参数!$B$14</f>
        <v>20</v>
      </c>
      <c r="M30">
        <f>IF(AND(卡牌总表!F30="能力",卡牌总表!AL30="能力持续"),参数!$B$2*参数!$B$3,0)</f>
        <v>0</v>
      </c>
      <c r="N30">
        <f t="shared" si="2"/>
        <v>20</v>
      </c>
      <c r="O30">
        <f>IFERROR(MAX(IF(K30 &gt; 参数!$B$17,参数!$B$17+SQRT(K30-参数!$B$17)*参数!$B$18,K30)-MAX(G30,0)*参数!$B$10,0)/MAX(G30,0.4),0)</f>
        <v>10.674234614174766</v>
      </c>
      <c r="P30">
        <f>IFERROR(MAX(IF(N30 &gt; 参数!$B$17,参数!$B$17+SQRT(N30-参数!$B$17)*参数!$B$18,N30)-MAX(H30,0)*参数!$B$10,0)/MAX(H30,0.4),0)</f>
        <v>11.743416490252569</v>
      </c>
      <c r="Q30">
        <f>卡牌总表!AO30</f>
        <v>0</v>
      </c>
    </row>
    <row r="31" spans="1:17" x14ac:dyDescent="0.3">
      <c r="A31">
        <f t="shared" si="0"/>
        <v>30</v>
      </c>
      <c r="B31" t="str">
        <f>卡牌总表!B31</f>
        <v>ironclad_dominate</v>
      </c>
      <c r="C31" t="str">
        <f>卡牌总表!D31</f>
        <v>主宰</v>
      </c>
      <c r="D31" t="str">
        <f>卡牌总表!F31</f>
        <v>技能</v>
      </c>
      <c r="E31">
        <f>卡牌总表!AL31</f>
        <v>0</v>
      </c>
      <c r="F31">
        <f>卡牌总表!AN31</f>
        <v>0</v>
      </c>
      <c r="G31">
        <f>卡牌总表!AP31</f>
        <v>1</v>
      </c>
      <c r="H31">
        <f>IF(ISNUMBER(卡牌总表!H31),IF(AND(卡牌总表!H31=0,卡牌总表!V31=0,卡牌总表!AK31="none"),0.4,IF(卡牌总表!AK31="exhaust",MAX(卡牌总表!H31-卡牌总表!V31,0.4),IF(卡牌总表!AK31="ethereal",MAX(卡牌总表!H31-卡牌总表!V31,0.4),MAX(卡牌总表!H31-卡牌总表!V31,0.4)))),IF(OR(卡牌总表!H31="X",卡牌总表!H31="∞"),0.4,0.4))</f>
        <v>1</v>
      </c>
      <c r="I31">
        <f>卡牌总表!M31*卡牌总表!O31*参数!$B$5*IF(AND(卡牌总表!F31="能力",卡牌总表!AL31="能力持续"),参数!$B$2,1)+卡牌总表!P31*参数!$B$6*IF(AND(卡牌总表!F31="能力",卡牌总表!AL31="能力持续"),参数!$B$2,1)+卡牌总表!R31*参数!$B$7*IF(AND(卡牌总表!F31="能力",卡牌总表!AL31="能力持续"),参数!$B$2,1)+卡牌总表!V31*参数!$B$8+IF(卡牌总表!X31&lt;0,卡牌总表!X31*参数!$B$13,卡牌总表!X31*参数!$B$39)+IF(卡牌总表!AE31&lt;0,卡牌总表!AE31*参数!$B$13,卡牌总表!AE31*参数!$B$12)*参数!$B$2+卡牌总表!AQ31*参数!$B$15+卡牌总表!AB31*参数!$B$11+卡牌总表!AF31*参数!$B$40*参数!$B$2+卡牌总表!AG31*参数!$B$44*参数!$B$2+卡牌总表!AH31*参数!$B$6*参数!$B$2+卡牌总表!AI31*参数!$B$39*参数!$B$2+卡牌总表!AJ31*参数!$B$6*参数!$B$2+卡牌总表!Z31*参数!$B$13-卡牌总表!T31*参数!$B$14-卡牌总表!AD31*参数!$B$13+IF(ISNUMBER(卡牌总表!AU31),卡牌总表!AU31*参数!$B$38,0)-卡牌总表!AV31*参数!$B$41-卡牌总表!AW31*参数!$B$14</f>
        <v>9.6</v>
      </c>
      <c r="J31">
        <f>IF(AND(卡牌总表!F31="能力",卡牌总表!AL31="能力持续"),(参数!$B$2-1)*参数!$B$3,0)</f>
        <v>0</v>
      </c>
      <c r="K31">
        <f t="shared" si="1"/>
        <v>9.6</v>
      </c>
      <c r="L31">
        <f>卡牌总表!N31*卡牌总表!O31*参数!$B$5*IF(AND(卡牌总表!F31="能力",卡牌总表!AL31="能力持续"),参数!$B$2,1)+卡牌总表!Q31*参数!$B$6*IF(AND(卡牌总表!F31="能力",卡牌总表!AL31="能力持续"),参数!$B$2,1)+卡牌总表!S31*参数!$B$7*IF(AND(卡牌总表!F31="能力",卡牌总表!AL31="能力持续"),参数!$B$2,1)+卡牌总表!W31*参数!$B$8+IF(卡牌总表!Y31&lt;0,卡牌总表!Y31*参数!$B$13,卡牌总表!Y31*参数!$B$39)+IF(卡牌总表!AE31&lt;0,卡牌总表!AE31*参数!$B$13,卡牌总表!AE31*参数!$B$12)*参数!$B$2+卡牌总表!AR31*参数!$B$15+卡牌总表!AC31*参数!$B$11+卡牌总表!AF31*参数!$B$40*参数!$B$2+卡牌总表!AG31*参数!$B$44*参数!$B$2+卡牌总表!AH31*参数!$B$6*参数!$B$2+卡牌总表!AI31*参数!$B$39*参数!$B$2+卡牌总表!AJ31*参数!$B$6*参数!$B$2+卡牌总表!AA31*参数!$B$13-卡牌总表!U31*参数!$B$14-卡牌总表!AD31*参数!$B$13+IF(ISNUMBER(卡牌总表!AU31),卡牌总表!AU31*参数!$B$38,0)-卡牌总表!AV31*参数!$B$41-卡牌总表!AW31*参数!$B$14</f>
        <v>9.6</v>
      </c>
      <c r="M31">
        <f>IF(AND(卡牌总表!F31="能力",卡牌总表!AL31="能力持续"),参数!$B$2*参数!$B$3,0)</f>
        <v>0</v>
      </c>
      <c r="N31">
        <f t="shared" si="2"/>
        <v>9.6</v>
      </c>
      <c r="O31">
        <f>IFERROR(MAX(IF(K31 &gt; 参数!$B$17,参数!$B$17+SQRT(K31-参数!$B$17)*参数!$B$18,K31)-MAX(G31,0)*参数!$B$10,0)/MAX(G31,0.4),0)</f>
        <v>6.6</v>
      </c>
      <c r="P31">
        <f>IFERROR(MAX(IF(N31 &gt; 参数!$B$17,参数!$B$17+SQRT(N31-参数!$B$17)*参数!$B$18,N31)-MAX(H31,0)*参数!$B$10,0)/MAX(H31,0.4),0)</f>
        <v>6.6</v>
      </c>
      <c r="Q31">
        <f>卡牌总表!AO31</f>
        <v>0</v>
      </c>
    </row>
    <row r="32" spans="1:17" x14ac:dyDescent="0.3">
      <c r="A32">
        <f t="shared" si="0"/>
        <v>31</v>
      </c>
      <c r="B32" t="str">
        <f>卡牌总表!B32</f>
        <v>ironclad_drum_of_battle</v>
      </c>
      <c r="C32" t="str">
        <f>卡牌总表!D32</f>
        <v>战鼓</v>
      </c>
      <c r="D32" t="str">
        <f>卡牌总表!F32</f>
        <v>能力</v>
      </c>
      <c r="E32" t="str">
        <f>卡牌总表!AL32</f>
        <v>能力持续</v>
      </c>
      <c r="F32" t="str">
        <f>卡牌总表!AN32</f>
        <v>能力</v>
      </c>
      <c r="G32">
        <f>卡牌总表!AP32</f>
        <v>1</v>
      </c>
      <c r="H32">
        <f>IF(ISNUMBER(卡牌总表!H32),IF(AND(卡牌总表!H32=0,卡牌总表!V32=0,卡牌总表!AK32="none"),0.4,IF(卡牌总表!AK32="exhaust",MAX(卡牌总表!H32-卡牌总表!V32,0.4),IF(卡牌总表!AK32="ethereal",MAX(卡牌总表!H32-卡牌总表!V32,0.4),MAX(卡牌总表!H32-卡牌总表!V32,0.4)))),IF(OR(卡牌总表!H32="X",卡牌总表!H32="∞"),0.4,0.4))</f>
        <v>1</v>
      </c>
      <c r="I32">
        <f>卡牌总表!M32*卡牌总表!O32*参数!$B$5*IF(AND(卡牌总表!F32="能力",卡牌总表!AL32="能力持续"),参数!$B$2,1)+卡牌总表!P32*参数!$B$6*IF(AND(卡牌总表!F32="能力",卡牌总表!AL32="能力持续"),参数!$B$2,1)+卡牌总表!R32*参数!$B$7*IF(AND(卡牌总表!F32="能力",卡牌总表!AL32="能力持续"),参数!$B$2,1)+卡牌总表!V32*参数!$B$8+IF(卡牌总表!X32&lt;0,卡牌总表!X32*参数!$B$13,卡牌总表!X32*参数!$B$39)+IF(卡牌总表!AE32&lt;0,卡牌总表!AE32*参数!$B$13,卡牌总表!AE32*参数!$B$12)*参数!$B$2+卡牌总表!AQ32*参数!$B$15+卡牌总表!AB32*参数!$B$11+卡牌总表!AF32*参数!$B$40*参数!$B$2+卡牌总表!AG32*参数!$B$44*参数!$B$2+卡牌总表!AH32*参数!$B$6*参数!$B$2+卡牌总表!AI32*参数!$B$39*参数!$B$2+卡牌总表!AJ32*参数!$B$6*参数!$B$2+卡牌总表!Z32*参数!$B$13-卡牌总表!T32*参数!$B$14-卡牌总表!AD32*参数!$B$13+IF(ISNUMBER(卡牌总表!AU32),卡牌总表!AU32*参数!$B$38,0)-卡牌总表!AV32*参数!$B$41-卡牌总表!AW32*参数!$B$14</f>
        <v>5.6</v>
      </c>
      <c r="J32">
        <f>IF(AND(卡牌总表!F32="能力",卡牌总表!AL32="能力持续"),(参数!$B$2-1)*参数!$B$3,0)</f>
        <v>3.5999999999999996</v>
      </c>
      <c r="K32">
        <f t="shared" si="1"/>
        <v>9.1999999999999993</v>
      </c>
      <c r="L32">
        <f>卡牌总表!N32*卡牌总表!O32*参数!$B$5*IF(AND(卡牌总表!F32="能力",卡牌总表!AL32="能力持续"),参数!$B$2,1)+卡牌总表!Q32*参数!$B$6*IF(AND(卡牌总表!F32="能力",卡牌总表!AL32="能力持续"),参数!$B$2,1)+卡牌总表!S32*参数!$B$7*IF(AND(卡牌总表!F32="能力",卡牌总表!AL32="能力持续"),参数!$B$2,1)+卡牌总表!W32*参数!$B$8+IF(卡牌总表!Y32&lt;0,卡牌总表!Y32*参数!$B$13,卡牌总表!Y32*参数!$B$39)+IF(卡牌总表!AE32&lt;0,卡牌总表!AE32*参数!$B$13,卡牌总表!AE32*参数!$B$12)*参数!$B$2+卡牌总表!AR32*参数!$B$15+卡牌总表!AC32*参数!$B$11+卡牌总表!AF32*参数!$B$40*参数!$B$2+卡牌总表!AG32*参数!$B$44*参数!$B$2+卡牌总表!AH32*参数!$B$6*参数!$B$2+卡牌总表!AI32*参数!$B$39*参数!$B$2+卡牌总表!AJ32*参数!$B$6*参数!$B$2+卡牌总表!AA32*参数!$B$13-卡牌总表!U32*参数!$B$14-卡牌总表!AD32*参数!$B$13+IF(ISNUMBER(卡牌总表!AU32),卡牌总表!AU32*参数!$B$38,0)-卡牌总表!AV32*参数!$B$41-卡牌总表!AW32*参数!$B$14</f>
        <v>8.3999999999999986</v>
      </c>
      <c r="M32">
        <f>IF(AND(卡牌总表!F32="能力",卡牌总表!AL32="能力持续"),参数!$B$2*参数!$B$3,0)</f>
        <v>4.8</v>
      </c>
      <c r="N32">
        <f t="shared" si="2"/>
        <v>13.2</v>
      </c>
      <c r="O32">
        <f>IFERROR(MAX(IF(K32 &gt; 参数!$B$17,参数!$B$17+SQRT(K32-参数!$B$17)*参数!$B$18,K32)-MAX(G32,0)*参数!$B$10,0)/MAX(G32,0.4),0)</f>
        <v>6.1999999999999993</v>
      </c>
      <c r="P32">
        <f>IFERROR(MAX(IF(N32 &gt; 参数!$B$17,参数!$B$17+SQRT(N32-参数!$B$17)*参数!$B$18,N32)-MAX(H32,0)*参数!$B$10,0)/MAX(H32,0.4),0)</f>
        <v>9.6832815729997463</v>
      </c>
      <c r="Q32" t="str">
        <f>卡牌总表!AO32</f>
        <v>含消耗其他牌效果</v>
      </c>
    </row>
    <row r="33" spans="1:17" x14ac:dyDescent="0.3">
      <c r="A33">
        <f t="shared" si="0"/>
        <v>32</v>
      </c>
      <c r="B33" t="str">
        <f>卡牌总表!B33</f>
        <v>ironclad_evil_eye</v>
      </c>
      <c r="C33" t="str">
        <f>卡牌总表!D33</f>
        <v>邪眼</v>
      </c>
      <c r="D33" t="str">
        <f>卡牌总表!F33</f>
        <v>技能</v>
      </c>
      <c r="E33">
        <f>卡牌总表!AL33</f>
        <v>0</v>
      </c>
      <c r="F33" t="str">
        <f>卡牌总表!AN33</f>
        <v>本回合</v>
      </c>
      <c r="G33">
        <f>卡牌总表!AP33</f>
        <v>1</v>
      </c>
      <c r="H33">
        <f>IF(ISNUMBER(卡牌总表!H33),IF(AND(卡牌总表!H33=0,卡牌总表!V33=0,卡牌总表!AK33="none"),0.4,IF(卡牌总表!AK33="exhaust",MAX(卡牌总表!H33-卡牌总表!V33,0.4),IF(卡牌总表!AK33="ethereal",MAX(卡牌总表!H33-卡牌总表!V33,0.4),MAX(卡牌总表!H33-卡牌总表!V33,0.4)))),IF(OR(卡牌总表!H33="X",卡牌总表!H33="∞"),0.4,0.4))</f>
        <v>1</v>
      </c>
      <c r="I33">
        <f>卡牌总表!M33*卡牌总表!O33*参数!$B$5*IF(AND(卡牌总表!F33="能力",卡牌总表!AL33="能力持续"),参数!$B$2,1)+卡牌总表!P33*参数!$B$6*IF(AND(卡牌总表!F33="能力",卡牌总表!AL33="能力持续"),参数!$B$2,1)+卡牌总表!R33*参数!$B$7*IF(AND(卡牌总表!F33="能力",卡牌总表!AL33="能力持续"),参数!$B$2,1)+卡牌总表!V33*参数!$B$8+IF(卡牌总表!X33&lt;0,卡牌总表!X33*参数!$B$13,卡牌总表!X33*参数!$B$39)+IF(卡牌总表!AE33&lt;0,卡牌总表!AE33*参数!$B$13,卡牌总表!AE33*参数!$B$12)*参数!$B$2+卡牌总表!AQ33*参数!$B$15+卡牌总表!AB33*参数!$B$11+卡牌总表!AF33*参数!$B$40*参数!$B$2+卡牌总表!AG33*参数!$B$44*参数!$B$2+卡牌总表!AH33*参数!$B$6*参数!$B$2+卡牌总表!AI33*参数!$B$39*参数!$B$2+卡牌总表!AJ33*参数!$B$6*参数!$B$2+卡牌总表!Z33*参数!$B$13-卡牌总表!T33*参数!$B$14-卡牌总表!AD33*参数!$B$13+IF(ISNUMBER(卡牌总表!AU33),卡牌总表!AU33*参数!$B$38,0)-卡牌总表!AV33*参数!$B$41-卡牌总表!AW33*参数!$B$14</f>
        <v>8.8000000000000007</v>
      </c>
      <c r="J33">
        <f>IF(AND(卡牌总表!F33="能力",卡牌总表!AL33="能力持续"),(参数!$B$2-1)*参数!$B$3,0)</f>
        <v>0</v>
      </c>
      <c r="K33">
        <f t="shared" si="1"/>
        <v>8.8000000000000007</v>
      </c>
      <c r="L33">
        <f>卡牌总表!N33*卡牌总表!O33*参数!$B$5*IF(AND(卡牌总表!F33="能力",卡牌总表!AL33="能力持续"),参数!$B$2,1)+卡牌总表!Q33*参数!$B$6*IF(AND(卡牌总表!F33="能力",卡牌总表!AL33="能力持续"),参数!$B$2,1)+卡牌总表!S33*参数!$B$7*IF(AND(卡牌总表!F33="能力",卡牌总表!AL33="能力持续"),参数!$B$2,1)+卡牌总表!W33*参数!$B$8+IF(卡牌总表!Y33&lt;0,卡牌总表!Y33*参数!$B$13,卡牌总表!Y33*参数!$B$39)+IF(卡牌总表!AE33&lt;0,卡牌总表!AE33*参数!$B$13,卡牌总表!AE33*参数!$B$12)*参数!$B$2+卡牌总表!AR33*参数!$B$15+卡牌总表!AC33*参数!$B$11+卡牌总表!AF33*参数!$B$40*参数!$B$2+卡牌总表!AG33*参数!$B$44*参数!$B$2+卡牌总表!AH33*参数!$B$6*参数!$B$2+卡牌总表!AI33*参数!$B$39*参数!$B$2+卡牌总表!AJ33*参数!$B$6*参数!$B$2+卡牌总表!AA33*参数!$B$13-卡牌总表!U33*参数!$B$14-卡牌总表!AD33*参数!$B$13+IF(ISNUMBER(卡牌总表!AU33),卡牌总表!AU33*参数!$B$38,0)-卡牌总表!AV33*参数!$B$41-卡牌总表!AW33*参数!$B$14</f>
        <v>12.100000000000001</v>
      </c>
      <c r="M33">
        <f>IF(AND(卡牌总表!F33="能力",卡牌总表!AL33="能力持续"),参数!$B$2*参数!$B$3,0)</f>
        <v>0</v>
      </c>
      <c r="N33">
        <f t="shared" si="2"/>
        <v>12.100000000000001</v>
      </c>
      <c r="O33">
        <f>IFERROR(MAX(IF(K33 &gt; 参数!$B$17,参数!$B$17+SQRT(K33-参数!$B$17)*参数!$B$18,K33)-MAX(G33,0)*参数!$B$10,0)/MAX(G33,0.4),0)</f>
        <v>5.8000000000000007</v>
      </c>
      <c r="P33">
        <f>IFERROR(MAX(IF(N33 &gt; 参数!$B$17,参数!$B$17+SQRT(N33-参数!$B$17)*参数!$B$18,N33)-MAX(H33,0)*参数!$B$10,0)/MAX(H33,0.4),0)</f>
        <v>9.1737065119284171</v>
      </c>
      <c r="Q33">
        <f>卡牌总表!AO33</f>
        <v>0</v>
      </c>
    </row>
    <row r="34" spans="1:17" x14ac:dyDescent="0.3">
      <c r="A34">
        <f t="shared" si="0"/>
        <v>33</v>
      </c>
      <c r="B34" t="str">
        <f>卡牌总表!B34</f>
        <v>ironclad_expect_a_fight</v>
      </c>
      <c r="C34" t="str">
        <f>卡牌总表!D34</f>
        <v>跃跃欲试</v>
      </c>
      <c r="D34" t="str">
        <f>卡牌总表!F34</f>
        <v>技能</v>
      </c>
      <c r="E34">
        <f>卡牌总表!AL34</f>
        <v>0</v>
      </c>
      <c r="F34">
        <f>卡牌总表!AN34</f>
        <v>0</v>
      </c>
      <c r="G34">
        <f>卡牌总表!AP34</f>
        <v>0.4</v>
      </c>
      <c r="H34">
        <f>IF(ISNUMBER(卡牌总表!H34),IF(AND(卡牌总表!H34=0,卡牌总表!V34=0,卡牌总表!AK34="none"),0.4,IF(卡牌总表!AK34="exhaust",MAX(卡牌总表!H34-卡牌总表!V34,0.4),IF(卡牌总表!AK34="ethereal",MAX(卡牌总表!H34-卡牌总表!V34,0.4),MAX(卡牌总表!H34-卡牌总表!V34,0.4)))),IF(OR(卡牌总表!H34="X",卡牌总表!H34="∞"),0.4,0.4))</f>
        <v>0.4</v>
      </c>
      <c r="I34">
        <f>卡牌总表!M34*卡牌总表!O34*参数!$B$5*IF(AND(卡牌总表!F34="能力",卡牌总表!AL34="能力持续"),参数!$B$2,1)+卡牌总表!P34*参数!$B$6*IF(AND(卡牌总表!F34="能力",卡牌总表!AL34="能力持续"),参数!$B$2,1)+卡牌总表!R34*参数!$B$7*IF(AND(卡牌总表!F34="能力",卡牌总表!AL34="能力持续"),参数!$B$2,1)+卡牌总表!V34*参数!$B$8+IF(卡牌总表!X34&lt;0,卡牌总表!X34*参数!$B$13,卡牌总表!X34*参数!$B$39)+IF(卡牌总表!AE34&lt;0,卡牌总表!AE34*参数!$B$13,卡牌总表!AE34*参数!$B$12)*参数!$B$2+卡牌总表!AQ34*参数!$B$15+卡牌总表!AB34*参数!$B$11+卡牌总表!AF34*参数!$B$40*参数!$B$2+卡牌总表!AG34*参数!$B$44*参数!$B$2+卡牌总表!AH34*参数!$B$6*参数!$B$2+卡牌总表!AI34*参数!$B$39*参数!$B$2+卡牌总表!AJ34*参数!$B$6*参数!$B$2+卡牌总表!Z34*参数!$B$13-卡牌总表!T34*参数!$B$14-卡牌总表!AD34*参数!$B$13+IF(ISNUMBER(卡牌总表!AU34),卡牌总表!AU34*参数!$B$38,0)-卡牌总表!AV34*参数!$B$41-卡牌总表!AW34*参数!$B$14</f>
        <v>7.5</v>
      </c>
      <c r="J34">
        <f>IF(AND(卡牌总表!F34="能力",卡牌总表!AL34="能力持续"),(参数!$B$2-1)*参数!$B$3,0)</f>
        <v>0</v>
      </c>
      <c r="K34">
        <f t="shared" si="1"/>
        <v>7.5</v>
      </c>
      <c r="L34">
        <f>卡牌总表!N34*卡牌总表!O34*参数!$B$5*IF(AND(卡牌总表!F34="能力",卡牌总表!AL34="能力持续"),参数!$B$2,1)+卡牌总表!Q34*参数!$B$6*IF(AND(卡牌总表!F34="能力",卡牌总表!AL34="能力持续"),参数!$B$2,1)+卡牌总表!S34*参数!$B$7*IF(AND(卡牌总表!F34="能力",卡牌总表!AL34="能力持续"),参数!$B$2,1)+卡牌总表!W34*参数!$B$8+IF(卡牌总表!Y34&lt;0,卡牌总表!Y34*参数!$B$13,卡牌总表!Y34*参数!$B$39)+IF(卡牌总表!AE34&lt;0,卡牌总表!AE34*参数!$B$13,卡牌总表!AE34*参数!$B$12)*参数!$B$2+卡牌总表!AR34*参数!$B$15+卡牌总表!AC34*参数!$B$11+卡牌总表!AF34*参数!$B$40*参数!$B$2+卡牌总表!AG34*参数!$B$44*参数!$B$2+卡牌总表!AH34*参数!$B$6*参数!$B$2+卡牌总表!AI34*参数!$B$39*参数!$B$2+卡牌总表!AJ34*参数!$B$6*参数!$B$2+卡牌总表!AA34*参数!$B$13-卡牌总表!U34*参数!$B$14-卡牌总表!AD34*参数!$B$13+IF(ISNUMBER(卡牌总表!AU34),卡牌总表!AU34*参数!$B$38,0)-卡牌总表!AV34*参数!$B$41-卡牌总表!AW34*参数!$B$14</f>
        <v>10.5</v>
      </c>
      <c r="M34">
        <f>IF(AND(卡牌总表!F34="能力",卡牌总表!AL34="能力持续"),参数!$B$2*参数!$B$3,0)</f>
        <v>0</v>
      </c>
      <c r="N34">
        <f t="shared" si="2"/>
        <v>10.5</v>
      </c>
      <c r="O34">
        <f>IFERROR(MAX(IF(K34 &gt; 参数!$B$17,参数!$B$17+SQRT(K34-参数!$B$17)*参数!$B$18,K34)-MAX(G34,0)*参数!$B$10,0)/MAX(G34,0.4),0)</f>
        <v>15.749999999999998</v>
      </c>
      <c r="P34">
        <f>IFERROR(MAX(IF(N34 &gt; 参数!$B$17,参数!$B$17+SQRT(N34-参数!$B$17)*参数!$B$18,N34)-MAX(H34,0)*参数!$B$10,0)/MAX(H34,0.4),0)</f>
        <v>24.65165042944955</v>
      </c>
      <c r="Q34">
        <f>卡牌总表!AO34</f>
        <v>0</v>
      </c>
    </row>
    <row r="35" spans="1:17" x14ac:dyDescent="0.3">
      <c r="A35">
        <f t="shared" si="0"/>
        <v>34</v>
      </c>
      <c r="B35" t="str">
        <f>卡牌总表!B35</f>
        <v>ironclad_feed</v>
      </c>
      <c r="C35" t="str">
        <f>卡牌总表!D35</f>
        <v>狂宴</v>
      </c>
      <c r="D35" t="str">
        <f>卡牌总表!F35</f>
        <v>攻击</v>
      </c>
      <c r="E35">
        <f>卡牌总表!AL35</f>
        <v>0</v>
      </c>
      <c r="F35">
        <f>卡牌总表!AN35</f>
        <v>0</v>
      </c>
      <c r="G35">
        <f>卡牌总表!AP35</f>
        <v>1</v>
      </c>
      <c r="H35">
        <f>IF(ISNUMBER(卡牌总表!H35),IF(AND(卡牌总表!H35=0,卡牌总表!V35=0,卡牌总表!AK35="none"),0.4,IF(卡牌总表!AK35="exhaust",MAX(卡牌总表!H35-卡牌总表!V35,0.4),IF(卡牌总表!AK35="ethereal",MAX(卡牌总表!H35-卡牌总表!V35,0.4),MAX(卡牌总表!H35-卡牌总表!V35,0.4)))),IF(OR(卡牌总表!H35="X",卡牌总表!H35="∞"),0.4,0.4))</f>
        <v>1</v>
      </c>
      <c r="I35">
        <f>卡牌总表!M35*卡牌总表!O35*参数!$B$5*IF(AND(卡牌总表!F35="能力",卡牌总表!AL35="能力持续"),参数!$B$2,1)+卡牌总表!P35*参数!$B$6*IF(AND(卡牌总表!F35="能力",卡牌总表!AL35="能力持续"),参数!$B$2,1)+卡牌总表!R35*参数!$B$7*IF(AND(卡牌总表!F35="能力",卡牌总表!AL35="能力持续"),参数!$B$2,1)+卡牌总表!V35*参数!$B$8+IF(卡牌总表!X35&lt;0,卡牌总表!X35*参数!$B$13,卡牌总表!X35*参数!$B$39)+IF(卡牌总表!AE35&lt;0,卡牌总表!AE35*参数!$B$13,卡牌总表!AE35*参数!$B$12)*参数!$B$2+卡牌总表!AQ35*参数!$B$15+卡牌总表!AB35*参数!$B$11+卡牌总表!AF35*参数!$B$40*参数!$B$2+卡牌总表!AG35*参数!$B$44*参数!$B$2+卡牌总表!AH35*参数!$B$6*参数!$B$2+卡牌总表!AI35*参数!$B$39*参数!$B$2+卡牌总表!AJ35*参数!$B$6*参数!$B$2+卡牌总表!Z35*参数!$B$13-卡牌总表!T35*参数!$B$14-卡牌总表!AD35*参数!$B$13+IF(ISNUMBER(卡牌总表!AU35),卡牌总表!AU35*参数!$B$38,0)-卡牌总表!AV35*参数!$B$41-卡牌总表!AW35*参数!$B$14</f>
        <v>13.3</v>
      </c>
      <c r="J35">
        <f>IF(AND(卡牌总表!F35="能力",卡牌总表!AL35="能力持续"),(参数!$B$2-1)*参数!$B$3,0)</f>
        <v>0</v>
      </c>
      <c r="K35">
        <f t="shared" si="1"/>
        <v>13.3</v>
      </c>
      <c r="L35">
        <f>卡牌总表!N35*卡牌总表!O35*参数!$B$5*IF(AND(卡牌总表!F35="能力",卡牌总表!AL35="能力持续"),参数!$B$2,1)+卡牌总表!Q35*参数!$B$6*IF(AND(卡牌总表!F35="能力",卡牌总表!AL35="能力持续"),参数!$B$2,1)+卡牌总表!S35*参数!$B$7*IF(AND(卡牌总表!F35="能力",卡牌总表!AL35="能力持续"),参数!$B$2,1)+卡牌总表!W35*参数!$B$8+IF(卡牌总表!Y35&lt;0,卡牌总表!Y35*参数!$B$13,卡牌总表!Y35*参数!$B$39)+IF(卡牌总表!AE35&lt;0,卡牌总表!AE35*参数!$B$13,卡牌总表!AE35*参数!$B$12)*参数!$B$2+卡牌总表!AR35*参数!$B$15+卡牌总表!AC35*参数!$B$11+卡牌总表!AF35*参数!$B$40*参数!$B$2+卡牌总表!AG35*参数!$B$44*参数!$B$2+卡牌总表!AH35*参数!$B$6*参数!$B$2+卡牌总表!AI35*参数!$B$39*参数!$B$2+卡牌总表!AJ35*参数!$B$6*参数!$B$2+卡牌总表!AA35*参数!$B$13-卡牌总表!U35*参数!$B$14-卡牌总表!AD35*参数!$B$13+IF(ISNUMBER(卡牌总表!AU35),卡牌总表!AU35*参数!$B$38,0)-卡牌总表!AV35*参数!$B$41-卡牌总表!AW35*参数!$B$14</f>
        <v>13</v>
      </c>
      <c r="M35">
        <f>IF(AND(卡牌总表!F35="能力",卡牌总表!AL35="能力持续"),参数!$B$2*参数!$B$3,0)</f>
        <v>0</v>
      </c>
      <c r="N35">
        <f t="shared" si="2"/>
        <v>13</v>
      </c>
      <c r="O35">
        <f>IFERROR(MAX(IF(K35 &gt; 参数!$B$17,参数!$B$17+SQRT(K35-参数!$B$17)*参数!$B$18,K35)-MAX(G35,0)*参数!$B$10,0)/MAX(G35,0.4),0)</f>
        <v>9.7248853186877433</v>
      </c>
      <c r="P35">
        <f>IFERROR(MAX(IF(N35 &gt; 参数!$B$17,参数!$B$17+SQRT(N35-参数!$B$17)*参数!$B$18,N35)-MAX(H35,0)*参数!$B$10,0)/MAX(H35,0.4),0)</f>
        <v>9.598076211353316</v>
      </c>
      <c r="Q35">
        <f>卡牌总表!AO35</f>
        <v>0</v>
      </c>
    </row>
    <row r="36" spans="1:17" x14ac:dyDescent="0.3">
      <c r="A36">
        <f t="shared" si="0"/>
        <v>35</v>
      </c>
      <c r="B36" t="str">
        <f>卡牌总表!B36</f>
        <v>ironclad_feel_no_pain</v>
      </c>
      <c r="C36" t="str">
        <f>卡牌总表!D36</f>
        <v>无惧疼痛</v>
      </c>
      <c r="D36" t="str">
        <f>卡牌总表!F36</f>
        <v>能力</v>
      </c>
      <c r="E36" t="str">
        <f>卡牌总表!AL36</f>
        <v>能力持续</v>
      </c>
      <c r="F36" t="str">
        <f>卡牌总表!AN36</f>
        <v>能力</v>
      </c>
      <c r="G36">
        <f>卡牌总表!AP36</f>
        <v>1</v>
      </c>
      <c r="H36">
        <f>IF(ISNUMBER(卡牌总表!H36),IF(AND(卡牌总表!H36=0,卡牌总表!V36=0,卡牌总表!AK36="none"),0.4,IF(卡牌总表!AK36="exhaust",MAX(卡牌总表!H36-卡牌总表!V36,0.4),IF(卡牌总表!AK36="ethereal",MAX(卡牌总表!H36-卡牌总表!V36,0.4),MAX(卡牌总表!H36-卡牌总表!V36,0.4)))),IF(OR(卡牌总表!H36="X",卡牌总表!H36="∞"),0.4,0.4))</f>
        <v>1</v>
      </c>
      <c r="I36">
        <f>卡牌总表!M36*卡牌总表!O36*参数!$B$5*IF(AND(卡牌总表!F36="能力",卡牌总表!AL36="能力持续"),参数!$B$2,1)+卡牌总表!P36*参数!$B$6*IF(AND(卡牌总表!F36="能力",卡牌总表!AL36="能力持续"),参数!$B$2,1)+卡牌总表!R36*参数!$B$7*IF(AND(卡牌总表!F36="能力",卡牌总表!AL36="能力持续"),参数!$B$2,1)+卡牌总表!V36*参数!$B$8+IF(卡牌总表!X36&lt;0,卡牌总表!X36*参数!$B$13,卡牌总表!X36*参数!$B$39)+IF(卡牌总表!AE36&lt;0,卡牌总表!AE36*参数!$B$13,卡牌总表!AE36*参数!$B$12)*参数!$B$2+卡牌总表!AQ36*参数!$B$15+卡牌总表!AB36*参数!$B$11+卡牌总表!AF36*参数!$B$40*参数!$B$2+卡牌总表!AG36*参数!$B$44*参数!$B$2+卡牌总表!AH36*参数!$B$6*参数!$B$2+卡牌总表!AI36*参数!$B$39*参数!$B$2+卡牌总表!AJ36*参数!$B$6*参数!$B$2+卡牌总表!Z36*参数!$B$13-卡牌总表!T36*参数!$B$14-卡牌总表!AD36*参数!$B$13+IF(ISNUMBER(卡牌总表!AU36),卡牌总表!AU36*参数!$B$38,0)-卡牌总表!AV36*参数!$B$41-卡牌总表!AW36*参数!$B$14</f>
        <v>13.200000000000001</v>
      </c>
      <c r="J36">
        <f>IF(AND(卡牌总表!F36="能力",卡牌总表!AL36="能力持续"),(参数!$B$2-1)*参数!$B$3,0)</f>
        <v>3.5999999999999996</v>
      </c>
      <c r="K36">
        <f t="shared" si="1"/>
        <v>16.8</v>
      </c>
      <c r="L36">
        <f>卡牌总表!N36*卡牌总表!O36*参数!$B$5*IF(AND(卡牌总表!F36="能力",卡牌总表!AL36="能力持续"),参数!$B$2,1)+卡牌总表!Q36*参数!$B$6*IF(AND(卡牌总表!F36="能力",卡牌总表!AL36="能力持续"),参数!$B$2,1)+卡牌总表!S36*参数!$B$7*IF(AND(卡牌总表!F36="能力",卡牌总表!AL36="能力持续"),参数!$B$2,1)+卡牌总表!W36*参数!$B$8+IF(卡牌总表!Y36&lt;0,卡牌总表!Y36*参数!$B$13,卡牌总表!Y36*参数!$B$39)+IF(卡牌总表!AE36&lt;0,卡牌总表!AE36*参数!$B$13,卡牌总表!AE36*参数!$B$12)*参数!$B$2+卡牌总表!AR36*参数!$B$15+卡牌总表!AC36*参数!$B$11+卡牌总表!AF36*参数!$B$40*参数!$B$2+卡牌总表!AG36*参数!$B$44*参数!$B$2+卡牌总表!AH36*参数!$B$6*参数!$B$2+卡牌总表!AI36*参数!$B$39*参数!$B$2+卡牌总表!AJ36*参数!$B$6*参数!$B$2+卡牌总表!AA36*参数!$B$13-卡牌总表!U36*参数!$B$14-卡牌总表!AD36*参数!$B$13+IF(ISNUMBER(卡牌总表!AU36),卡牌总表!AU36*参数!$B$38,0)-卡牌总表!AV36*参数!$B$41-卡牌总表!AW36*参数!$B$14</f>
        <v>26.400000000000002</v>
      </c>
      <c r="M36">
        <f>IF(AND(卡牌总表!F36="能力",卡牌总表!AL36="能力持续"),参数!$B$2*参数!$B$3,0)</f>
        <v>4.8</v>
      </c>
      <c r="N36">
        <f t="shared" si="2"/>
        <v>31.200000000000003</v>
      </c>
      <c r="O36">
        <f>IFERROR(MAX(IF(K36 &gt; 参数!$B$17,参数!$B$17+SQRT(K36-参数!$B$17)*参数!$B$18,K36)-MAX(G36,0)*参数!$B$10,0)/MAX(G36,0.4),0)</f>
        <v>10.91152144312159</v>
      </c>
      <c r="P36">
        <f>IFERROR(MAX(IF(N36 &gt; 参数!$B$17,参数!$B$17+SQRT(N36-参数!$B$17)*参数!$B$18,N36)-MAX(H36,0)*参数!$B$10,0)/MAX(H36,0.4),0)</f>
        <v>13.906518659932804</v>
      </c>
      <c r="Q36">
        <f>卡牌总表!AO36</f>
        <v>0</v>
      </c>
    </row>
    <row r="37" spans="1:17" x14ac:dyDescent="0.3">
      <c r="A37">
        <f t="shared" si="0"/>
        <v>36</v>
      </c>
      <c r="B37" t="str">
        <f>卡牌总表!B37</f>
        <v>ironclad_fiend_fire</v>
      </c>
      <c r="C37" t="str">
        <f>卡牌总表!D37</f>
        <v>恶魔之焰</v>
      </c>
      <c r="D37" t="str">
        <f>卡牌总表!F37</f>
        <v>攻击</v>
      </c>
      <c r="E37">
        <f>卡牌总表!AL37</f>
        <v>0</v>
      </c>
      <c r="F37">
        <f>卡牌总表!AN37</f>
        <v>0</v>
      </c>
      <c r="G37">
        <f>卡牌总表!AP37</f>
        <v>2</v>
      </c>
      <c r="H37">
        <f>IF(ISNUMBER(卡牌总表!H37),IF(AND(卡牌总表!H37=0,卡牌总表!V37=0,卡牌总表!AK37="none"),0.4,IF(卡牌总表!AK37="exhaust",MAX(卡牌总表!H37-卡牌总表!V37,0.4),IF(卡牌总表!AK37="ethereal",MAX(卡牌总表!H37-卡牌总表!V37,0.4),MAX(卡牌总表!H37-卡牌总表!V37,0.4)))),IF(OR(卡牌总表!H37="X",卡牌总表!H37="∞"),0.4,0.4))</f>
        <v>2</v>
      </c>
      <c r="I37">
        <f>卡牌总表!M37*卡牌总表!O37*参数!$B$5*IF(AND(卡牌总表!F37="能力",卡牌总表!AL37="能力持续"),参数!$B$2,1)+卡牌总表!P37*参数!$B$6*IF(AND(卡牌总表!F37="能力",卡牌总表!AL37="能力持续"),参数!$B$2,1)+卡牌总表!R37*参数!$B$7*IF(AND(卡牌总表!F37="能力",卡牌总表!AL37="能力持续"),参数!$B$2,1)+卡牌总表!V37*参数!$B$8+IF(卡牌总表!X37&lt;0,卡牌总表!X37*参数!$B$13,卡牌总表!X37*参数!$B$39)+IF(卡牌总表!AE37&lt;0,卡牌总表!AE37*参数!$B$13,卡牌总表!AE37*参数!$B$12)*参数!$B$2+卡牌总表!AQ37*参数!$B$15+卡牌总表!AB37*参数!$B$11+卡牌总表!AF37*参数!$B$40*参数!$B$2+卡牌总表!AG37*参数!$B$44*参数!$B$2+卡牌总表!AH37*参数!$B$6*参数!$B$2+卡牌总表!AI37*参数!$B$39*参数!$B$2+卡牌总表!AJ37*参数!$B$6*参数!$B$2+卡牌总表!Z37*参数!$B$13-卡牌总表!T37*参数!$B$14-卡牌总表!AD37*参数!$B$13+IF(ISNUMBER(卡牌总表!AU37),卡牌总表!AU37*参数!$B$38,0)-卡牌总表!AV37*参数!$B$41-卡牌总表!AW37*参数!$B$14</f>
        <v>35</v>
      </c>
      <c r="J37">
        <f>IF(AND(卡牌总表!F37="能力",卡牌总表!AL37="能力持续"),(参数!$B$2-1)*参数!$B$3,0)</f>
        <v>0</v>
      </c>
      <c r="K37">
        <f t="shared" si="1"/>
        <v>35</v>
      </c>
      <c r="L37">
        <f>卡牌总表!N37*卡牌总表!O37*参数!$B$5*IF(AND(卡牌总表!F37="能力",卡牌总表!AL37="能力持续"),参数!$B$2,1)+卡牌总表!Q37*参数!$B$6*IF(AND(卡牌总表!F37="能力",卡牌总表!AL37="能力持续"),参数!$B$2,1)+卡牌总表!S37*参数!$B$7*IF(AND(卡牌总表!F37="能力",卡牌总表!AL37="能力持续"),参数!$B$2,1)+卡牌总表!W37*参数!$B$8+IF(卡牌总表!Y37&lt;0,卡牌总表!Y37*参数!$B$13,卡牌总表!Y37*参数!$B$39)+IF(卡牌总表!AE37&lt;0,卡牌总表!AE37*参数!$B$13,卡牌总表!AE37*参数!$B$12)*参数!$B$2+卡牌总表!AR37*参数!$B$15+卡牌总表!AC37*参数!$B$11+卡牌总表!AF37*参数!$B$40*参数!$B$2+卡牌总表!AG37*参数!$B$44*参数!$B$2+卡牌总表!AH37*参数!$B$6*参数!$B$2+卡牌总表!AI37*参数!$B$39*参数!$B$2+卡牌总表!AJ37*参数!$B$6*参数!$B$2+卡牌总表!AA37*参数!$B$13-卡牌总表!U37*参数!$B$14-卡牌总表!AD37*参数!$B$13+IF(ISNUMBER(卡牌总表!AU37),卡牌总表!AU37*参数!$B$38,0)-卡牌总表!AV37*参数!$B$41-卡牌总表!AW37*参数!$B$14</f>
        <v>50</v>
      </c>
      <c r="M37">
        <f>IF(AND(卡牌总表!F37="能力",卡牌总表!AL37="能力持续"),参数!$B$2*参数!$B$3,0)</f>
        <v>0</v>
      </c>
      <c r="N37">
        <f t="shared" si="2"/>
        <v>50</v>
      </c>
      <c r="O37">
        <f>IFERROR(MAX(IF(K37 &gt; 参数!$B$17,参数!$B$17+SQRT(K37-参数!$B$17)*参数!$B$18,K37)-MAX(G37,0)*参数!$B$10,0)/MAX(G37,0.4),0)</f>
        <v>5.75</v>
      </c>
      <c r="P37">
        <f>IFERROR(MAX(IF(N37 &gt; 参数!$B$17,参数!$B$17+SQRT(N37-参数!$B$17)*参数!$B$18,N37)-MAX(H37,0)*参数!$B$10,0)/MAX(H37,0.4),0)</f>
        <v>6.7434164902525691</v>
      </c>
      <c r="Q37" t="str">
        <f>卡牌总表!AO37</f>
        <v>含消耗其他牌效果</v>
      </c>
    </row>
    <row r="38" spans="1:17" x14ac:dyDescent="0.3">
      <c r="A38">
        <f t="shared" si="0"/>
        <v>37</v>
      </c>
      <c r="B38" t="str">
        <f>卡牌总表!B38</f>
        <v>ironclad_fight_me</v>
      </c>
      <c r="C38" t="str">
        <f>卡牌总表!D38</f>
        <v>与我一战</v>
      </c>
      <c r="D38" t="str">
        <f>卡牌总表!F38</f>
        <v>攻击</v>
      </c>
      <c r="E38">
        <f>卡牌总表!AL38</f>
        <v>0</v>
      </c>
      <c r="F38">
        <f>卡牌总表!AN38</f>
        <v>0</v>
      </c>
      <c r="G38">
        <f>卡牌总表!AP38</f>
        <v>2</v>
      </c>
      <c r="H38">
        <f>IF(ISNUMBER(卡牌总表!H38),IF(AND(卡牌总表!H38=0,卡牌总表!V38=0,卡牌总表!AK38="none"),0.4,IF(卡牌总表!AK38="exhaust",MAX(卡牌总表!H38-卡牌总表!V38,0.4),IF(卡牌总表!AK38="ethereal",MAX(卡牌总表!H38-卡牌总表!V38,0.4),MAX(卡牌总表!H38-卡牌总表!V38,0.4)))),IF(OR(卡牌总表!H38="X",卡牌总表!H38="∞"),0.4,0.4))</f>
        <v>2</v>
      </c>
      <c r="I38">
        <f>卡牌总表!M38*卡牌总表!O38*参数!$B$5*IF(AND(卡牌总表!F38="能力",卡牌总表!AL38="能力持续"),参数!$B$2,1)+卡牌总表!P38*参数!$B$6*IF(AND(卡牌总表!F38="能力",卡牌总表!AL38="能力持续"),参数!$B$2,1)+卡牌总表!R38*参数!$B$7*IF(AND(卡牌总表!F38="能力",卡牌总表!AL38="能力持续"),参数!$B$2,1)+卡牌总表!V38*参数!$B$8+IF(卡牌总表!X38&lt;0,卡牌总表!X38*参数!$B$13,卡牌总表!X38*参数!$B$39)+IF(卡牌总表!AE38&lt;0,卡牌总表!AE38*参数!$B$13,卡牌总表!AE38*参数!$B$12)*参数!$B$2+卡牌总表!AQ38*参数!$B$15+卡牌总表!AB38*参数!$B$11+卡牌总表!AF38*参数!$B$40*参数!$B$2+卡牌总表!AG38*参数!$B$44*参数!$B$2+卡牌总表!AH38*参数!$B$6*参数!$B$2+卡牌总表!AI38*参数!$B$39*参数!$B$2+卡牌总表!AJ38*参数!$B$6*参数!$B$2+卡牌总表!Z38*参数!$B$13-卡牌总表!T38*参数!$B$14-卡牌总表!AD38*参数!$B$13+IF(ISNUMBER(卡牌总表!AU38),卡牌总表!AU38*参数!$B$38,0)-卡牌总表!AV38*参数!$B$41-卡牌总表!AW38*参数!$B$14</f>
        <v>24.4</v>
      </c>
      <c r="J38">
        <f>IF(AND(卡牌总表!F38="能力",卡牌总表!AL38="能力持续"),(参数!$B$2-1)*参数!$B$3,0)</f>
        <v>0</v>
      </c>
      <c r="K38">
        <f t="shared" si="1"/>
        <v>24.4</v>
      </c>
      <c r="L38">
        <f>卡牌总表!N38*卡牌总表!O38*参数!$B$5*IF(AND(卡牌总表!F38="能力",卡牌总表!AL38="能力持续"),参数!$B$2,1)+卡牌总表!Q38*参数!$B$6*IF(AND(卡牌总表!F38="能力",卡牌总表!AL38="能力持续"),参数!$B$2,1)+卡牌总表!S38*参数!$B$7*IF(AND(卡牌总表!F38="能力",卡牌总表!AL38="能力持续"),参数!$B$2,1)+卡牌总表!W38*参数!$B$8+IF(卡牌总表!Y38&lt;0,卡牌总表!Y38*参数!$B$13,卡牌总表!Y38*参数!$B$39)+IF(卡牌总表!AE38&lt;0,卡牌总表!AE38*参数!$B$13,卡牌总表!AE38*参数!$B$12)*参数!$B$2+卡牌总表!AR38*参数!$B$15+卡牌总表!AC38*参数!$B$11+卡牌总表!AF38*参数!$B$40*参数!$B$2+卡牌总表!AG38*参数!$B$44*参数!$B$2+卡牌总表!AH38*参数!$B$6*参数!$B$2+卡牌总表!AI38*参数!$B$39*参数!$B$2+卡牌总表!AJ38*参数!$B$6*参数!$B$2+卡牌总表!AA38*参数!$B$13-卡牌总表!U38*参数!$B$14-卡牌总表!AD38*参数!$B$13+IF(ISNUMBER(卡牌总表!AU38),卡牌总表!AU38*参数!$B$38,0)-卡牌总表!AV38*参数!$B$41-卡牌总表!AW38*参数!$B$14</f>
        <v>30.4</v>
      </c>
      <c r="M38">
        <f>IF(AND(卡牌总表!F38="能力",卡牌总表!AL38="能力持续"),参数!$B$2*参数!$B$3,0)</f>
        <v>0</v>
      </c>
      <c r="N38">
        <f t="shared" si="2"/>
        <v>30.4</v>
      </c>
      <c r="O38">
        <f>IFERROR(MAX(IF(K38 &gt; 参数!$B$17,参数!$B$17+SQRT(K38-参数!$B$17)*参数!$B$18,K38)-MAX(G38,0)*参数!$B$10,0)/MAX(G38,0.4),0)</f>
        <v>4.8460498941515411</v>
      </c>
      <c r="P38">
        <f>IFERROR(MAX(IF(N38 &gt; 参数!$B$17,参数!$B$17+SQRT(N38-参数!$B$17)*参数!$B$18,N38)-MAX(H38,0)*参数!$B$10,0)/MAX(H38,0.4),0)</f>
        <v>5.3874769371908648</v>
      </c>
      <c r="Q38">
        <f>卡牌总表!AO38</f>
        <v>0</v>
      </c>
    </row>
    <row r="39" spans="1:17" x14ac:dyDescent="0.3">
      <c r="A39">
        <f t="shared" si="0"/>
        <v>38</v>
      </c>
      <c r="B39" t="str">
        <f>卡牌总表!B39</f>
        <v>ironclad_flame_barrier</v>
      </c>
      <c r="C39" t="str">
        <f>卡牌总表!D39</f>
        <v>烈焰屏障</v>
      </c>
      <c r="D39" t="str">
        <f>卡牌总表!F39</f>
        <v>技能</v>
      </c>
      <c r="E39">
        <f>卡牌总表!AL39</f>
        <v>0</v>
      </c>
      <c r="F39" t="str">
        <f>卡牌总表!AN39</f>
        <v>本回合</v>
      </c>
      <c r="G39">
        <f>卡牌总表!AP39</f>
        <v>2</v>
      </c>
      <c r="H39">
        <f>IF(ISNUMBER(卡牌总表!H39),IF(AND(卡牌总表!H39=0,卡牌总表!V39=0,卡牌总表!AK39="none"),0.4,IF(卡牌总表!AK39="exhaust",MAX(卡牌总表!H39-卡牌总表!V39,0.4),IF(卡牌总表!AK39="ethereal",MAX(卡牌总表!H39-卡牌总表!V39,0.4),MAX(卡牌总表!H39-卡牌总表!V39,0.4)))),IF(OR(卡牌总表!H39="X",卡牌总表!H39="∞"),0.4,0.4))</f>
        <v>2</v>
      </c>
      <c r="I39">
        <f>卡牌总表!M39*卡牌总表!O39*参数!$B$5*IF(AND(卡牌总表!F39="能力",卡牌总表!AL39="能力持续"),参数!$B$2,1)+卡牌总表!P39*参数!$B$6*IF(AND(卡牌总表!F39="能力",卡牌总表!AL39="能力持续"),参数!$B$2,1)+卡牌总表!R39*参数!$B$7*IF(AND(卡牌总表!F39="能力",卡牌总表!AL39="能力持续"),参数!$B$2,1)+卡牌总表!V39*参数!$B$8+IF(卡牌总表!X39&lt;0,卡牌总表!X39*参数!$B$13,卡牌总表!X39*参数!$B$39)+IF(卡牌总表!AE39&lt;0,卡牌总表!AE39*参数!$B$13,卡牌总表!AE39*参数!$B$12)*参数!$B$2+卡牌总表!AQ39*参数!$B$15+卡牌总表!AB39*参数!$B$11+卡牌总表!AF39*参数!$B$40*参数!$B$2+卡牌总表!AG39*参数!$B$44*参数!$B$2+卡牌总表!AH39*参数!$B$6*参数!$B$2+卡牌总表!AI39*参数!$B$39*参数!$B$2+卡牌总表!AJ39*参数!$B$6*参数!$B$2+卡牌总表!Z39*参数!$B$13-卡牌总表!T39*参数!$B$14-卡牌总表!AD39*参数!$B$13+IF(ISNUMBER(卡牌总表!AU39),卡牌总表!AU39*参数!$B$38,0)-卡牌总表!AV39*参数!$B$41-卡牌总表!AW39*参数!$B$14</f>
        <v>14.200000000000003</v>
      </c>
      <c r="J39">
        <f>IF(AND(卡牌总表!F39="能力",卡牌总表!AL39="能力持续"),(参数!$B$2-1)*参数!$B$3,0)</f>
        <v>0</v>
      </c>
      <c r="K39">
        <f t="shared" si="1"/>
        <v>14.200000000000003</v>
      </c>
      <c r="L39">
        <f>卡牌总表!N39*卡牌总表!O39*参数!$B$5*IF(AND(卡牌总表!F39="能力",卡牌总表!AL39="能力持续"),参数!$B$2,1)+卡牌总表!Q39*参数!$B$6*IF(AND(卡牌总表!F39="能力",卡牌总表!AL39="能力持续"),参数!$B$2,1)+卡牌总表!S39*参数!$B$7*IF(AND(卡牌总表!F39="能力",卡牌总表!AL39="能力持续"),参数!$B$2,1)+卡牌总表!W39*参数!$B$8+IF(卡牌总表!Y39&lt;0,卡牌总表!Y39*参数!$B$13,卡牌总表!Y39*参数!$B$39)+IF(卡牌总表!AE39&lt;0,卡牌总表!AE39*参数!$B$13,卡牌总表!AE39*参数!$B$12)*参数!$B$2+卡牌总表!AR39*参数!$B$15+卡牌总表!AC39*参数!$B$11+卡牌总表!AF39*参数!$B$40*参数!$B$2+卡牌总表!AG39*参数!$B$44*参数!$B$2+卡牌总表!AH39*参数!$B$6*参数!$B$2+卡牌总表!AI39*参数!$B$39*参数!$B$2+卡牌总表!AJ39*参数!$B$6*参数!$B$2+卡牌总表!AA39*参数!$B$13-卡牌总表!U39*参数!$B$14-卡牌总表!AD39*参数!$B$13+IF(ISNUMBER(卡牌总表!AU39),卡牌总表!AU39*参数!$B$38,0)-卡牌总表!AV39*参数!$B$41-卡牌总表!AW39*参数!$B$14</f>
        <v>14.600000000000001</v>
      </c>
      <c r="M39">
        <f>IF(AND(卡牌总表!F39="能力",卡牌总表!AL39="能力持续"),参数!$B$2*参数!$B$3,0)</f>
        <v>0</v>
      </c>
      <c r="N39">
        <f t="shared" si="2"/>
        <v>14.600000000000001</v>
      </c>
      <c r="O39">
        <f>IFERROR(MAX(IF(K39 &gt; 参数!$B$17,参数!$B$17+SQRT(K39-参数!$B$17)*参数!$B$18,K39)-MAX(G39,0)*参数!$B$10,0)/MAX(G39,0.4),0)</f>
        <v>3.5370426148939398</v>
      </c>
      <c r="P39">
        <f>IFERROR(MAX(IF(N39 &gt; 参数!$B$17,参数!$B$17+SQRT(N39-参数!$B$17)*参数!$B$18,N39)-MAX(H39,0)*参数!$B$10,0)/MAX(H39,0.4),0)</f>
        <v>3.6085707942145415</v>
      </c>
      <c r="Q39">
        <f>卡牌总表!AO39</f>
        <v>0</v>
      </c>
    </row>
    <row r="40" spans="1:17" x14ac:dyDescent="0.3">
      <c r="A40">
        <f t="shared" si="0"/>
        <v>39</v>
      </c>
      <c r="B40" t="str">
        <f>卡牌总表!B40</f>
        <v>ironclad_forgotten_ritual</v>
      </c>
      <c r="C40" t="str">
        <f>卡牌总表!D40</f>
        <v>被遗忘的仪式</v>
      </c>
      <c r="D40" t="str">
        <f>卡牌总表!F40</f>
        <v>技能</v>
      </c>
      <c r="E40">
        <f>卡牌总表!AL40</f>
        <v>0</v>
      </c>
      <c r="F40" t="str">
        <f>卡牌总表!AN40</f>
        <v>本回合</v>
      </c>
      <c r="G40">
        <f>卡牌总表!AP40</f>
        <v>0.4</v>
      </c>
      <c r="H40">
        <f>IF(ISNUMBER(卡牌总表!H40),IF(AND(卡牌总表!H40=0,卡牌总表!V40=0,卡牌总表!AK40="none"),0.4,IF(卡牌总表!AK40="exhaust",MAX(卡牌总表!H40-卡牌总表!V40,0.4),IF(卡牌总表!AK40="ethereal",MAX(卡牌总表!H40-卡牌总表!V40,0.4),MAX(卡牌总表!H40-卡牌总表!V40,0.4)))),IF(OR(卡牌总表!H40="X",卡牌总表!H40="∞"),0.4,0.4))</f>
        <v>0.4</v>
      </c>
      <c r="I40">
        <f>卡牌总表!M40*卡牌总表!O40*参数!$B$5*IF(AND(卡牌总表!F40="能力",卡牌总表!AL40="能力持续"),参数!$B$2,1)+卡牌总表!P40*参数!$B$6*IF(AND(卡牌总表!F40="能力",卡牌总表!AL40="能力持续"),参数!$B$2,1)+卡牌总表!R40*参数!$B$7*IF(AND(卡牌总表!F40="能力",卡牌总表!AL40="能力持续"),参数!$B$2,1)+卡牌总表!V40*参数!$B$8+IF(卡牌总表!X40&lt;0,卡牌总表!X40*参数!$B$13,卡牌总表!X40*参数!$B$39)+IF(卡牌总表!AE40&lt;0,卡牌总表!AE40*参数!$B$13,卡牌总表!AE40*参数!$B$12)*参数!$B$2+卡牌总表!AQ40*参数!$B$15+卡牌总表!AB40*参数!$B$11+卡牌总表!AF40*参数!$B$40*参数!$B$2+卡牌总表!AG40*参数!$B$44*参数!$B$2+卡牌总表!AH40*参数!$B$6*参数!$B$2+卡牌总表!AI40*参数!$B$39*参数!$B$2+卡牌总表!AJ40*参数!$B$6*参数!$B$2+卡牌总表!Z40*参数!$B$13-卡牌总表!T40*参数!$B$14-卡牌总表!AD40*参数!$B$13+IF(ISNUMBER(卡牌总表!AU40),卡牌总表!AU40*参数!$B$38,0)-卡牌总表!AV40*参数!$B$41-卡牌总表!AW40*参数!$B$14</f>
        <v>9</v>
      </c>
      <c r="J40">
        <f>IF(AND(卡牌总表!F40="能力",卡牌总表!AL40="能力持续"),(参数!$B$2-1)*参数!$B$3,0)</f>
        <v>0</v>
      </c>
      <c r="K40">
        <f t="shared" si="1"/>
        <v>9</v>
      </c>
      <c r="L40">
        <f>卡牌总表!N40*卡牌总表!O40*参数!$B$5*IF(AND(卡牌总表!F40="能力",卡牌总表!AL40="能力持续"),参数!$B$2,1)+卡牌总表!Q40*参数!$B$6*IF(AND(卡牌总表!F40="能力",卡牌总表!AL40="能力持续"),参数!$B$2,1)+卡牌总表!S40*参数!$B$7*IF(AND(卡牌总表!F40="能力",卡牌总表!AL40="能力持续"),参数!$B$2,1)+卡牌总表!W40*参数!$B$8+IF(卡牌总表!Y40&lt;0,卡牌总表!Y40*参数!$B$13,卡牌总表!Y40*参数!$B$39)+IF(卡牌总表!AE40&lt;0,卡牌总表!AE40*参数!$B$13,卡牌总表!AE40*参数!$B$12)*参数!$B$2+卡牌总表!AR40*参数!$B$15+卡牌总表!AC40*参数!$B$11+卡牌总表!AF40*参数!$B$40*参数!$B$2+卡牌总表!AG40*参数!$B$44*参数!$B$2+卡牌总表!AH40*参数!$B$6*参数!$B$2+卡牌总表!AI40*参数!$B$39*参数!$B$2+卡牌总表!AJ40*参数!$B$6*参数!$B$2+卡牌总表!AA40*参数!$B$13-卡牌总表!U40*参数!$B$14-卡牌总表!AD40*参数!$B$13+IF(ISNUMBER(卡牌总表!AU40),卡牌总表!AU40*参数!$B$38,0)-卡牌总表!AV40*参数!$B$41-卡牌总表!AW40*参数!$B$14</f>
        <v>12</v>
      </c>
      <c r="M40">
        <f>IF(AND(卡牌总表!F40="能力",卡牌总表!AL40="能力持续"),参数!$B$2*参数!$B$3,0)</f>
        <v>0</v>
      </c>
      <c r="N40">
        <f t="shared" si="2"/>
        <v>12</v>
      </c>
      <c r="O40">
        <f>IFERROR(MAX(IF(K40 &gt; 参数!$B$17,参数!$B$17+SQRT(K40-参数!$B$17)*参数!$B$18,K40)-MAX(G40,0)*参数!$B$10,0)/MAX(G40,0.4),0)</f>
        <v>19.5</v>
      </c>
      <c r="P40">
        <f>IFERROR(MAX(IF(N40 &gt; 参数!$B$17,参数!$B$17+SQRT(N40-参数!$B$17)*参数!$B$18,N40)-MAX(H40,0)*参数!$B$10,0)/MAX(H40,0.4),0)</f>
        <v>27.303300858899107</v>
      </c>
      <c r="Q40">
        <f>卡牌总表!AO40</f>
        <v>0</v>
      </c>
    </row>
    <row r="41" spans="1:17" x14ac:dyDescent="0.3">
      <c r="A41">
        <f t="shared" si="0"/>
        <v>40</v>
      </c>
      <c r="B41" t="str">
        <f>卡牌总表!B41</f>
        <v>ironclad_grapple</v>
      </c>
      <c r="C41" t="str">
        <f>卡牌总表!D41</f>
        <v>擒拿</v>
      </c>
      <c r="D41" t="str">
        <f>卡牌总表!F41</f>
        <v>攻击</v>
      </c>
      <c r="E41">
        <f>卡牌总表!AL41</f>
        <v>0</v>
      </c>
      <c r="F41" t="str">
        <f>卡牌总表!AN41</f>
        <v>本回合</v>
      </c>
      <c r="G41">
        <f>卡牌总表!AP41</f>
        <v>1</v>
      </c>
      <c r="H41">
        <f>IF(ISNUMBER(卡牌总表!H41),IF(AND(卡牌总表!H41=0,卡牌总表!V41=0,卡牌总表!AK41="none"),0.4,IF(卡牌总表!AK41="exhaust",MAX(卡牌总表!H41-卡牌总表!V41,0.4),IF(卡牌总表!AK41="ethereal",MAX(卡牌总表!H41-卡牌总表!V41,0.4),MAX(卡牌总表!H41-卡牌总表!V41,0.4)))),IF(OR(卡牌总表!H41="X",卡牌总表!H41="∞"),0.4,0.4))</f>
        <v>1</v>
      </c>
      <c r="I41">
        <f>卡牌总表!M41*卡牌总表!O41*参数!$B$5*IF(AND(卡牌总表!F41="能力",卡牌总表!AL41="能力持续"),参数!$B$2,1)+卡牌总表!P41*参数!$B$6*IF(AND(卡牌总表!F41="能力",卡牌总表!AL41="能力持续"),参数!$B$2,1)+卡牌总表!R41*参数!$B$7*IF(AND(卡牌总表!F41="能力",卡牌总表!AL41="能力持续"),参数!$B$2,1)+卡牌总表!V41*参数!$B$8+IF(卡牌总表!X41&lt;0,卡牌总表!X41*参数!$B$13,卡牌总表!X41*参数!$B$39)+IF(卡牌总表!AE41&lt;0,卡牌总表!AE41*参数!$B$13,卡牌总表!AE41*参数!$B$12)*参数!$B$2+卡牌总表!AQ41*参数!$B$15+卡牌总表!AB41*参数!$B$11+卡牌总表!AF41*参数!$B$40*参数!$B$2+卡牌总表!AG41*参数!$B$44*参数!$B$2+卡牌总表!AH41*参数!$B$6*参数!$B$2+卡牌总表!AI41*参数!$B$39*参数!$B$2+卡牌总表!AJ41*参数!$B$6*参数!$B$2+卡牌总表!Z41*参数!$B$13-卡牌总表!T41*参数!$B$14-卡牌总表!AD41*参数!$B$13+IF(ISNUMBER(卡牌总表!AU41),卡牌总表!AU41*参数!$B$38,0)-卡牌总表!AV41*参数!$B$41-卡牌总表!AW41*参数!$B$14</f>
        <v>12</v>
      </c>
      <c r="J41">
        <f>IF(AND(卡牌总表!F41="能力",卡牌总表!AL41="能力持续"),(参数!$B$2-1)*参数!$B$3,0)</f>
        <v>0</v>
      </c>
      <c r="K41">
        <f t="shared" si="1"/>
        <v>12</v>
      </c>
      <c r="L41">
        <f>卡牌总表!N41*卡牌总表!O41*参数!$B$5*IF(AND(卡牌总表!F41="能力",卡牌总表!AL41="能力持续"),参数!$B$2,1)+卡牌总表!Q41*参数!$B$6*IF(AND(卡牌总表!F41="能力",卡牌总表!AL41="能力持续"),参数!$B$2,1)+卡牌总表!S41*参数!$B$7*IF(AND(卡牌总表!F41="能力",卡牌总表!AL41="能力持续"),参数!$B$2,1)+卡牌总表!W41*参数!$B$8+IF(卡牌总表!Y41&lt;0,卡牌总表!Y41*参数!$B$13,卡牌总表!Y41*参数!$B$39)+IF(卡牌总表!AE41&lt;0,卡牌总表!AE41*参数!$B$13,卡牌总表!AE41*参数!$B$12)*参数!$B$2+卡牌总表!AR41*参数!$B$15+卡牌总表!AC41*参数!$B$11+卡牌总表!AF41*参数!$B$40*参数!$B$2+卡牌总表!AG41*参数!$B$44*参数!$B$2+卡牌总表!AH41*参数!$B$6*参数!$B$2+卡牌总表!AI41*参数!$B$39*参数!$B$2+卡牌总表!AJ41*参数!$B$6*参数!$B$2+卡牌总表!AA41*参数!$B$13-卡牌总表!U41*参数!$B$14-卡牌总表!AD41*参数!$B$13+IF(ISNUMBER(卡牌总表!AU41),卡牌总表!AU41*参数!$B$38,0)-卡牌总表!AV41*参数!$B$41-卡牌总表!AW41*参数!$B$14</f>
        <v>14</v>
      </c>
      <c r="M41">
        <f>IF(AND(卡牌总表!F41="能力",卡牌总表!AL41="能力持续"),参数!$B$2*参数!$B$3,0)</f>
        <v>0</v>
      </c>
      <c r="N41">
        <f t="shared" si="2"/>
        <v>14</v>
      </c>
      <c r="O41">
        <f>IFERROR(MAX(IF(K41 &gt; 参数!$B$17,参数!$B$17+SQRT(K41-参数!$B$17)*参数!$B$18,K41)-MAX(G41,0)*参数!$B$10,0)/MAX(G41,0.4),0)</f>
        <v>9.1213203435596419</v>
      </c>
      <c r="P41">
        <f>IFERROR(MAX(IF(N41 &gt; 参数!$B$17,参数!$B$17+SQRT(N41-参数!$B$17)*参数!$B$18,N41)-MAX(H41,0)*参数!$B$10,0)/MAX(H41,0.4),0)</f>
        <v>10</v>
      </c>
      <c r="Q41">
        <f>卡牌总表!AO41</f>
        <v>0</v>
      </c>
    </row>
    <row r="42" spans="1:17" x14ac:dyDescent="0.3">
      <c r="A42">
        <f t="shared" si="0"/>
        <v>41</v>
      </c>
      <c r="B42" t="str">
        <f>卡牌总表!B42</f>
        <v>ironclad_havoc</v>
      </c>
      <c r="C42" t="str">
        <f>卡牌总表!D42</f>
        <v>破灭</v>
      </c>
      <c r="D42" t="str">
        <f>卡牌总表!F42</f>
        <v>技能</v>
      </c>
      <c r="E42">
        <f>卡牌总表!AL42</f>
        <v>0</v>
      </c>
      <c r="F42">
        <f>卡牌总表!AN42</f>
        <v>0</v>
      </c>
      <c r="G42">
        <f>卡牌总表!AP42</f>
        <v>1</v>
      </c>
      <c r="H42">
        <f>IF(ISNUMBER(卡牌总表!H42),IF(AND(卡牌总表!H42=0,卡牌总表!V42=0,卡牌总表!AK42="none"),0.4,IF(卡牌总表!AK42="exhaust",MAX(卡牌总表!H42-卡牌总表!V42,0.4),IF(卡牌总表!AK42="ethereal",MAX(卡牌总表!H42-卡牌总表!V42,0.4),MAX(卡牌总表!H42-卡牌总表!V42,0.4)))),IF(OR(卡牌总表!H42="X",卡牌总表!H42="∞"),0.4,0.4))</f>
        <v>1</v>
      </c>
      <c r="I42">
        <f>卡牌总表!M42*卡牌总表!O42*参数!$B$5*IF(AND(卡牌总表!F42="能力",卡牌总表!AL42="能力持续"),参数!$B$2,1)+卡牌总表!P42*参数!$B$6*IF(AND(卡牌总表!F42="能力",卡牌总表!AL42="能力持续"),参数!$B$2,1)+卡牌总表!R42*参数!$B$7*IF(AND(卡牌总表!F42="能力",卡牌总表!AL42="能力持续"),参数!$B$2,1)+卡牌总表!V42*参数!$B$8+IF(卡牌总表!X42&lt;0,卡牌总表!X42*参数!$B$13,卡牌总表!X42*参数!$B$39)+IF(卡牌总表!AE42&lt;0,卡牌总表!AE42*参数!$B$13,卡牌总表!AE42*参数!$B$12)*参数!$B$2+卡牌总表!AQ42*参数!$B$15+卡牌总表!AB42*参数!$B$11+卡牌总表!AF42*参数!$B$40*参数!$B$2+卡牌总表!AG42*参数!$B$44*参数!$B$2+卡牌总表!AH42*参数!$B$6*参数!$B$2+卡牌总表!AI42*参数!$B$39*参数!$B$2+卡牌总表!AJ42*参数!$B$6*参数!$B$2+卡牌总表!Z42*参数!$B$13-卡牌总表!T42*参数!$B$14-卡牌总表!AD42*参数!$B$13+IF(ISNUMBER(卡牌总表!AU42),卡牌总表!AU42*参数!$B$38,0)-卡牌总表!AV42*参数!$B$41-卡牌总表!AW42*参数!$B$14</f>
        <v>24</v>
      </c>
      <c r="J42">
        <f>IF(AND(卡牌总表!F42="能力",卡牌总表!AL42="能力持续"),(参数!$B$2-1)*参数!$B$3,0)</f>
        <v>0</v>
      </c>
      <c r="K42">
        <f t="shared" si="1"/>
        <v>24</v>
      </c>
      <c r="L42">
        <f>卡牌总表!N42*卡牌总表!O42*参数!$B$5*IF(AND(卡牌总表!F42="能力",卡牌总表!AL42="能力持续"),参数!$B$2,1)+卡牌总表!Q42*参数!$B$6*IF(AND(卡牌总表!F42="能力",卡牌总表!AL42="能力持续"),参数!$B$2,1)+卡牌总表!S42*参数!$B$7*IF(AND(卡牌总表!F42="能力",卡牌总表!AL42="能力持续"),参数!$B$2,1)+卡牌总表!W42*参数!$B$8+IF(卡牌总表!Y42&lt;0,卡牌总表!Y42*参数!$B$13,卡牌总表!Y42*参数!$B$39)+IF(卡牌总表!AE42&lt;0,卡牌总表!AE42*参数!$B$13,卡牌总表!AE42*参数!$B$12)*参数!$B$2+卡牌总表!AR42*参数!$B$15+卡牌总表!AC42*参数!$B$11+卡牌总表!AF42*参数!$B$40*参数!$B$2+卡牌总表!AG42*参数!$B$44*参数!$B$2+卡牌总表!AH42*参数!$B$6*参数!$B$2+卡牌总表!AI42*参数!$B$39*参数!$B$2+卡牌总表!AJ42*参数!$B$6*参数!$B$2+卡牌总表!AA42*参数!$B$13-卡牌总表!U42*参数!$B$14-卡牌总表!AD42*参数!$B$13+IF(ISNUMBER(卡牌总表!AU42),卡牌总表!AU42*参数!$B$38,0)-卡牌总表!AV42*参数!$B$41-卡牌总表!AW42*参数!$B$14</f>
        <v>3</v>
      </c>
      <c r="M42">
        <f>IF(AND(卡牌总表!F42="能力",卡牌总表!AL42="能力持续"),参数!$B$2*参数!$B$3,0)</f>
        <v>0</v>
      </c>
      <c r="N42">
        <f t="shared" si="2"/>
        <v>3</v>
      </c>
      <c r="O42">
        <f>IFERROR(MAX(IF(K42 &gt; 参数!$B$17,参数!$B$17+SQRT(K42-参数!$B$17)*参数!$B$18,K42)-MAX(G42,0)*参数!$B$10,0)/MAX(G42,0.4),0)</f>
        <v>12.612486080160913</v>
      </c>
      <c r="P42">
        <f>IFERROR(MAX(IF(N42 &gt; 参数!$B$17,参数!$B$17+SQRT(N42-参数!$B$17)*参数!$B$18,N42)-MAX(H42,0)*参数!$B$10,0)/MAX(H42,0.4),0)</f>
        <v>0</v>
      </c>
      <c r="Q42" t="str">
        <f>卡牌总表!AO42</f>
        <v>含消耗其他牌效果</v>
      </c>
    </row>
    <row r="43" spans="1:17" x14ac:dyDescent="0.3">
      <c r="A43">
        <f t="shared" si="0"/>
        <v>42</v>
      </c>
      <c r="B43" t="str">
        <f>卡牌总表!B43</f>
        <v>ironclad_headbutt</v>
      </c>
      <c r="C43" t="str">
        <f>卡牌总表!D43</f>
        <v>头槌</v>
      </c>
      <c r="D43" t="str">
        <f>卡牌总表!F43</f>
        <v>攻击</v>
      </c>
      <c r="E43">
        <f>卡牌总表!AL43</f>
        <v>0</v>
      </c>
      <c r="F43">
        <f>卡牌总表!AN43</f>
        <v>0</v>
      </c>
      <c r="G43">
        <f>卡牌总表!AP43</f>
        <v>1</v>
      </c>
      <c r="H43">
        <f>IF(ISNUMBER(卡牌总表!H43),IF(AND(卡牌总表!H43=0,卡牌总表!V43=0,卡牌总表!AK43="none"),0.4,IF(卡牌总表!AK43="exhaust",MAX(卡牌总表!H43-卡牌总表!V43,0.4),IF(卡牌总表!AK43="ethereal",MAX(卡牌总表!H43-卡牌总表!V43,0.4),MAX(卡牌总表!H43-卡牌总表!V43,0.4)))),IF(OR(卡牌总表!H43="X",卡牌总表!H43="∞"),0.4,0.4))</f>
        <v>1</v>
      </c>
      <c r="I43">
        <f>卡牌总表!M43*卡牌总表!O43*参数!$B$5*IF(AND(卡牌总表!F43="能力",卡牌总表!AL43="能力持续"),参数!$B$2,1)+卡牌总表!P43*参数!$B$6*IF(AND(卡牌总表!F43="能力",卡牌总表!AL43="能力持续"),参数!$B$2,1)+卡牌总表!R43*参数!$B$7*IF(AND(卡牌总表!F43="能力",卡牌总表!AL43="能力持续"),参数!$B$2,1)+卡牌总表!V43*参数!$B$8+IF(卡牌总表!X43&lt;0,卡牌总表!X43*参数!$B$13,卡牌总表!X43*参数!$B$39)+IF(卡牌总表!AE43&lt;0,卡牌总表!AE43*参数!$B$13,卡牌总表!AE43*参数!$B$12)*参数!$B$2+卡牌总表!AQ43*参数!$B$15+卡牌总表!AB43*参数!$B$11+卡牌总表!AF43*参数!$B$40*参数!$B$2+卡牌总表!AG43*参数!$B$44*参数!$B$2+卡牌总表!AH43*参数!$B$6*参数!$B$2+卡牌总表!AI43*参数!$B$39*参数!$B$2+卡牌总表!AJ43*参数!$B$6*参数!$B$2+卡牌总表!Z43*参数!$B$13-卡牌总表!T43*参数!$B$14-卡牌总表!AD43*参数!$B$13+IF(ISNUMBER(卡牌总表!AU43),卡牌总表!AU43*参数!$B$38,0)-卡牌总表!AV43*参数!$B$41-卡牌总表!AW43*参数!$B$14</f>
        <v>9</v>
      </c>
      <c r="J43">
        <f>IF(AND(卡牌总表!F43="能力",卡牌总表!AL43="能力持续"),(参数!$B$2-1)*参数!$B$3,0)</f>
        <v>0</v>
      </c>
      <c r="K43">
        <f t="shared" si="1"/>
        <v>9</v>
      </c>
      <c r="L43">
        <f>卡牌总表!N43*卡牌总表!O43*参数!$B$5*IF(AND(卡牌总表!F43="能力",卡牌总表!AL43="能力持续"),参数!$B$2,1)+卡牌总表!Q43*参数!$B$6*IF(AND(卡牌总表!F43="能力",卡牌总表!AL43="能力持续"),参数!$B$2,1)+卡牌总表!S43*参数!$B$7*IF(AND(卡牌总表!F43="能力",卡牌总表!AL43="能力持续"),参数!$B$2,1)+卡牌总表!W43*参数!$B$8+IF(卡牌总表!Y43&lt;0,卡牌总表!Y43*参数!$B$13,卡牌总表!Y43*参数!$B$39)+IF(卡牌总表!AE43&lt;0,卡牌总表!AE43*参数!$B$13,卡牌总表!AE43*参数!$B$12)*参数!$B$2+卡牌总表!AR43*参数!$B$15+卡牌总表!AC43*参数!$B$11+卡牌总表!AF43*参数!$B$40*参数!$B$2+卡牌总表!AG43*参数!$B$44*参数!$B$2+卡牌总表!AH43*参数!$B$6*参数!$B$2+卡牌总表!AI43*参数!$B$39*参数!$B$2+卡牌总表!AJ43*参数!$B$6*参数!$B$2+卡牌总表!AA43*参数!$B$13-卡牌总表!U43*参数!$B$14-卡牌总表!AD43*参数!$B$13+IF(ISNUMBER(卡牌总表!AU43),卡牌总表!AU43*参数!$B$38,0)-卡牌总表!AV43*参数!$B$41-卡牌总表!AW43*参数!$B$14</f>
        <v>12</v>
      </c>
      <c r="M43">
        <f>IF(AND(卡牌总表!F43="能力",卡牌总表!AL43="能力持续"),参数!$B$2*参数!$B$3,0)</f>
        <v>0</v>
      </c>
      <c r="N43">
        <f t="shared" si="2"/>
        <v>12</v>
      </c>
      <c r="O43">
        <f>IFERROR(MAX(IF(K43 &gt; 参数!$B$17,参数!$B$17+SQRT(K43-参数!$B$17)*参数!$B$18,K43)-MAX(G43,0)*参数!$B$10,0)/MAX(G43,0.4),0)</f>
        <v>6</v>
      </c>
      <c r="P43">
        <f>IFERROR(MAX(IF(N43 &gt; 参数!$B$17,参数!$B$17+SQRT(N43-参数!$B$17)*参数!$B$18,N43)-MAX(H43,0)*参数!$B$10,0)/MAX(H43,0.4),0)</f>
        <v>9.1213203435596419</v>
      </c>
      <c r="Q43">
        <f>卡牌总表!AO43</f>
        <v>0</v>
      </c>
    </row>
    <row r="44" spans="1:17" x14ac:dyDescent="0.3">
      <c r="A44">
        <f t="shared" si="0"/>
        <v>43</v>
      </c>
      <c r="B44" t="str">
        <f>卡牌总表!B44</f>
        <v>ironclad_hellraiser</v>
      </c>
      <c r="C44" t="str">
        <f>卡牌总表!D44</f>
        <v>地狱狂徒</v>
      </c>
      <c r="D44" t="str">
        <f>卡牌总表!F44</f>
        <v>能力</v>
      </c>
      <c r="E44" t="str">
        <f>卡牌总表!AL44</f>
        <v>能力持续</v>
      </c>
      <c r="F44" t="str">
        <f>卡牌总表!AN44</f>
        <v>能力</v>
      </c>
      <c r="G44">
        <f>卡牌总表!AP44</f>
        <v>2</v>
      </c>
      <c r="H44">
        <f>IF(ISNUMBER(卡牌总表!H44),IF(AND(卡牌总表!H44=0,卡牌总表!V44=0,卡牌总表!AK44="none"),0.4,IF(卡牌总表!AK44="exhaust",MAX(卡牌总表!H44-卡牌总表!V44,0.4),IF(卡牌总表!AK44="ethereal",MAX(卡牌总表!H44-卡牌总表!V44,0.4),MAX(卡牌总表!H44-卡牌总表!V44,0.4)))),IF(OR(卡牌总表!H44="X",卡牌总表!H44="∞"),0.4,0.4))</f>
        <v>2</v>
      </c>
      <c r="I44">
        <f>卡牌总表!M44*卡牌总表!O44*参数!$B$5*IF(AND(卡牌总表!F44="能力",卡牌总表!AL44="能力持续"),参数!$B$2,1)+卡牌总表!P44*参数!$B$6*IF(AND(卡牌总表!F44="能力",卡牌总表!AL44="能力持续"),参数!$B$2,1)+卡牌总表!R44*参数!$B$7*IF(AND(卡牌总表!F44="能力",卡牌总表!AL44="能力持续"),参数!$B$2,1)+卡牌总表!V44*参数!$B$8+IF(卡牌总表!X44&lt;0,卡牌总表!X44*参数!$B$13,卡牌总表!X44*参数!$B$39)+IF(卡牌总表!AE44&lt;0,卡牌总表!AE44*参数!$B$13,卡牌总表!AE44*参数!$B$12)*参数!$B$2+卡牌总表!AQ44*参数!$B$15+卡牌总表!AB44*参数!$B$11+卡牌总表!AF44*参数!$B$40*参数!$B$2+卡牌总表!AG44*参数!$B$44*参数!$B$2+卡牌总表!AH44*参数!$B$6*参数!$B$2+卡牌总表!AI44*参数!$B$39*参数!$B$2+卡牌总表!AJ44*参数!$B$6*参数!$B$2+卡牌总表!Z44*参数!$B$13-卡牌总表!T44*参数!$B$14-卡牌总表!AD44*参数!$B$13+IF(ISNUMBER(卡牌总表!AU44),卡牌总表!AU44*参数!$B$38,0)-卡牌总表!AV44*参数!$B$41-卡牌总表!AW44*参数!$B$14</f>
        <v>0</v>
      </c>
      <c r="J44">
        <f>IF(AND(卡牌总表!F44="能力",卡牌总表!AL44="能力持续"),(参数!$B$2-1)*参数!$B$3,0)</f>
        <v>3.5999999999999996</v>
      </c>
      <c r="K44">
        <f t="shared" si="1"/>
        <v>3.5999999999999996</v>
      </c>
      <c r="L44">
        <f>卡牌总表!N44*卡牌总表!O44*参数!$B$5*IF(AND(卡牌总表!F44="能力",卡牌总表!AL44="能力持续"),参数!$B$2,1)+卡牌总表!Q44*参数!$B$6*IF(AND(卡牌总表!F44="能力",卡牌总表!AL44="能力持续"),参数!$B$2,1)+卡牌总表!S44*参数!$B$7*IF(AND(卡牌总表!F44="能力",卡牌总表!AL44="能力持续"),参数!$B$2,1)+卡牌总表!W44*参数!$B$8+IF(卡牌总表!Y44&lt;0,卡牌总表!Y44*参数!$B$13,卡牌总表!Y44*参数!$B$39)+IF(卡牌总表!AE44&lt;0,卡牌总表!AE44*参数!$B$13,卡牌总表!AE44*参数!$B$12)*参数!$B$2+卡牌总表!AR44*参数!$B$15+卡牌总表!AC44*参数!$B$11+卡牌总表!AF44*参数!$B$40*参数!$B$2+卡牌总表!AG44*参数!$B$44*参数!$B$2+卡牌总表!AH44*参数!$B$6*参数!$B$2+卡牌总表!AI44*参数!$B$39*参数!$B$2+卡牌总表!AJ44*参数!$B$6*参数!$B$2+卡牌总表!AA44*参数!$B$13-卡牌总表!U44*参数!$B$14-卡牌总表!AD44*参数!$B$13+IF(ISNUMBER(卡牌总表!AU44),卡牌总表!AU44*参数!$B$38,0)-卡牌总表!AV44*参数!$B$41-卡牌总表!AW44*参数!$B$14</f>
        <v>15</v>
      </c>
      <c r="M44">
        <f>IF(AND(卡牌总表!F44="能力",卡牌总表!AL44="能力持续"),参数!$B$2*参数!$B$3,0)</f>
        <v>4.8</v>
      </c>
      <c r="N44">
        <f t="shared" si="2"/>
        <v>19.8</v>
      </c>
      <c r="O44">
        <f>IFERROR(MAX(IF(K44 &gt; 参数!$B$17,参数!$B$17+SQRT(K44-参数!$B$17)*参数!$B$18,K44)-MAX(G44,0)*参数!$B$10,0)/MAX(G44,0.4),0)</f>
        <v>0</v>
      </c>
      <c r="P44">
        <f>IFERROR(MAX(IF(N44 &gt; 参数!$B$17,参数!$B$17+SQRT(N44-参数!$B$17)*参数!$B$18,N44)-MAX(H44,0)*参数!$B$10,0)/MAX(H44,0.4),0)</f>
        <v>4.3478713763747789</v>
      </c>
      <c r="Q44">
        <f>卡牌总表!AO44</f>
        <v>0</v>
      </c>
    </row>
    <row r="45" spans="1:17" x14ac:dyDescent="0.3">
      <c r="A45">
        <f t="shared" si="0"/>
        <v>44</v>
      </c>
      <c r="B45" t="str">
        <f>卡牌总表!B45</f>
        <v>ironclad_hemokinesis</v>
      </c>
      <c r="C45" t="str">
        <f>卡牌总表!D45</f>
        <v>血动能</v>
      </c>
      <c r="D45" t="str">
        <f>卡牌总表!F45</f>
        <v>攻击</v>
      </c>
      <c r="E45">
        <f>卡牌总表!AL45</f>
        <v>0</v>
      </c>
      <c r="F45">
        <f>卡牌总表!AN45</f>
        <v>0</v>
      </c>
      <c r="G45">
        <f>卡牌总表!AP45</f>
        <v>1</v>
      </c>
      <c r="H45">
        <f>IF(ISNUMBER(卡牌总表!H45),IF(AND(卡牌总表!H45=0,卡牌总表!V45=0,卡牌总表!AK45="none"),0.4,IF(卡牌总表!AK45="exhaust",MAX(卡牌总表!H45-卡牌总表!V45,0.4),IF(卡牌总表!AK45="ethereal",MAX(卡牌总表!H45-卡牌总表!V45,0.4),MAX(卡牌总表!H45-卡牌总表!V45,0.4)))),IF(OR(卡牌总表!H45="X",卡牌总表!H45="∞"),0.4,0.4))</f>
        <v>1</v>
      </c>
      <c r="I45">
        <f>卡牌总表!M45*卡牌总表!O45*参数!$B$5*IF(AND(卡牌总表!F45="能力",卡牌总表!AL45="能力持续"),参数!$B$2,1)+卡牌总表!P45*参数!$B$6*IF(AND(卡牌总表!F45="能力",卡牌总表!AL45="能力持续"),参数!$B$2,1)+卡牌总表!R45*参数!$B$7*IF(AND(卡牌总表!F45="能力",卡牌总表!AL45="能力持续"),参数!$B$2,1)+卡牌总表!V45*参数!$B$8+IF(卡牌总表!X45&lt;0,卡牌总表!X45*参数!$B$13,卡牌总表!X45*参数!$B$39)+IF(卡牌总表!AE45&lt;0,卡牌总表!AE45*参数!$B$13,卡牌总表!AE45*参数!$B$12)*参数!$B$2+卡牌总表!AQ45*参数!$B$15+卡牌总表!AB45*参数!$B$11+卡牌总表!AF45*参数!$B$40*参数!$B$2+卡牌总表!AG45*参数!$B$44*参数!$B$2+卡牌总表!AH45*参数!$B$6*参数!$B$2+卡牌总表!AI45*参数!$B$39*参数!$B$2+卡牌总表!AJ45*参数!$B$6*参数!$B$2+卡牌总表!Z45*参数!$B$13-卡牌总表!T45*参数!$B$14-卡牌总表!AD45*参数!$B$13+IF(ISNUMBER(卡牌总表!AU45),卡牌总表!AU45*参数!$B$38,0)-卡牌总表!AV45*参数!$B$41-卡牌总表!AW45*参数!$B$14</f>
        <v>15</v>
      </c>
      <c r="J45">
        <f>IF(AND(卡牌总表!F45="能力",卡牌总表!AL45="能力持续"),(参数!$B$2-1)*参数!$B$3,0)</f>
        <v>0</v>
      </c>
      <c r="K45">
        <f t="shared" si="1"/>
        <v>15</v>
      </c>
      <c r="L45">
        <f>卡牌总表!N45*卡牌总表!O45*参数!$B$5*IF(AND(卡牌总表!F45="能力",卡牌总表!AL45="能力持续"),参数!$B$2,1)+卡牌总表!Q45*参数!$B$6*IF(AND(卡牌总表!F45="能力",卡牌总表!AL45="能力持续"),参数!$B$2,1)+卡牌总表!S45*参数!$B$7*IF(AND(卡牌总表!F45="能力",卡牌总表!AL45="能力持续"),参数!$B$2,1)+卡牌总表!W45*参数!$B$8+IF(卡牌总表!Y45&lt;0,卡牌总表!Y45*参数!$B$13,卡牌总表!Y45*参数!$B$39)+IF(卡牌总表!AE45&lt;0,卡牌总表!AE45*参数!$B$13,卡牌总表!AE45*参数!$B$12)*参数!$B$2+卡牌总表!AR45*参数!$B$15+卡牌总表!AC45*参数!$B$11+卡牌总表!AF45*参数!$B$40*参数!$B$2+卡牌总表!AG45*参数!$B$44*参数!$B$2+卡牌总表!AH45*参数!$B$6*参数!$B$2+卡牌总表!AI45*参数!$B$39*参数!$B$2+卡牌总表!AJ45*参数!$B$6*参数!$B$2+卡牌总表!AA45*参数!$B$13-卡牌总表!U45*参数!$B$14-卡牌总表!AD45*参数!$B$13+IF(ISNUMBER(卡牌总表!AU45),卡牌总表!AU45*参数!$B$38,0)-卡牌总表!AV45*参数!$B$41-卡牌总表!AW45*参数!$B$14</f>
        <v>20</v>
      </c>
      <c r="M45">
        <f>IF(AND(卡牌总表!F45="能力",卡牌总表!AL45="能力持续"),参数!$B$2*参数!$B$3,0)</f>
        <v>0</v>
      </c>
      <c r="N45">
        <f t="shared" si="2"/>
        <v>20</v>
      </c>
      <c r="O45">
        <f>IFERROR(MAX(IF(K45 &gt; 参数!$B$17,参数!$B$17+SQRT(K45-参数!$B$17)*参数!$B$18,K45)-MAX(G45,0)*参数!$B$10,0)/MAX(G45,0.4),0)</f>
        <v>10.354101966249685</v>
      </c>
      <c r="P45">
        <f>IFERROR(MAX(IF(N45 &gt; 参数!$B$17,参数!$B$17+SQRT(N45-参数!$B$17)*参数!$B$18,N45)-MAX(H45,0)*参数!$B$10,0)/MAX(H45,0.4),0)</f>
        <v>11.743416490252569</v>
      </c>
      <c r="Q45">
        <f>卡牌总表!AO45</f>
        <v>0</v>
      </c>
    </row>
    <row r="46" spans="1:17" x14ac:dyDescent="0.3">
      <c r="A46">
        <f t="shared" si="0"/>
        <v>45</v>
      </c>
      <c r="B46" t="str">
        <f>卡牌总表!B46</f>
        <v>ironclad_howl_from_beyond</v>
      </c>
      <c r="C46" t="str">
        <f>卡牌总表!D46</f>
        <v>彼岸咆哮</v>
      </c>
      <c r="D46" t="str">
        <f>卡牌总表!F46</f>
        <v>攻击</v>
      </c>
      <c r="E46">
        <f>卡牌总表!AL46</f>
        <v>0</v>
      </c>
      <c r="F46" t="str">
        <f>卡牌总表!AN46</f>
        <v>群体攻击</v>
      </c>
      <c r="G46">
        <f>卡牌总表!AP46</f>
        <v>3</v>
      </c>
      <c r="H46">
        <f>IF(ISNUMBER(卡牌总表!H46),IF(AND(卡牌总表!H46=0,卡牌总表!V46=0,卡牌总表!AK46="none"),0.4,IF(卡牌总表!AK46="exhaust",MAX(卡牌总表!H46-卡牌总表!V46,0.4),IF(卡牌总表!AK46="ethereal",MAX(卡牌总表!H46-卡牌总表!V46,0.4),MAX(卡牌总表!H46-卡牌总表!V46,0.4)))),IF(OR(卡牌总表!H46="X",卡牌总表!H46="∞"),0.4,0.4))</f>
        <v>3</v>
      </c>
      <c r="I46">
        <f>卡牌总表!M46*卡牌总表!O46*参数!$B$5*IF(AND(卡牌总表!F46="能力",卡牌总表!AL46="能力持续"),参数!$B$2,1)+卡牌总表!P46*参数!$B$6*IF(AND(卡牌总表!F46="能力",卡牌总表!AL46="能力持续"),参数!$B$2,1)+卡牌总表!R46*参数!$B$7*IF(AND(卡牌总表!F46="能力",卡牌总表!AL46="能力持续"),参数!$B$2,1)+卡牌总表!V46*参数!$B$8+IF(卡牌总表!X46&lt;0,卡牌总表!X46*参数!$B$13,卡牌总表!X46*参数!$B$39)+IF(卡牌总表!AE46&lt;0,卡牌总表!AE46*参数!$B$13,卡牌总表!AE46*参数!$B$12)*参数!$B$2+卡牌总表!AQ46*参数!$B$15+卡牌总表!AB46*参数!$B$11+卡牌总表!AF46*参数!$B$40*参数!$B$2+卡牌总表!AG46*参数!$B$44*参数!$B$2+卡牌总表!AH46*参数!$B$6*参数!$B$2+卡牌总表!AI46*参数!$B$39*参数!$B$2+卡牌总表!AJ46*参数!$B$6*参数!$B$2+卡牌总表!Z46*参数!$B$13-卡牌总表!T46*参数!$B$14-卡牌总表!AD46*参数!$B$13+IF(ISNUMBER(卡牌总表!AU46),卡牌总表!AU46*参数!$B$38,0)-卡牌总表!AV46*参数!$B$41-卡牌总表!AW46*参数!$B$14</f>
        <v>16</v>
      </c>
      <c r="J46">
        <f>IF(AND(卡牌总表!F46="能力",卡牌总表!AL46="能力持续"),(参数!$B$2-1)*参数!$B$3,0)</f>
        <v>0</v>
      </c>
      <c r="K46">
        <f t="shared" si="1"/>
        <v>16</v>
      </c>
      <c r="L46">
        <f>卡牌总表!N46*卡牌总表!O46*参数!$B$5*IF(AND(卡牌总表!F46="能力",卡牌总表!AL46="能力持续"),参数!$B$2,1)+卡牌总表!Q46*参数!$B$6*IF(AND(卡牌总表!F46="能力",卡牌总表!AL46="能力持续"),参数!$B$2,1)+卡牌总表!S46*参数!$B$7*IF(AND(卡牌总表!F46="能力",卡牌总表!AL46="能力持续"),参数!$B$2,1)+卡牌总表!W46*参数!$B$8+IF(卡牌总表!Y46&lt;0,卡牌总表!Y46*参数!$B$13,卡牌总表!Y46*参数!$B$39)+IF(卡牌总表!AE46&lt;0,卡牌总表!AE46*参数!$B$13,卡牌总表!AE46*参数!$B$12)*参数!$B$2+卡牌总表!AR46*参数!$B$15+卡牌总表!AC46*参数!$B$11+卡牌总表!AF46*参数!$B$40*参数!$B$2+卡牌总表!AG46*参数!$B$44*参数!$B$2+卡牌总表!AH46*参数!$B$6*参数!$B$2+卡牌总表!AI46*参数!$B$39*参数!$B$2+卡牌总表!AJ46*参数!$B$6*参数!$B$2+卡牌总表!AA46*参数!$B$13-卡牌总表!U46*参数!$B$14-卡牌总表!AD46*参数!$B$13+IF(ISNUMBER(卡牌总表!AU46),卡牌总表!AU46*参数!$B$38,0)-卡牌总表!AV46*参数!$B$41-卡牌总表!AW46*参数!$B$14</f>
        <v>21</v>
      </c>
      <c r="M46">
        <f>IF(AND(卡牌总表!F46="能力",卡牌总表!AL46="能力持续"),参数!$B$2*参数!$B$3,0)</f>
        <v>0</v>
      </c>
      <c r="N46">
        <f t="shared" si="2"/>
        <v>21</v>
      </c>
      <c r="O46">
        <f>IFERROR(MAX(IF(K46 &gt; 参数!$B$17,参数!$B$17+SQRT(K46-参数!$B$17)*参数!$B$18,K46)-MAX(G46,0)*参数!$B$10,0)/MAX(G46,0.4),0)</f>
        <v>1.5580782047249222</v>
      </c>
      <c r="P46">
        <f>IFERROR(MAX(IF(N46 &gt; 参数!$B$17,参数!$B$17+SQRT(N46-参数!$B$17)*参数!$B$18,N46)-MAX(H46,0)*参数!$B$10,0)/MAX(H46,0.4),0)</f>
        <v>1.9916457285110336</v>
      </c>
      <c r="Q46" t="str">
        <f>卡牌总表!AO46</f>
        <v>含消耗其他牌效果</v>
      </c>
    </row>
    <row r="47" spans="1:17" x14ac:dyDescent="0.3">
      <c r="A47">
        <f t="shared" si="0"/>
        <v>46</v>
      </c>
      <c r="B47" t="str">
        <f>卡牌总表!B47</f>
        <v>ironclad_impervious</v>
      </c>
      <c r="C47" t="str">
        <f>卡牌总表!D47</f>
        <v>岿然不动</v>
      </c>
      <c r="D47" t="str">
        <f>卡牌总表!F47</f>
        <v>技能</v>
      </c>
      <c r="E47">
        <f>卡牌总表!AL47</f>
        <v>0</v>
      </c>
      <c r="F47">
        <f>卡牌总表!AN47</f>
        <v>0</v>
      </c>
      <c r="G47">
        <f>卡牌总表!AP47</f>
        <v>2</v>
      </c>
      <c r="H47">
        <f>IF(ISNUMBER(卡牌总表!H47),IF(AND(卡牌总表!H47=0,卡牌总表!V47=0,卡牌总表!AK47="none"),0.4,IF(卡牌总表!AK47="exhaust",MAX(卡牌总表!H47-卡牌总表!V47,0.4),IF(卡牌总表!AK47="ethereal",MAX(卡牌总表!H47-卡牌总表!V47,0.4),MAX(卡牌总表!H47-卡牌总表!V47,0.4)))),IF(OR(卡牌总表!H47="X",卡牌总表!H47="∞"),0.4,0.4))</f>
        <v>2</v>
      </c>
      <c r="I47">
        <f>卡牌总表!M47*卡牌总表!O47*参数!$B$5*IF(AND(卡牌总表!F47="能力",卡牌总表!AL47="能力持续"),参数!$B$2,1)+卡牌总表!P47*参数!$B$6*IF(AND(卡牌总表!F47="能力",卡牌总表!AL47="能力持续"),参数!$B$2,1)+卡牌总表!R47*参数!$B$7*IF(AND(卡牌总表!F47="能力",卡牌总表!AL47="能力持续"),参数!$B$2,1)+卡牌总表!V47*参数!$B$8+IF(卡牌总表!X47&lt;0,卡牌总表!X47*参数!$B$13,卡牌总表!X47*参数!$B$39)+IF(卡牌总表!AE47&lt;0,卡牌总表!AE47*参数!$B$13,卡牌总表!AE47*参数!$B$12)*参数!$B$2+卡牌总表!AQ47*参数!$B$15+卡牌总表!AB47*参数!$B$11+卡牌总表!AF47*参数!$B$40*参数!$B$2+卡牌总表!AG47*参数!$B$44*参数!$B$2+卡牌总表!AH47*参数!$B$6*参数!$B$2+卡牌总表!AI47*参数!$B$39*参数!$B$2+卡牌总表!AJ47*参数!$B$6*参数!$B$2+卡牌总表!Z47*参数!$B$13-卡牌总表!T47*参数!$B$14-卡牌总表!AD47*参数!$B$13+IF(ISNUMBER(卡牌总表!AU47),卡牌总表!AU47*参数!$B$38,0)-卡牌总表!AV47*参数!$B$41-卡牌总表!AW47*参数!$B$14</f>
        <v>33</v>
      </c>
      <c r="J47">
        <f>IF(AND(卡牌总表!F47="能力",卡牌总表!AL47="能力持续"),(参数!$B$2-1)*参数!$B$3,0)</f>
        <v>0</v>
      </c>
      <c r="K47">
        <f t="shared" si="1"/>
        <v>33</v>
      </c>
      <c r="L47">
        <f>卡牌总表!N47*卡牌总表!O47*参数!$B$5*IF(AND(卡牌总表!F47="能力",卡牌总表!AL47="能力持续"),参数!$B$2,1)+卡牌总表!Q47*参数!$B$6*IF(AND(卡牌总表!F47="能力",卡牌总表!AL47="能力持续"),参数!$B$2,1)+卡牌总表!S47*参数!$B$7*IF(AND(卡牌总表!F47="能力",卡牌总表!AL47="能力持续"),参数!$B$2,1)+卡牌总表!W47*参数!$B$8+IF(卡牌总表!Y47&lt;0,卡牌总表!Y47*参数!$B$13,卡牌总表!Y47*参数!$B$39)+IF(卡牌总表!AE47&lt;0,卡牌总表!AE47*参数!$B$13,卡牌总表!AE47*参数!$B$12)*参数!$B$2+卡牌总表!AR47*参数!$B$15+卡牌总表!AC47*参数!$B$11+卡牌总表!AF47*参数!$B$40*参数!$B$2+卡牌总表!AG47*参数!$B$44*参数!$B$2+卡牌总表!AH47*参数!$B$6*参数!$B$2+卡牌总表!AI47*参数!$B$39*参数!$B$2+卡牌总表!AJ47*参数!$B$6*参数!$B$2+卡牌总表!AA47*参数!$B$13-卡牌总表!U47*参数!$B$14-卡牌总表!AD47*参数!$B$13+IF(ISNUMBER(卡牌总表!AU47),卡牌总表!AU47*参数!$B$38,0)-卡牌总表!AV47*参数!$B$41-卡牌总表!AW47*参数!$B$14</f>
        <v>44</v>
      </c>
      <c r="M47">
        <f>IF(AND(卡牌总表!F47="能力",卡牌总表!AL47="能力持续"),参数!$B$2*参数!$B$3,0)</f>
        <v>0</v>
      </c>
      <c r="N47">
        <f t="shared" si="2"/>
        <v>44</v>
      </c>
      <c r="O47">
        <f>IFERROR(MAX(IF(K47 &gt; 参数!$B$17,参数!$B$17+SQRT(K47-参数!$B$17)*参数!$B$18,K47)-MAX(G47,0)*参数!$B$10,0)/MAX(G47,0.4),0)</f>
        <v>5.5968736424845389</v>
      </c>
      <c r="P47">
        <f>IFERROR(MAX(IF(N47 &gt; 参数!$B$17,参数!$B$17+SQRT(N47-参数!$B$17)*参数!$B$18,N47)-MAX(H47,0)*参数!$B$10,0)/MAX(H47,0.4),0)</f>
        <v>6.373213921133976</v>
      </c>
      <c r="Q47">
        <f>卡牌总表!AO47</f>
        <v>0</v>
      </c>
    </row>
    <row r="48" spans="1:17" x14ac:dyDescent="0.3">
      <c r="A48">
        <f t="shared" si="0"/>
        <v>47</v>
      </c>
      <c r="B48" t="str">
        <f>卡牌总表!B48</f>
        <v>ironclad_infernal_blade</v>
      </c>
      <c r="C48" t="str">
        <f>卡牌总表!D48</f>
        <v>地狱之刃</v>
      </c>
      <c r="D48" t="str">
        <f>卡牌总表!F48</f>
        <v>技能</v>
      </c>
      <c r="E48">
        <f>卡牌总表!AL48</f>
        <v>0</v>
      </c>
      <c r="F48" t="str">
        <f>卡牌总表!AN48</f>
        <v>本回合</v>
      </c>
      <c r="G48">
        <f>卡牌总表!AP48</f>
        <v>1</v>
      </c>
      <c r="H48">
        <f>IF(ISNUMBER(卡牌总表!H48),IF(AND(卡牌总表!H48=0,卡牌总表!V48=0,卡牌总表!AK48="none"),0.4,IF(卡牌总表!AK48="exhaust",MAX(卡牌总表!H48-卡牌总表!V48,0.4),IF(卡牌总表!AK48="ethereal",MAX(卡牌总表!H48-卡牌总表!V48,0.4),MAX(卡牌总表!H48-卡牌总表!V48,0.4)))),IF(OR(卡牌总表!H48="X",卡牌总表!H48="∞"),0.4,0.4))</f>
        <v>1</v>
      </c>
      <c r="I48">
        <f>卡牌总表!M48*卡牌总表!O48*参数!$B$5*IF(AND(卡牌总表!F48="能力",卡牌总表!AL48="能力持续"),参数!$B$2,1)+卡牌总表!P48*参数!$B$6*IF(AND(卡牌总表!F48="能力",卡牌总表!AL48="能力持续"),参数!$B$2,1)+卡牌总表!R48*参数!$B$7*IF(AND(卡牌总表!F48="能力",卡牌总表!AL48="能力持续"),参数!$B$2,1)+卡牌总表!V48*参数!$B$8+IF(卡牌总表!X48&lt;0,卡牌总表!X48*参数!$B$13,卡牌总表!X48*参数!$B$39)+IF(卡牌总表!AE48&lt;0,卡牌总表!AE48*参数!$B$13,卡牌总表!AE48*参数!$B$12)*参数!$B$2+卡牌总表!AQ48*参数!$B$15+卡牌总表!AB48*参数!$B$11+卡牌总表!AF48*参数!$B$40*参数!$B$2+卡牌总表!AG48*参数!$B$44*参数!$B$2+卡牌总表!AH48*参数!$B$6*参数!$B$2+卡牌总表!AI48*参数!$B$39*参数!$B$2+卡牌总表!AJ48*参数!$B$6*参数!$B$2+卡牌总表!Z48*参数!$B$13-卡牌总表!T48*参数!$B$14-卡牌总表!AD48*参数!$B$13+IF(ISNUMBER(卡牌总表!AU48),卡牌总表!AU48*参数!$B$38,0)-卡牌总表!AV48*参数!$B$41-卡牌总表!AW48*参数!$B$14</f>
        <v>9</v>
      </c>
      <c r="J48">
        <f>IF(AND(卡牌总表!F48="能力",卡牌总表!AL48="能力持续"),(参数!$B$2-1)*参数!$B$3,0)</f>
        <v>0</v>
      </c>
      <c r="K48">
        <f t="shared" si="1"/>
        <v>9</v>
      </c>
      <c r="L48">
        <f>卡牌总表!N48*卡牌总表!O48*参数!$B$5*IF(AND(卡牌总表!F48="能力",卡牌总表!AL48="能力持续"),参数!$B$2,1)+卡牌总表!Q48*参数!$B$6*IF(AND(卡牌总表!F48="能力",卡牌总表!AL48="能力持续"),参数!$B$2,1)+卡牌总表!S48*参数!$B$7*IF(AND(卡牌总表!F48="能力",卡牌总表!AL48="能力持续"),参数!$B$2,1)+卡牌总表!W48*参数!$B$8+IF(卡牌总表!Y48&lt;0,卡牌总表!Y48*参数!$B$13,卡牌总表!Y48*参数!$B$39)+IF(卡牌总表!AE48&lt;0,卡牌总表!AE48*参数!$B$13,卡牌总表!AE48*参数!$B$12)*参数!$B$2+卡牌总表!AR48*参数!$B$15+卡牌总表!AC48*参数!$B$11+卡牌总表!AF48*参数!$B$40*参数!$B$2+卡牌总表!AG48*参数!$B$44*参数!$B$2+卡牌总表!AH48*参数!$B$6*参数!$B$2+卡牌总表!AI48*参数!$B$39*参数!$B$2+卡牌总表!AJ48*参数!$B$6*参数!$B$2+卡牌总表!AA48*参数!$B$13-卡牌总表!U48*参数!$B$14-卡牌总表!AD48*参数!$B$13+IF(ISNUMBER(卡牌总表!AU48),卡牌总表!AU48*参数!$B$38,0)-卡牌总表!AV48*参数!$B$41-卡牌总表!AW48*参数!$B$14</f>
        <v>12</v>
      </c>
      <c r="M48">
        <f>IF(AND(卡牌总表!F48="能力",卡牌总表!AL48="能力持续"),参数!$B$2*参数!$B$3,0)</f>
        <v>0</v>
      </c>
      <c r="N48">
        <f t="shared" si="2"/>
        <v>12</v>
      </c>
      <c r="O48">
        <f>IFERROR(MAX(IF(K48 &gt; 参数!$B$17,参数!$B$17+SQRT(K48-参数!$B$17)*参数!$B$18,K48)-MAX(G48,0)*参数!$B$10,0)/MAX(G48,0.4),0)</f>
        <v>6</v>
      </c>
      <c r="P48">
        <f>IFERROR(MAX(IF(N48 &gt; 参数!$B$17,参数!$B$17+SQRT(N48-参数!$B$17)*参数!$B$18,N48)-MAX(H48,0)*参数!$B$10,0)/MAX(H48,0.4),0)</f>
        <v>9.1213203435596419</v>
      </c>
      <c r="Q48">
        <f>卡牌总表!AO48</f>
        <v>0</v>
      </c>
    </row>
    <row r="49" spans="1:17" x14ac:dyDescent="0.3">
      <c r="A49">
        <f t="shared" si="0"/>
        <v>48</v>
      </c>
      <c r="B49" t="str">
        <f>卡牌总表!B49</f>
        <v>ironclad_inferno</v>
      </c>
      <c r="C49" t="str">
        <f>卡牌总表!D49</f>
        <v>狱火</v>
      </c>
      <c r="D49" t="str">
        <f>卡牌总表!F49</f>
        <v>能力</v>
      </c>
      <c r="E49" t="str">
        <f>卡牌总表!AL49</f>
        <v>能力持续</v>
      </c>
      <c r="F49" t="str">
        <f>卡牌总表!AN49</f>
        <v>群体攻击，能力</v>
      </c>
      <c r="G49">
        <f>卡牌总表!AP49</f>
        <v>1</v>
      </c>
      <c r="H49">
        <f>IF(ISNUMBER(卡牌总表!H49),IF(AND(卡牌总表!H49=0,卡牌总表!V49=0,卡牌总表!AK49="none"),0.4,IF(卡牌总表!AK49="exhaust",MAX(卡牌总表!H49-卡牌总表!V49,0.4),IF(卡牌总表!AK49="ethereal",MAX(卡牌总表!H49-卡牌总表!V49,0.4),MAX(卡牌总表!H49-卡牌总表!V49,0.4)))),IF(OR(卡牌总表!H49="X",卡牌总表!H49="∞"),0.4,0.4))</f>
        <v>1</v>
      </c>
      <c r="I49">
        <f>卡牌总表!M49*卡牌总表!O49*参数!$B$5*IF(AND(卡牌总表!F49="能力",卡牌总表!AL49="能力持续"),参数!$B$2,1)+卡牌总表!P49*参数!$B$6*IF(AND(卡牌总表!F49="能力",卡牌总表!AL49="能力持续"),参数!$B$2,1)+卡牌总表!R49*参数!$B$7*IF(AND(卡牌总表!F49="能力",卡牌总表!AL49="能力持续"),参数!$B$2,1)+卡牌总表!V49*参数!$B$8+IF(卡牌总表!X49&lt;0,卡牌总表!X49*参数!$B$13,卡牌总表!X49*参数!$B$39)+IF(卡牌总表!AE49&lt;0,卡牌总表!AE49*参数!$B$13,卡牌总表!AE49*参数!$B$12)*参数!$B$2+卡牌总表!AQ49*参数!$B$15+卡牌总表!AB49*参数!$B$11+卡牌总表!AF49*参数!$B$40*参数!$B$2+卡牌总表!AG49*参数!$B$44*参数!$B$2+卡牌总表!AH49*参数!$B$6*参数!$B$2+卡牌总表!AI49*参数!$B$39*参数!$B$2+卡牌总表!AJ49*参数!$B$6*参数!$B$2+卡牌总表!Z49*参数!$B$13-卡牌总表!T49*参数!$B$14-卡牌总表!AD49*参数!$B$13+IF(ISNUMBER(卡牌总表!AU49),卡牌总表!AU49*参数!$B$38,0)-卡牌总表!AV49*参数!$B$41-卡牌总表!AW49*参数!$B$14</f>
        <v>21</v>
      </c>
      <c r="J49">
        <f>IF(AND(卡牌总表!F49="能力",卡牌总表!AL49="能力持续"),(参数!$B$2-1)*参数!$B$3,0)</f>
        <v>3.5999999999999996</v>
      </c>
      <c r="K49">
        <f t="shared" si="1"/>
        <v>24.6</v>
      </c>
      <c r="L49">
        <f>卡牌总表!N49*卡牌总表!O49*参数!$B$5*IF(AND(卡牌总表!F49="能力",卡牌总表!AL49="能力持续"),参数!$B$2,1)+卡牌总表!Q49*参数!$B$6*IF(AND(卡牌总表!F49="能力",卡牌总表!AL49="能力持续"),参数!$B$2,1)+卡牌总表!S49*参数!$B$7*IF(AND(卡牌总表!F49="能力",卡牌总表!AL49="能力持续"),参数!$B$2,1)+卡牌总表!W49*参数!$B$8+IF(卡牌总表!Y49&lt;0,卡牌总表!Y49*参数!$B$13,卡牌总表!Y49*参数!$B$39)+IF(卡牌总表!AE49&lt;0,卡牌总表!AE49*参数!$B$13,卡牌总表!AE49*参数!$B$12)*参数!$B$2+卡牌总表!AR49*参数!$B$15+卡牌总表!AC49*参数!$B$11+卡牌总表!AF49*参数!$B$40*参数!$B$2+卡牌总表!AG49*参数!$B$44*参数!$B$2+卡牌总表!AH49*参数!$B$6*参数!$B$2+卡牌总表!AI49*参数!$B$39*参数!$B$2+卡牌总表!AJ49*参数!$B$6*参数!$B$2+卡牌总表!AA49*参数!$B$13-卡牌总表!U49*参数!$B$14-卡牌总表!AD49*参数!$B$13+IF(ISNUMBER(卡牌总表!AU49),卡牌总表!AU49*参数!$B$38,0)-卡牌总表!AV49*参数!$B$41-卡牌总表!AW49*参数!$B$14</f>
        <v>33</v>
      </c>
      <c r="M49">
        <f>IF(AND(卡牌总表!F49="能力",卡牌总表!AL49="能力持续"),参数!$B$2*参数!$B$3,0)</f>
        <v>4.8</v>
      </c>
      <c r="N49">
        <f t="shared" si="2"/>
        <v>37.799999999999997</v>
      </c>
      <c r="O49">
        <f>IFERROR(MAX(IF(K49 &gt; 参数!$B$17,参数!$B$17+SQRT(K49-参数!$B$17)*参数!$B$18,K49)-MAX(G49,0)*参数!$B$10,0)/MAX(G49,0.4),0)</f>
        <v>12.731491952362841</v>
      </c>
      <c r="P49">
        <f>IFERROR(MAX(IF(N49 &gt; 参数!$B$17,参数!$B$17+SQRT(N49-参数!$B$17)*参数!$B$18,N49)-MAX(H49,0)*参数!$B$10,0)/MAX(H49,0.4),0)</f>
        <v>14.908855795878441</v>
      </c>
      <c r="Q49">
        <f>卡牌总表!AO49</f>
        <v>0</v>
      </c>
    </row>
    <row r="50" spans="1:17" x14ac:dyDescent="0.3">
      <c r="A50">
        <f t="shared" si="0"/>
        <v>49</v>
      </c>
      <c r="B50" t="str">
        <f>卡牌总表!B50</f>
        <v>ironclad_inflame</v>
      </c>
      <c r="C50" t="str">
        <f>卡牌总表!D50</f>
        <v>燃烧</v>
      </c>
      <c r="D50" t="str">
        <f>卡牌总表!F50</f>
        <v>能力</v>
      </c>
      <c r="E50">
        <f>卡牌总表!AL50</f>
        <v>0</v>
      </c>
      <c r="F50" t="str">
        <f>卡牌总表!AN50</f>
        <v>能力</v>
      </c>
      <c r="G50">
        <f>卡牌总表!AP50</f>
        <v>1</v>
      </c>
      <c r="H50">
        <f>IF(ISNUMBER(卡牌总表!H50),IF(AND(卡牌总表!H50=0,卡牌总表!V50=0,卡牌总表!AK50="none"),0.4,IF(卡牌总表!AK50="exhaust",MAX(卡牌总表!H50-卡牌总表!V50,0.4),IF(卡牌总表!AK50="ethereal",MAX(卡牌总表!H50-卡牌总表!V50,0.4),MAX(卡牌总表!H50-卡牌总表!V50,0.4)))),IF(OR(卡牌总表!H50="X",卡牌总表!H50="∞"),0.4,0.4))</f>
        <v>1</v>
      </c>
      <c r="I50">
        <f>卡牌总表!M50*卡牌总表!O50*参数!$B$5*IF(AND(卡牌总表!F50="能力",卡牌总表!AL50="能力持续"),参数!$B$2,1)+卡牌总表!P50*参数!$B$6*IF(AND(卡牌总表!F50="能力",卡牌总表!AL50="能力持续"),参数!$B$2,1)+卡牌总表!R50*参数!$B$7*IF(AND(卡牌总表!F50="能力",卡牌总表!AL50="能力持续"),参数!$B$2,1)+卡牌总表!V50*参数!$B$8+IF(卡牌总表!X50&lt;0,卡牌总表!X50*参数!$B$13,卡牌总表!X50*参数!$B$39)+IF(卡牌总表!AE50&lt;0,卡牌总表!AE50*参数!$B$13,卡牌总表!AE50*参数!$B$12)*参数!$B$2+卡牌总表!AQ50*参数!$B$15+卡牌总表!AB50*参数!$B$11+卡牌总表!AF50*参数!$B$40*参数!$B$2+卡牌总表!AG50*参数!$B$44*参数!$B$2+卡牌总表!AH50*参数!$B$6*参数!$B$2+卡牌总表!AI50*参数!$B$39*参数!$B$2+卡牌总表!AJ50*参数!$B$6*参数!$B$2+卡牌总表!Z50*参数!$B$13-卡牌总表!T50*参数!$B$14-卡牌总表!AD50*参数!$B$13+IF(ISNUMBER(卡牌总表!AU50),卡牌总表!AU50*参数!$B$38,0)-卡牌总表!AV50*参数!$B$41-卡牌总表!AW50*参数!$B$14</f>
        <v>9.6</v>
      </c>
      <c r="J50">
        <f>IF(AND(卡牌总表!F50="能力",卡牌总表!AL50="能力持续"),(参数!$B$2-1)*参数!$B$3,0)</f>
        <v>0</v>
      </c>
      <c r="K50">
        <f t="shared" si="1"/>
        <v>9.6</v>
      </c>
      <c r="L50">
        <f>卡牌总表!N50*卡牌总表!O50*参数!$B$5*IF(AND(卡牌总表!F50="能力",卡牌总表!AL50="能力持续"),参数!$B$2,1)+卡牌总表!Q50*参数!$B$6*IF(AND(卡牌总表!F50="能力",卡牌总表!AL50="能力持续"),参数!$B$2,1)+卡牌总表!S50*参数!$B$7*IF(AND(卡牌总表!F50="能力",卡牌总表!AL50="能力持续"),参数!$B$2,1)+卡牌总表!W50*参数!$B$8+IF(卡牌总表!Y50&lt;0,卡牌总表!Y50*参数!$B$13,卡牌总表!Y50*参数!$B$39)+IF(卡牌总表!AE50&lt;0,卡牌总表!AE50*参数!$B$13,卡牌总表!AE50*参数!$B$12)*参数!$B$2+卡牌总表!AR50*参数!$B$15+卡牌总表!AC50*参数!$B$11+卡牌总表!AF50*参数!$B$40*参数!$B$2+卡牌总表!AG50*参数!$B$44*参数!$B$2+卡牌总表!AH50*参数!$B$6*参数!$B$2+卡牌总表!AI50*参数!$B$39*参数!$B$2+卡牌总表!AJ50*参数!$B$6*参数!$B$2+卡牌总表!AA50*参数!$B$13-卡牌总表!U50*参数!$B$14-卡牌总表!AD50*参数!$B$13+IF(ISNUMBER(卡牌总表!AU50),卡牌总表!AU50*参数!$B$38,0)-卡牌总表!AV50*参数!$B$41-卡牌总表!AW50*参数!$B$14</f>
        <v>9.6</v>
      </c>
      <c r="M50">
        <f>IF(AND(卡牌总表!F50="能力",卡牌总表!AL50="能力持续"),参数!$B$2*参数!$B$3,0)</f>
        <v>0</v>
      </c>
      <c r="N50">
        <f t="shared" si="2"/>
        <v>9.6</v>
      </c>
      <c r="O50">
        <f>IFERROR(MAX(IF(K50 &gt; 参数!$B$17,参数!$B$17+SQRT(K50-参数!$B$17)*参数!$B$18,K50)-MAX(G50,0)*参数!$B$10,0)/MAX(G50,0.4),0)</f>
        <v>6.6</v>
      </c>
      <c r="P50">
        <f>IFERROR(MAX(IF(N50 &gt; 参数!$B$17,参数!$B$17+SQRT(N50-参数!$B$17)*参数!$B$18,N50)-MAX(H50,0)*参数!$B$10,0)/MAX(H50,0.4),0)</f>
        <v>6.6</v>
      </c>
      <c r="Q50">
        <f>卡牌总表!AO50</f>
        <v>0</v>
      </c>
    </row>
    <row r="51" spans="1:17" x14ac:dyDescent="0.3">
      <c r="A51">
        <f t="shared" si="0"/>
        <v>50</v>
      </c>
      <c r="B51" t="str">
        <f>卡牌总表!B51</f>
        <v>ironclad_iron_wave</v>
      </c>
      <c r="C51" t="str">
        <f>卡牌总表!D51</f>
        <v>铁斩波</v>
      </c>
      <c r="D51" t="str">
        <f>卡牌总表!F51</f>
        <v>攻击</v>
      </c>
      <c r="E51">
        <f>卡牌总表!AL51</f>
        <v>0</v>
      </c>
      <c r="F51">
        <f>卡牌总表!AN51</f>
        <v>0</v>
      </c>
      <c r="G51">
        <f>卡牌总表!AP51</f>
        <v>1</v>
      </c>
      <c r="H51">
        <f>IF(ISNUMBER(卡牌总表!H51),IF(AND(卡牌总表!H51=0,卡牌总表!V51=0,卡牌总表!AK51="none"),0.4,IF(卡牌总表!AK51="exhaust",MAX(卡牌总表!H51-卡牌总表!V51,0.4),IF(卡牌总表!AK51="ethereal",MAX(卡牌总表!H51-卡牌总表!V51,0.4),MAX(卡牌总表!H51-卡牌总表!V51,0.4)))),IF(OR(卡牌总表!H51="X",卡牌总表!H51="∞"),0.4,0.4))</f>
        <v>1</v>
      </c>
      <c r="I51">
        <f>卡牌总表!M51*卡牌总表!O51*参数!$B$5*IF(AND(卡牌总表!F51="能力",卡牌总表!AL51="能力持续"),参数!$B$2,1)+卡牌总表!P51*参数!$B$6*IF(AND(卡牌总表!F51="能力",卡牌总表!AL51="能力持续"),参数!$B$2,1)+卡牌总表!R51*参数!$B$7*IF(AND(卡牌总表!F51="能力",卡牌总表!AL51="能力持续"),参数!$B$2,1)+卡牌总表!V51*参数!$B$8+IF(卡牌总表!X51&lt;0,卡牌总表!X51*参数!$B$13,卡牌总表!X51*参数!$B$39)+IF(卡牌总表!AE51&lt;0,卡牌总表!AE51*参数!$B$13,卡牌总表!AE51*参数!$B$12)*参数!$B$2+卡牌总表!AQ51*参数!$B$15+卡牌总表!AB51*参数!$B$11+卡牌总表!AF51*参数!$B$40*参数!$B$2+卡牌总表!AG51*参数!$B$44*参数!$B$2+卡牌总表!AH51*参数!$B$6*参数!$B$2+卡牌总表!AI51*参数!$B$39*参数!$B$2+卡牌总表!AJ51*参数!$B$6*参数!$B$2+卡牌总表!Z51*参数!$B$13-卡牌总表!T51*参数!$B$14-卡牌总表!AD51*参数!$B$13+IF(ISNUMBER(卡牌总表!AU51),卡牌总表!AU51*参数!$B$38,0)-卡牌总表!AV51*参数!$B$41-卡牌总表!AW51*参数!$B$14</f>
        <v>10.5</v>
      </c>
      <c r="J51">
        <f>IF(AND(卡牌总表!F51="能力",卡牌总表!AL51="能力持续"),(参数!$B$2-1)*参数!$B$3,0)</f>
        <v>0</v>
      </c>
      <c r="K51">
        <f t="shared" si="1"/>
        <v>10.5</v>
      </c>
      <c r="L51">
        <f>卡牌总表!N51*卡牌总表!O51*参数!$B$5*IF(AND(卡牌总表!F51="能力",卡牌总表!AL51="能力持续"),参数!$B$2,1)+卡牌总表!Q51*参数!$B$6*IF(AND(卡牌总表!F51="能力",卡牌总表!AL51="能力持续"),参数!$B$2,1)+卡牌总表!S51*参数!$B$7*IF(AND(卡牌总表!F51="能力",卡牌总表!AL51="能力持续"),参数!$B$2,1)+卡牌总表!W51*参数!$B$8+IF(卡牌总表!Y51&lt;0,卡牌总表!Y51*参数!$B$13,卡牌总表!Y51*参数!$B$39)+IF(卡牌总表!AE51&lt;0,卡牌总表!AE51*参数!$B$13,卡牌总表!AE51*参数!$B$12)*参数!$B$2+卡牌总表!AR51*参数!$B$15+卡牌总表!AC51*参数!$B$11+卡牌总表!AF51*参数!$B$40*参数!$B$2+卡牌总表!AG51*参数!$B$44*参数!$B$2+卡牌总表!AH51*参数!$B$6*参数!$B$2+卡牌总表!AI51*参数!$B$39*参数!$B$2+卡牌总表!AJ51*参数!$B$6*参数!$B$2+卡牌总表!AA51*参数!$B$13-卡牌总表!U51*参数!$B$14-卡牌总表!AD51*参数!$B$13+IF(ISNUMBER(卡牌总表!AU51),卡牌总表!AU51*参数!$B$38,0)-卡牌总表!AV51*参数!$B$41-卡牌总表!AW51*参数!$B$14</f>
        <v>14.700000000000001</v>
      </c>
      <c r="M51">
        <f>IF(AND(卡牌总表!F51="能力",卡牌总表!AL51="能力持续"),参数!$B$2*参数!$B$3,0)</f>
        <v>0</v>
      </c>
      <c r="N51">
        <f t="shared" si="2"/>
        <v>14.700000000000001</v>
      </c>
      <c r="O51">
        <f>IFERROR(MAX(IF(K51 &gt; 参数!$B$17,参数!$B$17+SQRT(K51-参数!$B$17)*参数!$B$18,K51)-MAX(G51,0)*参数!$B$10,0)/MAX(G51,0.4),0)</f>
        <v>8.060660171779821</v>
      </c>
      <c r="P51">
        <f>IFERROR(MAX(IF(N51 &gt; 参数!$B$17,参数!$B$17+SQRT(N51-参数!$B$17)*参数!$B$18,N51)-MAX(H51,0)*参数!$B$10,0)/MAX(H51,0.4),0)</f>
        <v>10.251922508301821</v>
      </c>
      <c r="Q51">
        <f>卡牌总表!AO51</f>
        <v>0</v>
      </c>
    </row>
    <row r="52" spans="1:17" x14ac:dyDescent="0.3">
      <c r="A52">
        <f t="shared" si="0"/>
        <v>51</v>
      </c>
      <c r="B52" t="str">
        <f>卡牌总表!B52</f>
        <v>ironclad_juggernaut</v>
      </c>
      <c r="C52" t="str">
        <f>卡牌总表!D52</f>
        <v>主宰</v>
      </c>
      <c r="D52" t="str">
        <f>卡牌总表!F52</f>
        <v>能力</v>
      </c>
      <c r="E52" t="str">
        <f>卡牌总表!AL52</f>
        <v>能力持续</v>
      </c>
      <c r="F52" t="str">
        <f>卡牌总表!AN52</f>
        <v>能力</v>
      </c>
      <c r="G52">
        <f>卡牌总表!AP52</f>
        <v>2</v>
      </c>
      <c r="H52">
        <f>IF(ISNUMBER(卡牌总表!H52),IF(AND(卡牌总表!H52=0,卡牌总表!V52=0,卡牌总表!AK52="none"),0.4,IF(卡牌总表!AK52="exhaust",MAX(卡牌总表!H52-卡牌总表!V52,0.4),IF(卡牌总表!AK52="ethereal",MAX(卡牌总表!H52-卡牌总表!V52,0.4),MAX(卡牌总表!H52-卡牌总表!V52,0.4)))),IF(OR(卡牌总表!H52="X",卡牌总表!H52="∞"),0.4,0.4))</f>
        <v>2</v>
      </c>
      <c r="I52">
        <f>卡牌总表!M52*卡牌总表!O52*参数!$B$5*IF(AND(卡牌总表!F52="能力",卡牌总表!AL52="能力持续"),参数!$B$2,1)+卡牌总表!P52*参数!$B$6*IF(AND(卡牌总表!F52="能力",卡牌总表!AL52="能力持续"),参数!$B$2,1)+卡牌总表!R52*参数!$B$7*IF(AND(卡牌总表!F52="能力",卡牌总表!AL52="能力持续"),参数!$B$2,1)+卡牌总表!V52*参数!$B$8+IF(卡牌总表!X52&lt;0,卡牌总表!X52*参数!$B$13,卡牌总表!X52*参数!$B$39)+IF(卡牌总表!AE52&lt;0,卡牌总表!AE52*参数!$B$13,卡牌总表!AE52*参数!$B$12)*参数!$B$2+卡牌总表!AQ52*参数!$B$15+卡牌总表!AB52*参数!$B$11+卡牌总表!AF52*参数!$B$40*参数!$B$2+卡牌总表!AG52*参数!$B$44*参数!$B$2+卡牌总表!AH52*参数!$B$6*参数!$B$2+卡牌总表!AI52*参数!$B$39*参数!$B$2+卡牌总表!AJ52*参数!$B$6*参数!$B$2+卡牌总表!Z52*参数!$B$13-卡牌总表!T52*参数!$B$14-卡牌总表!AD52*参数!$B$13+IF(ISNUMBER(卡牌总表!AU52),卡牌总表!AU52*参数!$B$38,0)-卡牌总表!AV52*参数!$B$41-卡牌总表!AW52*参数!$B$14</f>
        <v>24</v>
      </c>
      <c r="J52">
        <f>IF(AND(卡牌总表!F52="能力",卡牌总表!AL52="能力持续"),(参数!$B$2-1)*参数!$B$3,0)</f>
        <v>3.5999999999999996</v>
      </c>
      <c r="K52">
        <f t="shared" si="1"/>
        <v>27.6</v>
      </c>
      <c r="L52">
        <f>卡牌总表!N52*卡牌总表!O52*参数!$B$5*IF(AND(卡牌总表!F52="能力",卡牌总表!AL52="能力持续"),参数!$B$2,1)+卡牌总表!Q52*参数!$B$6*IF(AND(卡牌总表!F52="能力",卡牌总表!AL52="能力持续"),参数!$B$2,1)+卡牌总表!S52*参数!$B$7*IF(AND(卡牌总表!F52="能力",卡牌总表!AL52="能力持续"),参数!$B$2,1)+卡牌总表!W52*参数!$B$8+IF(卡牌总表!Y52&lt;0,卡牌总表!Y52*参数!$B$13,卡牌总表!Y52*参数!$B$39)+IF(卡牌总表!AE52&lt;0,卡牌总表!AE52*参数!$B$13,卡牌总表!AE52*参数!$B$12)*参数!$B$2+卡牌总表!AR52*参数!$B$15+卡牌总表!AC52*参数!$B$11+卡牌总表!AF52*参数!$B$40*参数!$B$2+卡牌总表!AG52*参数!$B$44*参数!$B$2+卡牌总表!AH52*参数!$B$6*参数!$B$2+卡牌总表!AI52*参数!$B$39*参数!$B$2+卡牌总表!AJ52*参数!$B$6*参数!$B$2+卡牌总表!AA52*参数!$B$13-卡牌总表!U52*参数!$B$14-卡牌总表!AD52*参数!$B$13+IF(ISNUMBER(卡牌总表!AU52),卡牌总表!AU52*参数!$B$38,0)-卡牌总表!AV52*参数!$B$41-卡牌总表!AW52*参数!$B$14</f>
        <v>32</v>
      </c>
      <c r="M52">
        <f>IF(AND(卡牌总表!F52="能力",卡牌总表!AL52="能力持续"),参数!$B$2*参数!$B$3,0)</f>
        <v>4.8</v>
      </c>
      <c r="N52">
        <f t="shared" si="2"/>
        <v>36.799999999999997</v>
      </c>
      <c r="O52">
        <f>IFERROR(MAX(IF(K52 &gt; 参数!$B$17,参数!$B$17+SQRT(K52-参数!$B$17)*参数!$B$18,K52)-MAX(G52,0)*参数!$B$10,0)/MAX(G52,0.4),0)</f>
        <v>5.1464265445104544</v>
      </c>
      <c r="P52">
        <f>IFERROR(MAX(IF(N52 &gt; 参数!$B$17,参数!$B$17+SQRT(N52-参数!$B$17)*参数!$B$18,N52)-MAX(H52,0)*参数!$B$10,0)/MAX(H52,0.4),0)</f>
        <v>5.8826537316634351</v>
      </c>
      <c r="Q52">
        <f>卡牌总表!AO52</f>
        <v>0</v>
      </c>
    </row>
    <row r="53" spans="1:17" x14ac:dyDescent="0.3">
      <c r="A53">
        <f t="shared" si="0"/>
        <v>52</v>
      </c>
      <c r="B53" t="str">
        <f>卡牌总表!B53</f>
        <v>ironclad_juggling</v>
      </c>
      <c r="C53" t="str">
        <f>卡牌总表!D53</f>
        <v>杂耍</v>
      </c>
      <c r="D53" t="str">
        <f>卡牌总表!F53</f>
        <v>能力</v>
      </c>
      <c r="E53" t="str">
        <f>卡牌总表!AL53</f>
        <v>能力持续</v>
      </c>
      <c r="F53" t="str">
        <f>卡牌总表!AN53</f>
        <v>能力</v>
      </c>
      <c r="G53">
        <f>卡牌总表!AP53</f>
        <v>1</v>
      </c>
      <c r="H53">
        <f>IF(ISNUMBER(卡牌总表!H53),IF(AND(卡牌总表!H53=0,卡牌总表!V53=0,卡牌总表!AK53="none"),0.4,IF(卡牌总表!AK53="exhaust",MAX(卡牌总表!H53-卡牌总表!V53,0.4),IF(卡牌总表!AK53="ethereal",MAX(卡牌总表!H53-卡牌总表!V53,0.4),MAX(卡牌总表!H53-卡牌总表!V53,0.4)))),IF(OR(卡牌总表!H53="X",卡牌总表!H53="∞"),0.4,0.4))</f>
        <v>1</v>
      </c>
      <c r="I53">
        <f>卡牌总表!M53*卡牌总表!O53*参数!$B$5*IF(AND(卡牌总表!F53="能力",卡牌总表!AL53="能力持续"),参数!$B$2,1)+卡牌总表!P53*参数!$B$6*IF(AND(卡牌总表!F53="能力",卡牌总表!AL53="能力持续"),参数!$B$2,1)+卡牌总表!R53*参数!$B$7*IF(AND(卡牌总表!F53="能力",卡牌总表!AL53="能力持续"),参数!$B$2,1)+卡牌总表!V53*参数!$B$8+IF(卡牌总表!X53&lt;0,卡牌总表!X53*参数!$B$13,卡牌总表!X53*参数!$B$39)+IF(卡牌总表!AE53&lt;0,卡牌总表!AE53*参数!$B$13,卡牌总表!AE53*参数!$B$12)*参数!$B$2+卡牌总表!AQ53*参数!$B$15+卡牌总表!AB53*参数!$B$11+卡牌总表!AF53*参数!$B$40*参数!$B$2+卡牌总表!AG53*参数!$B$44*参数!$B$2+卡牌总表!AH53*参数!$B$6*参数!$B$2+卡牌总表!AI53*参数!$B$39*参数!$B$2+卡牌总表!AJ53*参数!$B$6*参数!$B$2+卡牌总表!Z53*参数!$B$13-卡牌总表!T53*参数!$B$14-卡牌总表!AD53*参数!$B$13+IF(ISNUMBER(卡牌总表!AU53),卡牌总表!AU53*参数!$B$38,0)-卡牌总表!AV53*参数!$B$41-卡牌总表!AW53*参数!$B$14</f>
        <v>24</v>
      </c>
      <c r="J53">
        <f>IF(AND(卡牌总表!F53="能力",卡牌总表!AL53="能力持续"),(参数!$B$2-1)*参数!$B$3,0)</f>
        <v>3.5999999999999996</v>
      </c>
      <c r="K53">
        <f t="shared" si="1"/>
        <v>27.6</v>
      </c>
      <c r="L53">
        <f>卡牌总表!N53*卡牌总表!O53*参数!$B$5*IF(AND(卡牌总表!F53="能力",卡牌总表!AL53="能力持续"),参数!$B$2,1)+卡牌总表!Q53*参数!$B$6*IF(AND(卡牌总表!F53="能力",卡牌总表!AL53="能力持续"),参数!$B$2,1)+卡牌总表!S53*参数!$B$7*IF(AND(卡牌总表!F53="能力",卡牌总表!AL53="能力持续"),参数!$B$2,1)+卡牌总表!W53*参数!$B$8+IF(卡牌总表!Y53&lt;0,卡牌总表!Y53*参数!$B$13,卡牌总表!Y53*参数!$B$39)+IF(卡牌总表!AE53&lt;0,卡牌总表!AE53*参数!$B$13,卡牌总表!AE53*参数!$B$12)*参数!$B$2+卡牌总表!AR53*参数!$B$15+卡牌总表!AC53*参数!$B$11+卡牌总表!AF53*参数!$B$40*参数!$B$2+卡牌总表!AG53*参数!$B$44*参数!$B$2+卡牌总表!AH53*参数!$B$6*参数!$B$2+卡牌总表!AI53*参数!$B$39*参数!$B$2+卡牌总表!AJ53*参数!$B$6*参数!$B$2+卡牌总表!AA53*参数!$B$13-卡牌总表!U53*参数!$B$14-卡牌总表!AD53*参数!$B$13+IF(ISNUMBER(卡牌总表!AU53),卡牌总表!AU53*参数!$B$38,0)-卡牌总表!AV53*参数!$B$41-卡牌总表!AW53*参数!$B$14</f>
        <v>0</v>
      </c>
      <c r="M53">
        <f>IF(AND(卡牌总表!F53="能力",卡牌总表!AL53="能力持续"),参数!$B$2*参数!$B$3,0)</f>
        <v>4.8</v>
      </c>
      <c r="N53">
        <f t="shared" si="2"/>
        <v>4.8</v>
      </c>
      <c r="O53">
        <f>IFERROR(MAX(IF(K53 &gt; 参数!$B$17,参数!$B$17+SQRT(K53-参数!$B$17)*参数!$B$18,K53)-MAX(G53,0)*参数!$B$10,0)/MAX(G53,0.4),0)</f>
        <v>13.292853089020909</v>
      </c>
      <c r="P53">
        <f>IFERROR(MAX(IF(N53 &gt; 参数!$B$17,参数!$B$17+SQRT(N53-参数!$B$17)*参数!$B$18,N53)-MAX(H53,0)*参数!$B$10,0)/MAX(H53,0.4),0)</f>
        <v>1.7999999999999998</v>
      </c>
      <c r="Q53">
        <f>卡牌总表!AO53</f>
        <v>0</v>
      </c>
    </row>
    <row r="54" spans="1:17" x14ac:dyDescent="0.3">
      <c r="A54">
        <f t="shared" si="0"/>
        <v>53</v>
      </c>
      <c r="B54" t="str">
        <f>卡牌总表!B54</f>
        <v>ironclad_mangle</v>
      </c>
      <c r="C54" t="str">
        <f>卡牌总表!D54</f>
        <v>凌虐</v>
      </c>
      <c r="D54" t="str">
        <f>卡牌总表!F54</f>
        <v>攻击</v>
      </c>
      <c r="E54">
        <f>卡牌总表!AL54</f>
        <v>0</v>
      </c>
      <c r="F54" t="str">
        <f>卡牌总表!AN54</f>
        <v>本回合</v>
      </c>
      <c r="G54">
        <f>卡牌总表!AP54</f>
        <v>3</v>
      </c>
      <c r="H54">
        <f>IF(ISNUMBER(卡牌总表!H54),IF(AND(卡牌总表!H54=0,卡牌总表!V54=0,卡牌总表!AK54="none"),0.4,IF(卡牌总表!AK54="exhaust",MAX(卡牌总表!H54-卡牌总表!V54,0.4),IF(卡牌总表!AK54="ethereal",MAX(卡牌总表!H54-卡牌总表!V54,0.4),MAX(卡牌总表!H54-卡牌总表!V54,0.4)))),IF(OR(卡牌总表!H54="X",卡牌总表!H54="∞"),0.4,0.4))</f>
        <v>3</v>
      </c>
      <c r="I54">
        <f>卡牌总表!M54*卡牌总表!O54*参数!$B$5*IF(AND(卡牌总表!F54="能力",卡牌总表!AL54="能力持续"),参数!$B$2,1)+卡牌总表!P54*参数!$B$6*IF(AND(卡牌总表!F54="能力",卡牌总表!AL54="能力持续"),参数!$B$2,1)+卡牌总表!R54*参数!$B$7*IF(AND(卡牌总表!F54="能力",卡牌总表!AL54="能力持续"),参数!$B$2,1)+卡牌总表!V54*参数!$B$8+IF(卡牌总表!X54&lt;0,卡牌总表!X54*参数!$B$13,卡牌总表!X54*参数!$B$39)+IF(卡牌总表!AE54&lt;0,卡牌总表!AE54*参数!$B$13,卡牌总表!AE54*参数!$B$12)*参数!$B$2+卡牌总表!AQ54*参数!$B$15+卡牌总表!AB54*参数!$B$11+卡牌总表!AF54*参数!$B$40*参数!$B$2+卡牌总表!AG54*参数!$B$44*参数!$B$2+卡牌总表!AH54*参数!$B$6*参数!$B$2+卡牌总表!AI54*参数!$B$39*参数!$B$2+卡牌总表!AJ54*参数!$B$6*参数!$B$2+卡牌总表!Z54*参数!$B$13-卡牌总表!T54*参数!$B$14-卡牌总表!AD54*参数!$B$13+IF(ISNUMBER(卡牌总表!AU54),卡牌总表!AU54*参数!$B$38,0)-卡牌总表!AV54*参数!$B$41-卡牌总表!AW54*参数!$B$14</f>
        <v>20</v>
      </c>
      <c r="J54">
        <f>IF(AND(卡牌总表!F54="能力",卡牌总表!AL54="能力持续"),(参数!$B$2-1)*参数!$B$3,0)</f>
        <v>0</v>
      </c>
      <c r="K54">
        <f t="shared" si="1"/>
        <v>20</v>
      </c>
      <c r="L54">
        <f>卡牌总表!N54*卡牌总表!O54*参数!$B$5*IF(AND(卡牌总表!F54="能力",卡牌总表!AL54="能力持续"),参数!$B$2,1)+卡牌总表!Q54*参数!$B$6*IF(AND(卡牌总表!F54="能力",卡牌总表!AL54="能力持续"),参数!$B$2,1)+卡牌总表!S54*参数!$B$7*IF(AND(卡牌总表!F54="能力",卡牌总表!AL54="能力持续"),参数!$B$2,1)+卡牌总表!W54*参数!$B$8+IF(卡牌总表!Y54&lt;0,卡牌总表!Y54*参数!$B$13,卡牌总表!Y54*参数!$B$39)+IF(卡牌总表!AE54&lt;0,卡牌总表!AE54*参数!$B$13,卡牌总表!AE54*参数!$B$12)*参数!$B$2+卡牌总表!AR54*参数!$B$15+卡牌总表!AC54*参数!$B$11+卡牌总表!AF54*参数!$B$40*参数!$B$2+卡牌总表!AG54*参数!$B$44*参数!$B$2+卡牌总表!AH54*参数!$B$6*参数!$B$2+卡牌总表!AI54*参数!$B$39*参数!$B$2+卡牌总表!AJ54*参数!$B$6*参数!$B$2+卡牌总表!AA54*参数!$B$13-卡牌总表!U54*参数!$B$14-卡牌总表!AD54*参数!$B$13+IF(ISNUMBER(卡牌总表!AU54),卡牌总表!AU54*参数!$B$38,0)-卡牌总表!AV54*参数!$B$41-卡牌总表!AW54*参数!$B$14</f>
        <v>26</v>
      </c>
      <c r="M54">
        <f>IF(AND(卡牌总表!F54="能力",卡牌总表!AL54="能力持续"),参数!$B$2*参数!$B$3,0)</f>
        <v>0</v>
      </c>
      <c r="N54">
        <f t="shared" si="2"/>
        <v>26</v>
      </c>
      <c r="O54">
        <f>IFERROR(MAX(IF(K54 &gt; 参数!$B$17,参数!$B$17+SQRT(K54-参数!$B$17)*参数!$B$18,K54)-MAX(G54,0)*参数!$B$10,0)/MAX(G54,0.4),0)</f>
        <v>1.914472163417523</v>
      </c>
      <c r="P54">
        <f>IFERROR(MAX(IF(N54 &gt; 参数!$B$17,参数!$B$17+SQRT(N54-参数!$B$17)*参数!$B$18,N54)-MAX(H54,0)*参数!$B$10,0)/MAX(H54,0.4),0)</f>
        <v>2.3333333333333335</v>
      </c>
      <c r="Q54" t="str">
        <f>卡牌总表!AO54</f>
        <v>减敌方力量10(本回合)</v>
      </c>
    </row>
    <row r="55" spans="1:17" x14ac:dyDescent="0.3">
      <c r="A55">
        <f t="shared" si="0"/>
        <v>54</v>
      </c>
      <c r="B55" t="str">
        <f>卡牌总表!B55</f>
        <v>ironclad_molten_fist</v>
      </c>
      <c r="C55" t="str">
        <f>卡牌总表!D55</f>
        <v>熔融之拳</v>
      </c>
      <c r="D55" t="str">
        <f>卡牌总表!F55</f>
        <v>攻击</v>
      </c>
      <c r="E55">
        <f>卡牌总表!AL55</f>
        <v>0</v>
      </c>
      <c r="F55">
        <f>卡牌总表!AN55</f>
        <v>0</v>
      </c>
      <c r="G55">
        <f>卡牌总表!AP55</f>
        <v>1</v>
      </c>
      <c r="H55">
        <f>IF(ISNUMBER(卡牌总表!H55),IF(AND(卡牌总表!H55=0,卡牌总表!V55=0,卡牌总表!AK55="none"),0.4,IF(卡牌总表!AK55="exhaust",MAX(卡牌总表!H55-卡牌总表!V55,0.4),IF(卡牌总表!AK55="ethereal",MAX(卡牌总表!H55-卡牌总表!V55,0.4),MAX(卡牌总表!H55-卡牌总表!V55,0.4)))),IF(OR(卡牌总表!H55="X",卡牌总表!H55="∞"),0.4,0.4))</f>
        <v>1</v>
      </c>
      <c r="I55">
        <f>卡牌总表!M55*卡牌总表!O55*参数!$B$5*IF(AND(卡牌总表!F55="能力",卡牌总表!AL55="能力持续"),参数!$B$2,1)+卡牌总表!P55*参数!$B$6*IF(AND(卡牌总表!F55="能力",卡牌总表!AL55="能力持续"),参数!$B$2,1)+卡牌总表!R55*参数!$B$7*IF(AND(卡牌总表!F55="能力",卡牌总表!AL55="能力持续"),参数!$B$2,1)+卡牌总表!V55*参数!$B$8+IF(卡牌总表!X55&lt;0,卡牌总表!X55*参数!$B$13,卡牌总表!X55*参数!$B$39)+IF(卡牌总表!AE55&lt;0,卡牌总表!AE55*参数!$B$13,卡牌总表!AE55*参数!$B$12)*参数!$B$2+卡牌总表!AQ55*参数!$B$15+卡牌总表!AB55*参数!$B$11+卡牌总表!AF55*参数!$B$40*参数!$B$2+卡牌总表!AG55*参数!$B$44*参数!$B$2+卡牌总表!AH55*参数!$B$6*参数!$B$2+卡牌总表!AI55*参数!$B$39*参数!$B$2+卡牌总表!AJ55*参数!$B$6*参数!$B$2+卡牌总表!Z55*参数!$B$13-卡牌总表!T55*参数!$B$14-卡牌总表!AD55*参数!$B$13+IF(ISNUMBER(卡牌总表!AU55),卡牌总表!AU55*参数!$B$38,0)-卡牌总表!AV55*参数!$B$41-卡牌总表!AW55*参数!$B$14</f>
        <v>10</v>
      </c>
      <c r="J55">
        <f>IF(AND(卡牌总表!F55="能力",卡牌总表!AL55="能力持续"),(参数!$B$2-1)*参数!$B$3,0)</f>
        <v>0</v>
      </c>
      <c r="K55">
        <f t="shared" si="1"/>
        <v>10</v>
      </c>
      <c r="L55">
        <f>卡牌总表!N55*卡牌总表!O55*参数!$B$5*IF(AND(卡牌总表!F55="能力",卡牌总表!AL55="能力持续"),参数!$B$2,1)+卡牌总表!Q55*参数!$B$6*IF(AND(卡牌总表!F55="能力",卡牌总表!AL55="能力持续"),参数!$B$2,1)+卡牌总表!S55*参数!$B$7*IF(AND(卡牌总表!F55="能力",卡牌总表!AL55="能力持续"),参数!$B$2,1)+卡牌总表!W55*参数!$B$8+IF(卡牌总表!Y55&lt;0,卡牌总表!Y55*参数!$B$13,卡牌总表!Y55*参数!$B$39)+IF(卡牌总表!AE55&lt;0,卡牌总表!AE55*参数!$B$13,卡牌总表!AE55*参数!$B$12)*参数!$B$2+卡牌总表!AR55*参数!$B$15+卡牌总表!AC55*参数!$B$11+卡牌总表!AF55*参数!$B$40*参数!$B$2+卡牌总表!AG55*参数!$B$44*参数!$B$2+卡牌总表!AH55*参数!$B$6*参数!$B$2+卡牌总表!AI55*参数!$B$39*参数!$B$2+卡牌总表!AJ55*参数!$B$6*参数!$B$2+卡牌总表!AA55*参数!$B$13-卡牌总表!U55*参数!$B$14-卡牌总表!AD55*参数!$B$13+IF(ISNUMBER(卡牌总表!AU55),卡牌总表!AU55*参数!$B$38,0)-卡牌总表!AV55*参数!$B$41-卡牌总表!AW55*参数!$B$14</f>
        <v>14</v>
      </c>
      <c r="M55">
        <f>IF(AND(卡牌总表!F55="能力",卡牌总表!AL55="能力持续"),参数!$B$2*参数!$B$3,0)</f>
        <v>0</v>
      </c>
      <c r="N55">
        <f t="shared" si="2"/>
        <v>14</v>
      </c>
      <c r="O55">
        <f>IFERROR(MAX(IF(K55 &gt; 参数!$B$17,参数!$B$17+SQRT(K55-参数!$B$17)*参数!$B$18,K55)-MAX(G55,0)*参数!$B$10,0)/MAX(G55,0.4),0)</f>
        <v>7</v>
      </c>
      <c r="P55">
        <f>IFERROR(MAX(IF(N55 &gt; 参数!$B$17,参数!$B$17+SQRT(N55-参数!$B$17)*参数!$B$18,N55)-MAX(H55,0)*参数!$B$10,0)/MAX(H55,0.4),0)</f>
        <v>10</v>
      </c>
      <c r="Q55">
        <f>卡牌总表!AO55</f>
        <v>0</v>
      </c>
    </row>
    <row r="56" spans="1:17" x14ac:dyDescent="0.3">
      <c r="A56">
        <f t="shared" si="0"/>
        <v>55</v>
      </c>
      <c r="B56" t="str">
        <f>卡牌总表!B56</f>
        <v>ironclad_offering</v>
      </c>
      <c r="C56" t="str">
        <f>卡牌总表!D56</f>
        <v>祭品</v>
      </c>
      <c r="D56" t="str">
        <f>卡牌总表!F56</f>
        <v>技能</v>
      </c>
      <c r="E56">
        <f>卡牌总表!AL56</f>
        <v>0</v>
      </c>
      <c r="F56">
        <f>卡牌总表!AN56</f>
        <v>0</v>
      </c>
      <c r="G56">
        <f>卡牌总表!AP56</f>
        <v>0.4</v>
      </c>
      <c r="H56">
        <f>IF(ISNUMBER(卡牌总表!H56),IF(AND(卡牌总表!H56=0,卡牌总表!V56=0,卡牌总表!AK56="none"),0.4,IF(卡牌总表!AK56="exhaust",MAX(卡牌总表!H56-卡牌总表!V56,0.4),IF(卡牌总表!AK56="ethereal",MAX(卡牌总表!H56-卡牌总表!V56,0.4),MAX(卡牌总表!H56-卡牌总表!V56,0.4)))),IF(OR(卡牌总表!H56="X",卡牌总表!H56="∞"),0.4,0.4))</f>
        <v>0.4</v>
      </c>
      <c r="I56">
        <f>卡牌总表!M56*卡牌总表!O56*参数!$B$5*IF(AND(卡牌总表!F56="能力",卡牌总表!AL56="能力持续"),参数!$B$2,1)+卡牌总表!P56*参数!$B$6*IF(AND(卡牌总表!F56="能力",卡牌总表!AL56="能力持续"),参数!$B$2,1)+卡牌总表!R56*参数!$B$7*IF(AND(卡牌总表!F56="能力",卡牌总表!AL56="能力持续"),参数!$B$2,1)+卡牌总表!V56*参数!$B$8+IF(卡牌总表!X56&lt;0,卡牌总表!X56*参数!$B$13,卡牌总表!X56*参数!$B$39)+IF(卡牌总表!AE56&lt;0,卡牌总表!AE56*参数!$B$13,卡牌总表!AE56*参数!$B$12)*参数!$B$2+卡牌总表!AQ56*参数!$B$15+卡牌总表!AB56*参数!$B$11+卡牌总表!AF56*参数!$B$40*参数!$B$2+卡牌总表!AG56*参数!$B$44*参数!$B$2+卡牌总表!AH56*参数!$B$6*参数!$B$2+卡牌总表!AI56*参数!$B$39*参数!$B$2+卡牌总表!AJ56*参数!$B$6*参数!$B$2+卡牌总表!Z56*参数!$B$13-卡牌总表!T56*参数!$B$14-卡牌总表!AD56*参数!$B$13+IF(ISNUMBER(卡牌总表!AU56),卡牌总表!AU56*参数!$B$38,0)-卡牌总表!AV56*参数!$B$41-卡牌总表!AW56*参数!$B$14</f>
        <v>-9.9</v>
      </c>
      <c r="J56">
        <f>IF(AND(卡牌总表!F56="能力",卡牌总表!AL56="能力持续"),(参数!$B$2-1)*参数!$B$3,0)</f>
        <v>0</v>
      </c>
      <c r="K56">
        <f t="shared" si="1"/>
        <v>-9.9</v>
      </c>
      <c r="L56">
        <f>卡牌总表!N56*卡牌总表!O56*参数!$B$5*IF(AND(卡牌总表!F56="能力",卡牌总表!AL56="能力持续"),参数!$B$2,1)+卡牌总表!Q56*参数!$B$6*IF(AND(卡牌总表!F56="能力",卡牌总表!AL56="能力持续"),参数!$B$2,1)+卡牌总表!S56*参数!$B$7*IF(AND(卡牌总表!F56="能力",卡牌总表!AL56="能力持续"),参数!$B$2,1)+卡牌总表!W56*参数!$B$8+IF(卡牌总表!Y56&lt;0,卡牌总表!Y56*参数!$B$13,卡牌总表!Y56*参数!$B$39)+IF(卡牌总表!AE56&lt;0,卡牌总表!AE56*参数!$B$13,卡牌总表!AE56*参数!$B$12)*参数!$B$2+卡牌总表!AR56*参数!$B$15+卡牌总表!AC56*参数!$B$11+卡牌总表!AF56*参数!$B$40*参数!$B$2+卡牌总表!AG56*参数!$B$44*参数!$B$2+卡牌总表!AH56*参数!$B$6*参数!$B$2+卡牌总表!AI56*参数!$B$39*参数!$B$2+卡牌总表!AJ56*参数!$B$6*参数!$B$2+卡牌总表!AA56*参数!$B$13-卡牌总表!U56*参数!$B$14-卡牌总表!AD56*参数!$B$13+IF(ISNUMBER(卡牌总表!AU56),卡牌总表!AU56*参数!$B$38,0)-卡牌总表!AV56*参数!$B$41-卡牌总表!AW56*参数!$B$14</f>
        <v>-8.5</v>
      </c>
      <c r="M56">
        <f>IF(AND(卡牌总表!F56="能力",卡牌总表!AL56="能力持续"),参数!$B$2*参数!$B$3,0)</f>
        <v>0</v>
      </c>
      <c r="N56">
        <f t="shared" si="2"/>
        <v>-8.5</v>
      </c>
      <c r="O56">
        <f>IFERROR(MAX(IF(K56 &gt; 参数!$B$17,参数!$B$17+SQRT(K56-参数!$B$17)*参数!$B$18,K56)-MAX(G56,0)*参数!$B$10,0)/MAX(G56,0.4),0)</f>
        <v>0</v>
      </c>
      <c r="P56">
        <f>IFERROR(MAX(IF(N56 &gt; 参数!$B$17,参数!$B$17+SQRT(N56-参数!$B$17)*参数!$B$18,N56)-MAX(H56,0)*参数!$B$10,0)/MAX(H56,0.4),0)</f>
        <v>0</v>
      </c>
      <c r="Q56">
        <f>卡牌总表!AO56</f>
        <v>0</v>
      </c>
    </row>
    <row r="57" spans="1:17" x14ac:dyDescent="0.3">
      <c r="A57">
        <f t="shared" si="0"/>
        <v>56</v>
      </c>
      <c r="B57" t="str">
        <f>卡牌总表!B57</f>
        <v>ironclad_one_two_punch</v>
      </c>
      <c r="C57" t="str">
        <f>卡牌总表!D57</f>
        <v>连击拳</v>
      </c>
      <c r="D57" t="str">
        <f>卡牌总表!F57</f>
        <v>技能</v>
      </c>
      <c r="E57">
        <f>卡牌总表!AL57</f>
        <v>0</v>
      </c>
      <c r="F57" t="str">
        <f>卡牌总表!AN57</f>
        <v>本回合</v>
      </c>
      <c r="G57">
        <f>卡牌总表!AP57</f>
        <v>1</v>
      </c>
      <c r="H57">
        <f>IF(ISNUMBER(卡牌总表!H57),IF(AND(卡牌总表!H57=0,卡牌总表!V57=0,卡牌总表!AK57="none"),0.4,IF(卡牌总表!AK57="exhaust",MAX(卡牌总表!H57-卡牌总表!V57,0.4),IF(卡牌总表!AK57="ethereal",MAX(卡牌总表!H57-卡牌总表!V57,0.4),MAX(卡牌总表!H57-卡牌总表!V57,0.4)))),IF(OR(卡牌总表!H57="X",卡牌总表!H57="∞"),0.4,0.4))</f>
        <v>1</v>
      </c>
      <c r="I57">
        <f>卡牌总表!M57*卡牌总表!O57*参数!$B$5*IF(AND(卡牌总表!F57="能力",卡牌总表!AL57="能力持续"),参数!$B$2,1)+卡牌总表!P57*参数!$B$6*IF(AND(卡牌总表!F57="能力",卡牌总表!AL57="能力持续"),参数!$B$2,1)+卡牌总表!R57*参数!$B$7*IF(AND(卡牌总表!F57="能力",卡牌总表!AL57="能力持续"),参数!$B$2,1)+卡牌总表!V57*参数!$B$8+IF(卡牌总表!X57&lt;0,卡牌总表!X57*参数!$B$13,卡牌总表!X57*参数!$B$39)+IF(卡牌总表!AE57&lt;0,卡牌总表!AE57*参数!$B$13,卡牌总表!AE57*参数!$B$12)*参数!$B$2+卡牌总表!AQ57*参数!$B$15+卡牌总表!AB57*参数!$B$11+卡牌总表!AF57*参数!$B$40*参数!$B$2+卡牌总表!AG57*参数!$B$44*参数!$B$2+卡牌总表!AH57*参数!$B$6*参数!$B$2+卡牌总表!AI57*参数!$B$39*参数!$B$2+卡牌总表!AJ57*参数!$B$6*参数!$B$2+卡牌总表!Z57*参数!$B$13-卡牌总表!T57*参数!$B$14-卡牌总表!AD57*参数!$B$13+IF(ISNUMBER(卡牌总表!AU57),卡牌总表!AU57*参数!$B$38,0)-卡牌总表!AV57*参数!$B$41-卡牌总表!AW57*参数!$B$14</f>
        <v>24</v>
      </c>
      <c r="J57">
        <f>IF(AND(卡牌总表!F57="能力",卡牌总表!AL57="能力持续"),(参数!$B$2-1)*参数!$B$3,0)</f>
        <v>0</v>
      </c>
      <c r="K57">
        <f t="shared" si="1"/>
        <v>24</v>
      </c>
      <c r="L57">
        <f>卡牌总表!N57*卡牌总表!O57*参数!$B$5*IF(AND(卡牌总表!F57="能力",卡牌总表!AL57="能力持续"),参数!$B$2,1)+卡牌总表!Q57*参数!$B$6*IF(AND(卡牌总表!F57="能力",卡牌总表!AL57="能力持续"),参数!$B$2,1)+卡牌总表!S57*参数!$B$7*IF(AND(卡牌总表!F57="能力",卡牌总表!AL57="能力持续"),参数!$B$2,1)+卡牌总表!W57*参数!$B$8+IF(卡牌总表!Y57&lt;0,卡牌总表!Y57*参数!$B$13,卡牌总表!Y57*参数!$B$39)+IF(卡牌总表!AE57&lt;0,卡牌总表!AE57*参数!$B$13,卡牌总表!AE57*参数!$B$12)*参数!$B$2+卡牌总表!AR57*参数!$B$15+卡牌总表!AC57*参数!$B$11+卡牌总表!AF57*参数!$B$40*参数!$B$2+卡牌总表!AG57*参数!$B$44*参数!$B$2+卡牌总表!AH57*参数!$B$6*参数!$B$2+卡牌总表!AI57*参数!$B$39*参数!$B$2+卡牌总表!AJ57*参数!$B$6*参数!$B$2+卡牌总表!AA57*参数!$B$13-卡牌总表!U57*参数!$B$14-卡牌总表!AD57*参数!$B$13+IF(ISNUMBER(卡牌总表!AU57),卡牌总表!AU57*参数!$B$38,0)-卡牌总表!AV57*参数!$B$41-卡牌总表!AW57*参数!$B$14</f>
        <v>0</v>
      </c>
      <c r="M57">
        <f>IF(AND(卡牌总表!F57="能力",卡牌总表!AL57="能力持续"),参数!$B$2*参数!$B$3,0)</f>
        <v>0</v>
      </c>
      <c r="N57">
        <f t="shared" si="2"/>
        <v>0</v>
      </c>
      <c r="O57">
        <f>IFERROR(MAX(IF(K57 &gt; 参数!$B$17,参数!$B$17+SQRT(K57-参数!$B$17)*参数!$B$18,K57)-MAX(G57,0)*参数!$B$10,0)/MAX(G57,0.4),0)</f>
        <v>12.612486080160913</v>
      </c>
      <c r="P57">
        <f>IFERROR(MAX(IF(N57 &gt; 参数!$B$17,参数!$B$17+SQRT(N57-参数!$B$17)*参数!$B$18,N57)-MAX(H57,0)*参数!$B$10,0)/MAX(H57,0.4),0)</f>
        <v>0</v>
      </c>
      <c r="Q57">
        <f>卡牌总表!AO57</f>
        <v>0</v>
      </c>
    </row>
    <row r="58" spans="1:17" x14ac:dyDescent="0.3">
      <c r="A58">
        <f t="shared" si="0"/>
        <v>57</v>
      </c>
      <c r="B58" t="str">
        <f>卡牌总表!B58</f>
        <v>ironclad_pact_s_end</v>
      </c>
      <c r="C58" t="str">
        <f>卡牌总表!D58</f>
        <v>契约终章</v>
      </c>
      <c r="D58" t="str">
        <f>卡牌总表!F58</f>
        <v>攻击</v>
      </c>
      <c r="E58">
        <f>卡牌总表!AL58</f>
        <v>0</v>
      </c>
      <c r="F58" t="str">
        <f>卡牌总表!AN58</f>
        <v>群体攻击</v>
      </c>
      <c r="G58">
        <f>卡牌总表!AP58</f>
        <v>0.4</v>
      </c>
      <c r="H58">
        <f>IF(ISNUMBER(卡牌总表!H58),IF(AND(卡牌总表!H58=0,卡牌总表!V58=0,卡牌总表!AK58="none"),0.4,IF(卡牌总表!AK58="exhaust",MAX(卡牌总表!H58-卡牌总表!V58,0.4),IF(卡牌总表!AK58="ethereal",MAX(卡牌总表!H58-卡牌总表!V58,0.4),MAX(卡牌总表!H58-卡牌总表!V58,0.4)))),IF(OR(卡牌总表!H58="X",卡牌总表!H58="∞"),0.4,0.4))</f>
        <v>0.4</v>
      </c>
      <c r="I58">
        <f>卡牌总表!M58*卡牌总表!O58*参数!$B$5*IF(AND(卡牌总表!F58="能力",卡牌总表!AL58="能力持续"),参数!$B$2,1)+卡牌总表!P58*参数!$B$6*IF(AND(卡牌总表!F58="能力",卡牌总表!AL58="能力持续"),参数!$B$2,1)+卡牌总表!R58*参数!$B$7*IF(AND(卡牌总表!F58="能力",卡牌总表!AL58="能力持续"),参数!$B$2,1)+卡牌总表!V58*参数!$B$8+IF(卡牌总表!X58&lt;0,卡牌总表!X58*参数!$B$13,卡牌总表!X58*参数!$B$39)+IF(卡牌总表!AE58&lt;0,卡牌总表!AE58*参数!$B$13,卡牌总表!AE58*参数!$B$12)*参数!$B$2+卡牌总表!AQ58*参数!$B$15+卡牌总表!AB58*参数!$B$11+卡牌总表!AF58*参数!$B$40*参数!$B$2+卡牌总表!AG58*参数!$B$44*参数!$B$2+卡牌总表!AH58*参数!$B$6*参数!$B$2+卡牌总表!AI58*参数!$B$39*参数!$B$2+卡牌总表!AJ58*参数!$B$6*参数!$B$2+卡牌总表!Z58*参数!$B$13-卡牌总表!T58*参数!$B$14-卡牌总表!AD58*参数!$B$13+IF(ISNUMBER(卡牌总表!AU58),卡牌总表!AU58*参数!$B$38,0)-卡牌总表!AV58*参数!$B$41-卡牌总表!AW58*参数!$B$14</f>
        <v>18</v>
      </c>
      <c r="J58">
        <f>IF(AND(卡牌总表!F58="能力",卡牌总表!AL58="能力持续"),(参数!$B$2-1)*参数!$B$3,0)</f>
        <v>0</v>
      </c>
      <c r="K58">
        <f t="shared" si="1"/>
        <v>18</v>
      </c>
      <c r="L58">
        <f>卡牌总表!N58*卡牌总表!O58*参数!$B$5*IF(AND(卡牌总表!F58="能力",卡牌总表!AL58="能力持续"),参数!$B$2,1)+卡牌总表!Q58*参数!$B$6*IF(AND(卡牌总表!F58="能力",卡牌总表!AL58="能力持续"),参数!$B$2,1)+卡牌总表!S58*参数!$B$7*IF(AND(卡牌总表!F58="能力",卡牌总表!AL58="能力持续"),参数!$B$2,1)+卡牌总表!W58*参数!$B$8+IF(卡牌总表!Y58&lt;0,卡牌总表!Y58*参数!$B$13,卡牌总表!Y58*参数!$B$39)+IF(卡牌总表!AE58&lt;0,卡牌总表!AE58*参数!$B$13,卡牌总表!AE58*参数!$B$12)*参数!$B$2+卡牌总表!AR58*参数!$B$15+卡牌总表!AC58*参数!$B$11+卡牌总表!AF58*参数!$B$40*参数!$B$2+卡牌总表!AG58*参数!$B$44*参数!$B$2+卡牌总表!AH58*参数!$B$6*参数!$B$2+卡牌总表!AI58*参数!$B$39*参数!$B$2+卡牌总表!AJ58*参数!$B$6*参数!$B$2+卡牌总表!AA58*参数!$B$13-卡牌总表!U58*参数!$B$14-卡牌总表!AD58*参数!$B$13+IF(ISNUMBER(卡牌总表!AU58),卡牌总表!AU58*参数!$B$38,0)-卡牌总表!AV58*参数!$B$41-卡牌总表!AW58*参数!$B$14</f>
        <v>24</v>
      </c>
      <c r="M58">
        <f>IF(AND(卡牌总表!F58="能力",卡牌总表!AL58="能力持续"),参数!$B$2*参数!$B$3,0)</f>
        <v>0</v>
      </c>
      <c r="N58">
        <f t="shared" si="2"/>
        <v>24</v>
      </c>
      <c r="O58">
        <f>IFERROR(MAX(IF(K58 &gt; 参数!$B$17,参数!$B$17+SQRT(K58-参数!$B$17)*参数!$B$18,K58)-MAX(G58,0)*参数!$B$10,0)/MAX(G58,0.4),0)</f>
        <v>32.606601717798206</v>
      </c>
      <c r="P58">
        <f>IFERROR(MAX(IF(N58 &gt; 参数!$B$17,参数!$B$17+SQRT(N58-参数!$B$17)*参数!$B$18,N58)-MAX(H58,0)*参数!$B$10,0)/MAX(H58,0.4),0)</f>
        <v>36.031215200402279</v>
      </c>
      <c r="Q58" t="str">
        <f>卡牌总表!AO58</f>
        <v>含消耗其他牌效果</v>
      </c>
    </row>
    <row r="59" spans="1:17" x14ac:dyDescent="0.3">
      <c r="A59">
        <f t="shared" si="0"/>
        <v>58</v>
      </c>
      <c r="B59" t="str">
        <f>卡牌总表!B59</f>
        <v>ironclad_perfected_strike</v>
      </c>
      <c r="C59" t="str">
        <f>卡牌总表!D59</f>
        <v>完美打击</v>
      </c>
      <c r="D59" t="str">
        <f>卡牌总表!F59</f>
        <v>攻击</v>
      </c>
      <c r="E59">
        <f>卡牌总表!AL59</f>
        <v>0</v>
      </c>
      <c r="F59">
        <f>卡牌总表!AN59</f>
        <v>0</v>
      </c>
      <c r="G59">
        <f>卡牌总表!AP59</f>
        <v>2</v>
      </c>
      <c r="H59">
        <f>IF(ISNUMBER(卡牌总表!H59),IF(AND(卡牌总表!H59=0,卡牌总表!V59=0,卡牌总表!AK59="none"),0.4,IF(卡牌总表!AK59="exhaust",MAX(卡牌总表!H59-卡牌总表!V59,0.4),IF(卡牌总表!AK59="ethereal",MAX(卡牌总表!H59-卡牌总表!V59,0.4),MAX(卡牌总表!H59-卡牌总表!V59,0.4)))),IF(OR(卡牌总表!H59="X",卡牌总表!H59="∞"),0.4,0.4))</f>
        <v>2</v>
      </c>
      <c r="I59">
        <f>卡牌总表!M59*卡牌总表!O59*参数!$B$5*IF(AND(卡牌总表!F59="能力",卡牌总表!AL59="能力持续"),参数!$B$2,1)+卡牌总表!P59*参数!$B$6*IF(AND(卡牌总表!F59="能力",卡牌总表!AL59="能力持续"),参数!$B$2,1)+卡牌总表!R59*参数!$B$7*IF(AND(卡牌总表!F59="能力",卡牌总表!AL59="能力持续"),参数!$B$2,1)+卡牌总表!V59*参数!$B$8+IF(卡牌总表!X59&lt;0,卡牌总表!X59*参数!$B$13,卡牌总表!X59*参数!$B$39)+IF(卡牌总表!AE59&lt;0,卡牌总表!AE59*参数!$B$13,卡牌总表!AE59*参数!$B$12)*参数!$B$2+卡牌总表!AQ59*参数!$B$15+卡牌总表!AB59*参数!$B$11+卡牌总表!AF59*参数!$B$40*参数!$B$2+卡牌总表!AG59*参数!$B$44*参数!$B$2+卡牌总表!AH59*参数!$B$6*参数!$B$2+卡牌总表!AI59*参数!$B$39*参数!$B$2+卡牌总表!AJ59*参数!$B$6*参数!$B$2+卡牌总表!Z59*参数!$B$13-卡牌总表!T59*参数!$B$14-卡牌总表!AD59*参数!$B$13+IF(ISNUMBER(卡牌总表!AU59),卡牌总表!AU59*参数!$B$38,0)-卡牌总表!AV59*参数!$B$41-卡牌总表!AW59*参数!$B$14</f>
        <v>15.7</v>
      </c>
      <c r="J59">
        <f>IF(AND(卡牌总表!F59="能力",卡牌总表!AL59="能力持续"),(参数!$B$2-1)*参数!$B$3,0)</f>
        <v>0</v>
      </c>
      <c r="K59">
        <f t="shared" si="1"/>
        <v>15.7</v>
      </c>
      <c r="L59">
        <f>卡牌总表!N59*卡牌总表!O59*参数!$B$5*IF(AND(卡牌总表!F59="能力",卡牌总表!AL59="能力持续"),参数!$B$2,1)+卡牌总表!Q59*参数!$B$6*IF(AND(卡牌总表!F59="能力",卡牌总表!AL59="能力持续"),参数!$B$2,1)+卡牌总表!S59*参数!$B$7*IF(AND(卡牌总表!F59="能力",卡牌总表!AL59="能力持续"),参数!$B$2,1)+卡牌总表!W59*参数!$B$8+IF(卡牌总表!Y59&lt;0,卡牌总表!Y59*参数!$B$13,卡牌总表!Y59*参数!$B$39)+IF(卡牌总表!AE59&lt;0,卡牌总表!AE59*参数!$B$13,卡牌总表!AE59*参数!$B$12)*参数!$B$2+卡牌总表!AR59*参数!$B$15+卡牌总表!AC59*参数!$B$11+卡牌总表!AF59*参数!$B$40*参数!$B$2+卡牌总表!AG59*参数!$B$44*参数!$B$2+卡牌总表!AH59*参数!$B$6*参数!$B$2+卡牌总表!AI59*参数!$B$39*参数!$B$2+卡牌总表!AJ59*参数!$B$6*参数!$B$2+卡牌总表!AA59*参数!$B$13-卡牌总表!U59*参数!$B$14-卡牌总表!AD59*参数!$B$13+IF(ISNUMBER(卡牌总表!AU59),卡牌总表!AU59*参数!$B$38,0)-卡牌总表!AV59*参数!$B$41-卡牌总表!AW59*参数!$B$14</f>
        <v>20.7</v>
      </c>
      <c r="M59">
        <f>IF(AND(卡牌总表!F59="能力",卡牌总表!AL59="能力持续"),参数!$B$2*参数!$B$3,0)</f>
        <v>0</v>
      </c>
      <c r="N59">
        <f t="shared" si="2"/>
        <v>20.7</v>
      </c>
      <c r="O59">
        <f>IFERROR(MAX(IF(K59 &gt; 参数!$B$17,参数!$B$17+SQRT(K59-参数!$B$17)*参数!$B$18,K59)-MAX(G59,0)*参数!$B$10,0)/MAX(G59,0.4),0)</f>
        <v>3.7906004579469981</v>
      </c>
      <c r="P59">
        <f>IFERROR(MAX(IF(N59 &gt; 参数!$B$17,参数!$B$17+SQRT(N59-参数!$B$17)*参数!$B$18,N59)-MAX(H59,0)*参数!$B$10,0)/MAX(H59,0.4),0)</f>
        <v>4.4533140850694188</v>
      </c>
      <c r="Q59">
        <f>卡牌总表!AO59</f>
        <v>0</v>
      </c>
    </row>
    <row r="60" spans="1:17" x14ac:dyDescent="0.3">
      <c r="A60">
        <f t="shared" si="0"/>
        <v>59</v>
      </c>
      <c r="B60" t="str">
        <f>卡牌总表!B60</f>
        <v>ironclad_pillage</v>
      </c>
      <c r="C60" t="str">
        <f>卡牌总表!D60</f>
        <v>劫掠</v>
      </c>
      <c r="D60" t="str">
        <f>卡牌总表!F60</f>
        <v>攻击</v>
      </c>
      <c r="E60">
        <f>卡牌总表!AL60</f>
        <v>0</v>
      </c>
      <c r="F60">
        <f>卡牌总表!AN60</f>
        <v>0</v>
      </c>
      <c r="G60">
        <f>卡牌总表!AP60</f>
        <v>1</v>
      </c>
      <c r="H60">
        <f>IF(ISNUMBER(卡牌总表!H60),IF(AND(卡牌总表!H60=0,卡牌总表!V60=0,卡牌总表!AK60="none"),0.4,IF(卡牌总表!AK60="exhaust",MAX(卡牌总表!H60-卡牌总表!V60,0.4),IF(卡牌总表!AK60="ethereal",MAX(卡牌总表!H60-卡牌总表!V60,0.4),MAX(卡牌总表!H60-卡牌总表!V60,0.4)))),IF(OR(卡牌总表!H60="X",卡牌总表!H60="∞"),0.4,0.4))</f>
        <v>1</v>
      </c>
      <c r="I60">
        <f>卡牌总表!M60*卡牌总表!O60*参数!$B$5*IF(AND(卡牌总表!F60="能力",卡牌总表!AL60="能力持续"),参数!$B$2,1)+卡牌总表!P60*参数!$B$6*IF(AND(卡牌总表!F60="能力",卡牌总表!AL60="能力持续"),参数!$B$2,1)+卡牌总表!R60*参数!$B$7*IF(AND(卡牌总表!F60="能力",卡牌总表!AL60="能力持续"),参数!$B$2,1)+卡牌总表!V60*参数!$B$8+IF(卡牌总表!X60&lt;0,卡牌总表!X60*参数!$B$13,卡牌总表!X60*参数!$B$39)+IF(卡牌总表!AE60&lt;0,卡牌总表!AE60*参数!$B$13,卡牌总表!AE60*参数!$B$12)*参数!$B$2+卡牌总表!AQ60*参数!$B$15+卡牌总表!AB60*参数!$B$11+卡牌总表!AF60*参数!$B$40*参数!$B$2+卡牌总表!AG60*参数!$B$44*参数!$B$2+卡牌总表!AH60*参数!$B$6*参数!$B$2+卡牌总表!AI60*参数!$B$39*参数!$B$2+卡牌总表!AJ60*参数!$B$6*参数!$B$2+卡牌总表!Z60*参数!$B$13-卡牌总表!T60*参数!$B$14-卡牌总表!AD60*参数!$B$13+IF(ISNUMBER(卡牌总表!AU60),卡牌总表!AU60*参数!$B$38,0)-卡牌总表!AV60*参数!$B$41-卡牌总表!AW60*参数!$B$14</f>
        <v>7.4</v>
      </c>
      <c r="J60">
        <f>IF(AND(卡牌总表!F60="能力",卡牌总表!AL60="能力持续"),(参数!$B$2-1)*参数!$B$3,0)</f>
        <v>0</v>
      </c>
      <c r="K60">
        <f t="shared" si="1"/>
        <v>7.4</v>
      </c>
      <c r="L60">
        <f>卡牌总表!N60*卡牌总表!O60*参数!$B$5*IF(AND(卡牌总表!F60="能力",卡牌总表!AL60="能力持续"),参数!$B$2,1)+卡牌总表!Q60*参数!$B$6*IF(AND(卡牌总表!F60="能力",卡牌总表!AL60="能力持续"),参数!$B$2,1)+卡牌总表!S60*参数!$B$7*IF(AND(卡牌总表!F60="能力",卡牌总表!AL60="能力持续"),参数!$B$2,1)+卡牌总表!W60*参数!$B$8+IF(卡牌总表!Y60&lt;0,卡牌总表!Y60*参数!$B$13,卡牌总表!Y60*参数!$B$39)+IF(卡牌总表!AE60&lt;0,卡牌总表!AE60*参数!$B$13,卡牌总表!AE60*参数!$B$12)*参数!$B$2+卡牌总表!AR60*参数!$B$15+卡牌总表!AC60*参数!$B$11+卡牌总表!AF60*参数!$B$40*参数!$B$2+卡牌总表!AG60*参数!$B$44*参数!$B$2+卡牌总表!AH60*参数!$B$6*参数!$B$2+卡牌总表!AI60*参数!$B$39*参数!$B$2+卡牌总表!AJ60*参数!$B$6*参数!$B$2+卡牌总表!AA60*参数!$B$13-卡牌总表!U60*参数!$B$14-卡牌总表!AD60*参数!$B$13+IF(ISNUMBER(卡牌总表!AU60),卡牌总表!AU60*参数!$B$38,0)-卡牌总表!AV60*参数!$B$41-卡牌总表!AW60*参数!$B$14</f>
        <v>10.4</v>
      </c>
      <c r="M60">
        <f>IF(AND(卡牌总表!F60="能力",卡牌总表!AL60="能力持续"),参数!$B$2*参数!$B$3,0)</f>
        <v>0</v>
      </c>
      <c r="N60">
        <f t="shared" si="2"/>
        <v>10.4</v>
      </c>
      <c r="O60">
        <f>IFERROR(MAX(IF(K60 &gt; 参数!$B$17,参数!$B$17+SQRT(K60-参数!$B$17)*参数!$B$18,K60)-MAX(G60,0)*参数!$B$10,0)/MAX(G60,0.4),0)</f>
        <v>4.4000000000000004</v>
      </c>
      <c r="P60">
        <f>IFERROR(MAX(IF(N60 &gt; 参数!$B$17,参数!$B$17+SQRT(N60-参数!$B$17)*参数!$B$18,N60)-MAX(H60,0)*参数!$B$10,0)/MAX(H60,0.4),0)</f>
        <v>7.9486832980505149</v>
      </c>
      <c r="Q60">
        <f>卡牌总表!AO60</f>
        <v>0</v>
      </c>
    </row>
    <row r="61" spans="1:17" x14ac:dyDescent="0.3">
      <c r="A61">
        <f t="shared" si="0"/>
        <v>60</v>
      </c>
      <c r="B61" t="str">
        <f>卡牌总表!B61</f>
        <v>ironclad_pommel_strike</v>
      </c>
      <c r="C61" t="str">
        <f>卡牌总表!D61</f>
        <v>剑柄打击</v>
      </c>
      <c r="D61" t="str">
        <f>卡牌总表!F61</f>
        <v>攻击</v>
      </c>
      <c r="E61">
        <f>卡牌总表!AL61</f>
        <v>0</v>
      </c>
      <c r="F61">
        <f>卡牌总表!AN61</f>
        <v>0</v>
      </c>
      <c r="G61">
        <f>卡牌总表!AP61</f>
        <v>1</v>
      </c>
      <c r="H61">
        <f>IF(ISNUMBER(卡牌总表!H61),IF(AND(卡牌总表!H61=0,卡牌总表!V61=0,卡牌总表!AK61="none"),0.4,IF(卡牌总表!AK61="exhaust",MAX(卡牌总表!H61-卡牌总表!V61,0.4),IF(卡牌总表!AK61="ethereal",MAX(卡牌总表!H61-卡牌总表!V61,0.4),MAX(卡牌总表!H61-卡牌总表!V61,0.4)))),IF(OR(卡牌总表!H61="X",卡牌总表!H61="∞"),0.4,0.4))</f>
        <v>1</v>
      </c>
      <c r="I61">
        <f>卡牌总表!M61*卡牌总表!O61*参数!$B$5*IF(AND(卡牌总表!F61="能力",卡牌总表!AL61="能力持续"),参数!$B$2,1)+卡牌总表!P61*参数!$B$6*IF(AND(卡牌总表!F61="能力",卡牌总表!AL61="能力持续"),参数!$B$2,1)+卡牌总表!R61*参数!$B$7*IF(AND(卡牌总表!F61="能力",卡牌总表!AL61="能力持续"),参数!$B$2,1)+卡牌总表!V61*参数!$B$8+IF(卡牌总表!X61&lt;0,卡牌总表!X61*参数!$B$13,卡牌总表!X61*参数!$B$39)+IF(卡牌总表!AE61&lt;0,卡牌总表!AE61*参数!$B$13,卡牌总表!AE61*参数!$B$12)*参数!$B$2+卡牌总表!AQ61*参数!$B$15+卡牌总表!AB61*参数!$B$11+卡牌总表!AF61*参数!$B$40*参数!$B$2+卡牌总表!AG61*参数!$B$44*参数!$B$2+卡牌总表!AH61*参数!$B$6*参数!$B$2+卡牌总表!AI61*参数!$B$39*参数!$B$2+卡牌总表!AJ61*参数!$B$6*参数!$B$2+卡牌总表!Z61*参数!$B$13-卡牌总表!T61*参数!$B$14-卡牌总表!AD61*参数!$B$13+IF(ISNUMBER(卡牌总表!AU61),卡牌总表!AU61*参数!$B$38,0)-卡牌总表!AV61*参数!$B$41-卡牌总表!AW61*参数!$B$14</f>
        <v>9.6999999999999993</v>
      </c>
      <c r="J61">
        <f>IF(AND(卡牌总表!F61="能力",卡牌总表!AL61="能力持续"),(参数!$B$2-1)*参数!$B$3,0)</f>
        <v>0</v>
      </c>
      <c r="K61">
        <f t="shared" si="1"/>
        <v>9.6999999999999993</v>
      </c>
      <c r="L61">
        <f>卡牌总表!N61*卡牌总表!O61*参数!$B$5*IF(AND(卡牌总表!F61="能力",卡牌总表!AL61="能力持续"),参数!$B$2,1)+卡牌总表!Q61*参数!$B$6*IF(AND(卡牌总表!F61="能力",卡牌总表!AL61="能力持续"),参数!$B$2,1)+卡牌总表!S61*参数!$B$7*IF(AND(卡牌总表!F61="能力",卡牌总表!AL61="能力持续"),参数!$B$2,1)+卡牌总表!W61*参数!$B$8+IF(卡牌总表!Y61&lt;0,卡牌总表!Y61*参数!$B$13,卡牌总表!Y61*参数!$B$39)+IF(卡牌总表!AE61&lt;0,卡牌总表!AE61*参数!$B$13,卡牌总表!AE61*参数!$B$12)*参数!$B$2+卡牌总表!AR61*参数!$B$15+卡牌总表!AC61*参数!$B$11+卡牌总表!AF61*参数!$B$40*参数!$B$2+卡牌总表!AG61*参数!$B$44*参数!$B$2+卡牌总表!AH61*参数!$B$6*参数!$B$2+卡牌总表!AI61*参数!$B$39*参数!$B$2+卡牌总表!AJ61*参数!$B$6*参数!$B$2+卡牌总表!AA61*参数!$B$13-卡牌总表!U61*参数!$B$14-卡牌总表!AD61*参数!$B$13+IF(ISNUMBER(卡牌总表!AU61),卡牌总表!AU61*参数!$B$38,0)-卡牌总表!AV61*参数!$B$41-卡牌总表!AW61*参数!$B$14</f>
        <v>11.4</v>
      </c>
      <c r="M61">
        <f>IF(AND(卡牌总表!F61="能力",卡牌总表!AL61="能力持续"),参数!$B$2*参数!$B$3,0)</f>
        <v>0</v>
      </c>
      <c r="N61">
        <f t="shared" si="2"/>
        <v>11.4</v>
      </c>
      <c r="O61">
        <f>IFERROR(MAX(IF(K61 &gt; 参数!$B$17,参数!$B$17+SQRT(K61-参数!$B$17)*参数!$B$18,K61)-MAX(G61,0)*参数!$B$10,0)/MAX(G61,0.4),0)</f>
        <v>6.6999999999999993</v>
      </c>
      <c r="P61">
        <f>IFERROR(MAX(IF(N61 &gt; 参数!$B$17,参数!$B$17+SQRT(N61-参数!$B$17)*参数!$B$18,N61)-MAX(H61,0)*参数!$B$10,0)/MAX(H61,0.4),0)</f>
        <v>8.7748239349298842</v>
      </c>
      <c r="Q61">
        <f>卡牌总表!AO61</f>
        <v>0</v>
      </c>
    </row>
    <row r="62" spans="1:17" x14ac:dyDescent="0.3">
      <c r="A62">
        <f t="shared" si="0"/>
        <v>61</v>
      </c>
      <c r="B62" t="str">
        <f>卡牌总表!B62</f>
        <v>ironclad_primal_force</v>
      </c>
      <c r="C62" t="str">
        <f>卡牌总表!D62</f>
        <v>原始力量</v>
      </c>
      <c r="D62" t="str">
        <f>卡牌总表!F62</f>
        <v>技能</v>
      </c>
      <c r="E62">
        <f>卡牌总表!AL62</f>
        <v>0</v>
      </c>
      <c r="F62">
        <f>卡牌总表!AN62</f>
        <v>0</v>
      </c>
      <c r="G62">
        <f>卡牌总表!AP62</f>
        <v>0.4</v>
      </c>
      <c r="H62">
        <f>IF(ISNUMBER(卡牌总表!H62),IF(AND(卡牌总表!H62=0,卡牌总表!V62=0,卡牌总表!AK62="none"),0.4,IF(卡牌总表!AK62="exhaust",MAX(卡牌总表!H62-卡牌总表!V62,0.4),IF(卡牌总表!AK62="ethereal",MAX(卡牌总表!H62-卡牌总表!V62,0.4),MAX(卡牌总表!H62-卡牌总表!V62,0.4)))),IF(OR(卡牌总表!H62="X",卡牌总表!H62="∞"),0.4,0.4))</f>
        <v>0.4</v>
      </c>
      <c r="I62">
        <f>卡牌总表!M62*卡牌总表!O62*参数!$B$5*IF(AND(卡牌总表!F62="能力",卡牌总表!AL62="能力持续"),参数!$B$2,1)+卡牌总表!P62*参数!$B$6*IF(AND(卡牌总表!F62="能力",卡牌总表!AL62="能力持续"),参数!$B$2,1)+卡牌总表!R62*参数!$B$7*IF(AND(卡牌总表!F62="能力",卡牌总表!AL62="能力持续"),参数!$B$2,1)+卡牌总表!V62*参数!$B$8+IF(卡牌总表!X62&lt;0,卡牌总表!X62*参数!$B$13,卡牌总表!X62*参数!$B$39)+IF(卡牌总表!AE62&lt;0,卡牌总表!AE62*参数!$B$13,卡牌总表!AE62*参数!$B$12)*参数!$B$2+卡牌总表!AQ62*参数!$B$15+卡牌总表!AB62*参数!$B$11+卡牌总表!AF62*参数!$B$40*参数!$B$2+卡牌总表!AG62*参数!$B$44*参数!$B$2+卡牌总表!AH62*参数!$B$6*参数!$B$2+卡牌总表!AI62*参数!$B$39*参数!$B$2+卡牌总表!AJ62*参数!$B$6*参数!$B$2+卡牌总表!Z62*参数!$B$13-卡牌总表!T62*参数!$B$14-卡牌总表!AD62*参数!$B$13+IF(ISNUMBER(卡牌总表!AU62),卡牌总表!AU62*参数!$B$38,0)-卡牌总表!AV62*参数!$B$41-卡牌总表!AW62*参数!$B$14</f>
        <v>40</v>
      </c>
      <c r="J62">
        <f>IF(AND(卡牌总表!F62="能力",卡牌总表!AL62="能力持续"),(参数!$B$2-1)*参数!$B$3,0)</f>
        <v>0</v>
      </c>
      <c r="K62">
        <f t="shared" si="1"/>
        <v>40</v>
      </c>
      <c r="L62">
        <f>卡牌总表!N62*卡牌总表!O62*参数!$B$5*IF(AND(卡牌总表!F62="能力",卡牌总表!AL62="能力持续"),参数!$B$2,1)+卡牌总表!Q62*参数!$B$6*IF(AND(卡牌总表!F62="能力",卡牌总表!AL62="能力持续"),参数!$B$2,1)+卡牌总表!S62*参数!$B$7*IF(AND(卡牌总表!F62="能力",卡牌总表!AL62="能力持续"),参数!$B$2,1)+卡牌总表!W62*参数!$B$8+IF(卡牌总表!Y62&lt;0,卡牌总表!Y62*参数!$B$13,卡牌总表!Y62*参数!$B$39)+IF(卡牌总表!AE62&lt;0,卡牌总表!AE62*参数!$B$13,卡牌总表!AE62*参数!$B$12)*参数!$B$2+卡牌总表!AR62*参数!$B$15+卡牌总表!AC62*参数!$B$11+卡牌总表!AF62*参数!$B$40*参数!$B$2+卡牌总表!AG62*参数!$B$44*参数!$B$2+卡牌总表!AH62*参数!$B$6*参数!$B$2+卡牌总表!AI62*参数!$B$39*参数!$B$2+卡牌总表!AJ62*参数!$B$6*参数!$B$2+卡牌总表!AA62*参数!$B$13-卡牌总表!U62*参数!$B$14-卡牌总表!AD62*参数!$B$13+IF(ISNUMBER(卡牌总表!AU62),卡牌总表!AU62*参数!$B$38,0)-卡牌总表!AV62*参数!$B$41-卡牌总表!AW62*参数!$B$14</f>
        <v>0</v>
      </c>
      <c r="M62">
        <f>IF(AND(卡牌总表!F62="能力",卡牌总表!AL62="能力持续"),参数!$B$2*参数!$B$3,0)</f>
        <v>0</v>
      </c>
      <c r="N62">
        <f t="shared" si="2"/>
        <v>0</v>
      </c>
      <c r="O62">
        <f>IFERROR(MAX(IF(K62 &gt; 参数!$B$17,参数!$B$17+SQRT(K62-参数!$B$17)*参数!$B$18,K62)-MAX(G62,0)*参数!$B$10,0)/MAX(G62,0.4),0)</f>
        <v>42.539595906443729</v>
      </c>
      <c r="P62">
        <f>IFERROR(MAX(IF(N62 &gt; 参数!$B$17,参数!$B$17+SQRT(N62-参数!$B$17)*参数!$B$18,N62)-MAX(H62,0)*参数!$B$10,0)/MAX(H62,0.4),0)</f>
        <v>0</v>
      </c>
      <c r="Q62">
        <f>卡牌总表!AO62</f>
        <v>0</v>
      </c>
    </row>
    <row r="63" spans="1:17" x14ac:dyDescent="0.3">
      <c r="A63">
        <f t="shared" si="0"/>
        <v>62</v>
      </c>
      <c r="B63" t="str">
        <f>卡牌总表!B63</f>
        <v>ironclad_pyre</v>
      </c>
      <c r="C63" t="str">
        <f>卡牌总表!D63</f>
        <v>薪火之源</v>
      </c>
      <c r="D63" t="str">
        <f>卡牌总表!F63</f>
        <v>能力</v>
      </c>
      <c r="E63" t="str">
        <f>卡牌总表!AL63</f>
        <v>能力持续</v>
      </c>
      <c r="F63" t="str">
        <f>卡牌总表!AN63</f>
        <v>能力</v>
      </c>
      <c r="G63">
        <f>卡牌总表!AP63</f>
        <v>0.4</v>
      </c>
      <c r="H63">
        <f>IF(ISNUMBER(卡牌总表!H63),IF(AND(卡牌总表!H63=0,卡牌总表!V63=0,卡牌总表!AK63="none"),0.4,IF(卡牌总表!AK63="exhaust",MAX(卡牌总表!H63-卡牌总表!V63,0.4),IF(卡牌总表!AK63="ethereal",MAX(卡牌总表!H63-卡牌总表!V63,0.4),MAX(卡牌总表!H63-卡牌总表!V63,0.4)))),IF(OR(卡牌总表!H63="X",卡牌总表!H63="∞"),0.4,0.4))</f>
        <v>0.4</v>
      </c>
      <c r="I63">
        <f>卡牌总表!M63*卡牌总表!O63*参数!$B$5*IF(AND(卡牌总表!F63="能力",卡牌总表!AL63="能力持续"),参数!$B$2,1)+卡牌总表!P63*参数!$B$6*IF(AND(卡牌总表!F63="能力",卡牌总表!AL63="能力持续"),参数!$B$2,1)+卡牌总表!R63*参数!$B$7*IF(AND(卡牌总表!F63="能力",卡牌总表!AL63="能力持续"),参数!$B$2,1)+卡牌总表!V63*参数!$B$8+IF(卡牌总表!X63&lt;0,卡牌总表!X63*参数!$B$13,卡牌总表!X63*参数!$B$39)+IF(卡牌总表!AE63&lt;0,卡牌总表!AE63*参数!$B$13,卡牌总表!AE63*参数!$B$12)*参数!$B$2+卡牌总表!AQ63*参数!$B$15+卡牌总表!AB63*参数!$B$11+卡牌总表!AF63*参数!$B$40*参数!$B$2+卡牌总表!AG63*参数!$B$44*参数!$B$2+卡牌总表!AH63*参数!$B$6*参数!$B$2+卡牌总表!AI63*参数!$B$39*参数!$B$2+卡牌总表!AJ63*参数!$B$6*参数!$B$2+卡牌总表!Z63*参数!$B$13-卡牌总表!T63*参数!$B$14-卡牌总表!AD63*参数!$B$13+IF(ISNUMBER(卡牌总表!AU63),卡牌总表!AU63*参数!$B$38,0)-卡牌总表!AV63*参数!$B$41-卡牌总表!AW63*参数!$B$14</f>
        <v>36</v>
      </c>
      <c r="J63">
        <f>IF(AND(卡牌总表!F63="能力",卡牌总表!AL63="能力持续"),(参数!$B$2-1)*参数!$B$3,0)</f>
        <v>3.5999999999999996</v>
      </c>
      <c r="K63">
        <f t="shared" si="1"/>
        <v>39.6</v>
      </c>
      <c r="L63">
        <f>卡牌总表!N63*卡牌总表!O63*参数!$B$5*IF(AND(卡牌总表!F63="能力",卡牌总表!AL63="能力持续"),参数!$B$2,1)+卡牌总表!Q63*参数!$B$6*IF(AND(卡牌总表!F63="能力",卡牌总表!AL63="能力持续"),参数!$B$2,1)+卡牌总表!S63*参数!$B$7*IF(AND(卡牌总表!F63="能力",卡牌总表!AL63="能力持续"),参数!$B$2,1)+卡牌总表!W63*参数!$B$8+IF(卡牌总表!Y63&lt;0,卡牌总表!Y63*参数!$B$13,卡牌总表!Y63*参数!$B$39)+IF(卡牌总表!AE63&lt;0,卡牌总表!AE63*参数!$B$13,卡牌总表!AE63*参数!$B$12)*参数!$B$2+卡牌总表!AR63*参数!$B$15+卡牌总表!AC63*参数!$B$11+卡牌总表!AF63*参数!$B$40*参数!$B$2+卡牌总表!AG63*参数!$B$44*参数!$B$2+卡牌总表!AH63*参数!$B$6*参数!$B$2+卡牌总表!AI63*参数!$B$39*参数!$B$2+卡牌总表!AJ63*参数!$B$6*参数!$B$2+卡牌总表!AA63*参数!$B$13-卡牌总表!U63*参数!$B$14-卡牌总表!AD63*参数!$B$13+IF(ISNUMBER(卡牌总表!AU63),卡牌总表!AU63*参数!$B$38,0)-卡牌总表!AV63*参数!$B$41-卡牌总表!AW63*参数!$B$14</f>
        <v>18</v>
      </c>
      <c r="M63">
        <f>IF(AND(卡牌总表!F63="能力",卡牌总表!AL63="能力持续"),参数!$B$2*参数!$B$3,0)</f>
        <v>4.8</v>
      </c>
      <c r="N63">
        <f t="shared" si="2"/>
        <v>22.8</v>
      </c>
      <c r="O63">
        <f>IFERROR(MAX(IF(K63 &gt; 参数!$B$17,参数!$B$17+SQRT(K63-参数!$B$17)*参数!$B$18,K63)-MAX(G63,0)*参数!$B$10,0)/MAX(G63,0.4),0)</f>
        <v>42.402205763103161</v>
      </c>
      <c r="P63">
        <f>IFERROR(MAX(IF(N63 &gt; 参数!$B$17,参数!$B$17+SQRT(N63-参数!$B$17)*参数!$B$18,N63)-MAX(H63,0)*参数!$B$10,0)/MAX(H63,0.4),0)</f>
        <v>35.416407864998739</v>
      </c>
      <c r="Q63">
        <f>卡牌总表!AO63</f>
        <v>0</v>
      </c>
    </row>
    <row r="64" spans="1:17" x14ac:dyDescent="0.3">
      <c r="A64">
        <f t="shared" si="0"/>
        <v>63</v>
      </c>
      <c r="B64" t="str">
        <f>卡牌总表!B64</f>
        <v>ironclad_rage</v>
      </c>
      <c r="C64" t="str">
        <f>卡牌总表!D64</f>
        <v>狂怒</v>
      </c>
      <c r="D64" t="str">
        <f>卡牌总表!F64</f>
        <v>技能</v>
      </c>
      <c r="E64">
        <f>卡牌总表!AL64</f>
        <v>0</v>
      </c>
      <c r="F64" t="str">
        <f>卡牌总表!AN64</f>
        <v>本回合</v>
      </c>
      <c r="G64">
        <f>卡牌总表!AP64</f>
        <v>0.4</v>
      </c>
      <c r="H64">
        <f>IF(ISNUMBER(卡牌总表!H64),IF(AND(卡牌总表!H64=0,卡牌总表!V64=0,卡牌总表!AK64="none"),0.4,IF(卡牌总表!AK64="exhaust",MAX(卡牌总表!H64-卡牌总表!V64,0.4),IF(卡牌总表!AK64="ethereal",MAX(卡牌总表!H64-卡牌总表!V64,0.4),MAX(卡牌总表!H64-卡牌总表!V64,0.4)))),IF(OR(卡牌总表!H64="X",卡牌总表!H64="∞"),0.4,0.4))</f>
        <v>0.4</v>
      </c>
      <c r="I64">
        <f>卡牌总表!M64*卡牌总表!O64*参数!$B$5*IF(AND(卡牌总表!F64="能力",卡牌总表!AL64="能力持续"),参数!$B$2,1)+卡牌总表!P64*参数!$B$6*IF(AND(卡牌总表!F64="能力",卡牌总表!AL64="能力持续"),参数!$B$2,1)+卡牌总表!R64*参数!$B$7*IF(AND(卡牌总表!F64="能力",卡牌总表!AL64="能力持续"),参数!$B$2,1)+卡牌总表!V64*参数!$B$8+IF(卡牌总表!X64&lt;0,卡牌总表!X64*参数!$B$13,卡牌总表!X64*参数!$B$39)+IF(卡牌总表!AE64&lt;0,卡牌总表!AE64*参数!$B$13,卡牌总表!AE64*参数!$B$12)*参数!$B$2+卡牌总表!AQ64*参数!$B$15+卡牌总表!AB64*参数!$B$11+卡牌总表!AF64*参数!$B$40*参数!$B$2+卡牌总表!AG64*参数!$B$44*参数!$B$2+卡牌总表!AH64*参数!$B$6*参数!$B$2+卡牌总表!AI64*参数!$B$39*参数!$B$2+卡牌总表!AJ64*参数!$B$6*参数!$B$2+卡牌总表!Z64*参数!$B$13-卡牌总表!T64*参数!$B$14-卡牌总表!AD64*参数!$B$13+IF(ISNUMBER(卡牌总表!AU64),卡牌总表!AU64*参数!$B$38,0)-卡牌总表!AV64*参数!$B$41-卡牌总表!AW64*参数!$B$14</f>
        <v>3.3000000000000003</v>
      </c>
      <c r="J64">
        <f>IF(AND(卡牌总表!F64="能力",卡牌总表!AL64="能力持续"),(参数!$B$2-1)*参数!$B$3,0)</f>
        <v>0</v>
      </c>
      <c r="K64">
        <f t="shared" si="1"/>
        <v>3.3000000000000003</v>
      </c>
      <c r="L64">
        <f>卡牌总表!N64*卡牌总表!O64*参数!$B$5*IF(AND(卡牌总表!F64="能力",卡牌总表!AL64="能力持续"),参数!$B$2,1)+卡牌总表!Q64*参数!$B$6*IF(AND(卡牌总表!F64="能力",卡牌总表!AL64="能力持续"),参数!$B$2,1)+卡牌总表!S64*参数!$B$7*IF(AND(卡牌总表!F64="能力",卡牌总表!AL64="能力持续"),参数!$B$2,1)+卡牌总表!W64*参数!$B$8+IF(卡牌总表!Y64&lt;0,卡牌总表!Y64*参数!$B$13,卡牌总表!Y64*参数!$B$39)+IF(卡牌总表!AE64&lt;0,卡牌总表!AE64*参数!$B$13,卡牌总表!AE64*参数!$B$12)*参数!$B$2+卡牌总表!AR64*参数!$B$15+卡牌总表!AC64*参数!$B$11+卡牌总表!AF64*参数!$B$40*参数!$B$2+卡牌总表!AG64*参数!$B$44*参数!$B$2+卡牌总表!AH64*参数!$B$6*参数!$B$2+卡牌总表!AI64*参数!$B$39*参数!$B$2+卡牌总表!AJ64*参数!$B$6*参数!$B$2+卡牌总表!AA64*参数!$B$13-卡牌总表!U64*参数!$B$14-卡牌总表!AD64*参数!$B$13+IF(ISNUMBER(卡牌总表!AU64),卡牌总表!AU64*参数!$B$38,0)-卡牌总表!AV64*参数!$B$41-卡牌总表!AW64*参数!$B$14</f>
        <v>6.6000000000000005</v>
      </c>
      <c r="M64">
        <f>IF(AND(卡牌总表!F64="能力",卡牌总表!AL64="能力持续"),参数!$B$2*参数!$B$3,0)</f>
        <v>0</v>
      </c>
      <c r="N64">
        <f t="shared" si="2"/>
        <v>6.6000000000000005</v>
      </c>
      <c r="O64">
        <f>IFERROR(MAX(IF(K64 &gt; 参数!$B$17,参数!$B$17+SQRT(K64-参数!$B$17)*参数!$B$18,K64)-MAX(G64,0)*参数!$B$10,0)/MAX(G64,0.4),0)</f>
        <v>5.25</v>
      </c>
      <c r="P64">
        <f>IFERROR(MAX(IF(N64 &gt; 参数!$B$17,参数!$B$17+SQRT(N64-参数!$B$17)*参数!$B$18,N64)-MAX(H64,0)*参数!$B$10,0)/MAX(H64,0.4),0)</f>
        <v>13.5</v>
      </c>
      <c r="Q64">
        <f>卡牌总表!AO64</f>
        <v>0</v>
      </c>
    </row>
    <row r="65" spans="1:17" x14ac:dyDescent="0.3">
      <c r="A65">
        <f t="shared" si="0"/>
        <v>64</v>
      </c>
      <c r="B65" t="str">
        <f>卡牌总表!B65</f>
        <v>ironclad_rampage</v>
      </c>
      <c r="C65" t="str">
        <f>卡牌总表!D65</f>
        <v>暴走</v>
      </c>
      <c r="D65" t="str">
        <f>卡牌总表!F65</f>
        <v>攻击</v>
      </c>
      <c r="E65">
        <f>卡牌总表!AL65</f>
        <v>0</v>
      </c>
      <c r="F65">
        <f>卡牌总表!AN65</f>
        <v>0</v>
      </c>
      <c r="G65">
        <f>卡牌总表!AP65</f>
        <v>1</v>
      </c>
      <c r="H65">
        <f>IF(ISNUMBER(卡牌总表!H65),IF(AND(卡牌总表!H65=0,卡牌总表!V65=0,卡牌总表!AK65="none"),0.4,IF(卡牌总表!AK65="exhaust",MAX(卡牌总表!H65-卡牌总表!V65,0.4),IF(卡牌总表!AK65="ethereal",MAX(卡牌总表!H65-卡牌总表!V65,0.4),MAX(卡牌总表!H65-卡牌总表!V65,0.4)))),IF(OR(卡牌总表!H65="X",卡牌总表!H65="∞"),0.4,0.4))</f>
        <v>1</v>
      </c>
      <c r="I65">
        <f>卡牌总表!M65*卡牌总表!O65*参数!$B$5*IF(AND(卡牌总表!F65="能力",卡牌总表!AL65="能力持续"),参数!$B$2,1)+卡牌总表!P65*参数!$B$6*IF(AND(卡牌总表!F65="能力",卡牌总表!AL65="能力持续"),参数!$B$2,1)+卡牌总表!R65*参数!$B$7*IF(AND(卡牌总表!F65="能力",卡牌总表!AL65="能力持续"),参数!$B$2,1)+卡牌总表!V65*参数!$B$8+IF(卡牌总表!X65&lt;0,卡牌总表!X65*参数!$B$13,卡牌总表!X65*参数!$B$39)+IF(卡牌总表!AE65&lt;0,卡牌总表!AE65*参数!$B$13,卡牌总表!AE65*参数!$B$12)*参数!$B$2+卡牌总表!AQ65*参数!$B$15+卡牌总表!AB65*参数!$B$11+卡牌总表!AF65*参数!$B$40*参数!$B$2+卡牌总表!AG65*参数!$B$44*参数!$B$2+卡牌总表!AH65*参数!$B$6*参数!$B$2+卡牌总表!AI65*参数!$B$39*参数!$B$2+卡牌总表!AJ65*参数!$B$6*参数!$B$2+卡牌总表!Z65*参数!$B$13-卡牌总表!T65*参数!$B$14-卡牌总表!AD65*参数!$B$13+IF(ISNUMBER(卡牌总表!AU65),卡牌总表!AU65*参数!$B$38,0)-卡牌总表!AV65*参数!$B$41-卡牌总表!AW65*参数!$B$14</f>
        <v>13.7</v>
      </c>
      <c r="J65">
        <f>IF(AND(卡牌总表!F65="能力",卡牌总表!AL65="能力持续"),(参数!$B$2-1)*参数!$B$3,0)</f>
        <v>0</v>
      </c>
      <c r="K65">
        <f t="shared" si="1"/>
        <v>13.7</v>
      </c>
      <c r="L65">
        <f>卡牌总表!N65*卡牌总表!O65*参数!$B$5*IF(AND(卡牌总表!F65="能力",卡牌总表!AL65="能力持续"),参数!$B$2,1)+卡牌总表!Q65*参数!$B$6*IF(AND(卡牌总表!F65="能力",卡牌总表!AL65="能力持续"),参数!$B$2,1)+卡牌总表!S65*参数!$B$7*IF(AND(卡牌总表!F65="能力",卡牌总表!AL65="能力持续"),参数!$B$2,1)+卡牌总表!W65*参数!$B$8+IF(卡牌总表!Y65&lt;0,卡牌总表!Y65*参数!$B$13,卡牌总表!Y65*参数!$B$39)+IF(卡牌总表!AE65&lt;0,卡牌总表!AE65*参数!$B$13,卡牌总表!AE65*参数!$B$12)*参数!$B$2+卡牌总表!AR65*参数!$B$15+卡牌总表!AC65*参数!$B$11+卡牌总表!AF65*参数!$B$40*参数!$B$2+卡牌总表!AG65*参数!$B$44*参数!$B$2+卡牌总表!AH65*参数!$B$6*参数!$B$2+卡牌总表!AI65*参数!$B$39*参数!$B$2+卡牌总表!AJ65*参数!$B$6*参数!$B$2+卡牌总表!AA65*参数!$B$13-卡牌总表!U65*参数!$B$14-卡牌总表!AD65*参数!$B$13+IF(ISNUMBER(卡牌总表!AU65),卡牌总表!AU65*参数!$B$38,0)-卡牌总表!AV65*参数!$B$41-卡牌总表!AW65*参数!$B$14</f>
        <v>17.7</v>
      </c>
      <c r="M65">
        <f>IF(AND(卡牌总表!F65="能力",卡牌总表!AL65="能力持续"),参数!$B$2*参数!$B$3,0)</f>
        <v>0</v>
      </c>
      <c r="N65">
        <f t="shared" si="2"/>
        <v>17.7</v>
      </c>
      <c r="O65">
        <f>IFERROR(MAX(IF(K65 &gt; 参数!$B$17,参数!$B$17+SQRT(K65-参数!$B$17)*参数!$B$18,K65)-MAX(G65,0)*参数!$B$10,0)/MAX(G65,0.4),0)</f>
        <v>9.8853076092507024</v>
      </c>
      <c r="P65">
        <f>IFERROR(MAX(IF(N65 &gt; 参数!$B$17,参数!$B$17+SQRT(N65-参数!$B$17)*参数!$B$18,N65)-MAX(H65,0)*参数!$B$10,0)/MAX(H65,0.4),0)</f>
        <v>11.162331077653482</v>
      </c>
      <c r="Q65">
        <f>卡牌总表!AO65</f>
        <v>0</v>
      </c>
    </row>
    <row r="66" spans="1:17" x14ac:dyDescent="0.3">
      <c r="A66">
        <f t="shared" ref="A66:A129" si="3">ROW()-1</f>
        <v>65</v>
      </c>
      <c r="B66" t="str">
        <f>卡牌总表!B66</f>
        <v>ironclad_rupture</v>
      </c>
      <c r="C66" t="str">
        <f>卡牌总表!D66</f>
        <v>撕裂</v>
      </c>
      <c r="D66" t="str">
        <f>卡牌总表!F66</f>
        <v>能力</v>
      </c>
      <c r="E66" t="str">
        <f>卡牌总表!AL66</f>
        <v>能力持续</v>
      </c>
      <c r="F66" t="str">
        <f>卡牌总表!AN66</f>
        <v>能力</v>
      </c>
      <c r="G66">
        <f>卡牌总表!AP66</f>
        <v>1</v>
      </c>
      <c r="H66">
        <f>IF(ISNUMBER(卡牌总表!H66),IF(AND(卡牌总表!H66=0,卡牌总表!V66=0,卡牌总表!AK66="none"),0.4,IF(卡牌总表!AK66="exhaust",MAX(卡牌总表!H66-卡牌总表!V66,0.4),IF(卡牌总表!AK66="ethereal",MAX(卡牌总表!H66-卡牌总表!V66,0.4),MAX(卡牌总表!H66-卡牌总表!V66,0.4)))),IF(OR(卡牌总表!H66="X",卡牌总表!H66="∞"),0.4,0.4))</f>
        <v>1</v>
      </c>
      <c r="I66">
        <f>卡牌总表!M66*卡牌总表!O66*参数!$B$5*IF(AND(卡牌总表!F66="能力",卡牌总表!AL66="能力持续"),参数!$B$2,1)+卡牌总表!P66*参数!$B$6*IF(AND(卡牌总表!F66="能力",卡牌总表!AL66="能力持续"),参数!$B$2,1)+卡牌总表!R66*参数!$B$7*IF(AND(卡牌总表!F66="能力",卡牌总表!AL66="能力持续"),参数!$B$2,1)+卡牌总表!V66*参数!$B$8+IF(卡牌总表!X66&lt;0,卡牌总表!X66*参数!$B$13,卡牌总表!X66*参数!$B$39)+IF(卡牌总表!AE66&lt;0,卡牌总表!AE66*参数!$B$13,卡牌总表!AE66*参数!$B$12)*参数!$B$2+卡牌总表!AQ66*参数!$B$15+卡牌总表!AB66*参数!$B$11+卡牌总表!AF66*参数!$B$40*参数!$B$2+卡牌总表!AG66*参数!$B$44*参数!$B$2+卡牌总表!AH66*参数!$B$6*参数!$B$2+卡牌总表!AI66*参数!$B$39*参数!$B$2+卡牌总表!AJ66*参数!$B$6*参数!$B$2+卡牌总表!Z66*参数!$B$13-卡牌总表!T66*参数!$B$14-卡牌总表!AD66*参数!$B$13+IF(ISNUMBER(卡牌总表!AU66),卡牌总表!AU66*参数!$B$38,0)-卡牌总表!AV66*参数!$B$41-卡牌总表!AW66*参数!$B$14</f>
        <v>-1.2000000000000002</v>
      </c>
      <c r="J66">
        <f>IF(AND(卡牌总表!F66="能力",卡牌总表!AL66="能力持续"),(参数!$B$2-1)*参数!$B$3,0)</f>
        <v>3.5999999999999996</v>
      </c>
      <c r="K66">
        <f t="shared" ref="K66:K129" si="4">I66+J66</f>
        <v>2.3999999999999995</v>
      </c>
      <c r="L66">
        <f>卡牌总表!N66*卡牌总表!O66*参数!$B$5*IF(AND(卡牌总表!F66="能力",卡牌总表!AL66="能力持续"),参数!$B$2,1)+卡牌总表!Q66*参数!$B$6*IF(AND(卡牌总表!F66="能力",卡牌总表!AL66="能力持续"),参数!$B$2,1)+卡牌总表!S66*参数!$B$7*IF(AND(卡牌总表!F66="能力",卡牌总表!AL66="能力持续"),参数!$B$2,1)+卡牌总表!W66*参数!$B$8+IF(卡牌总表!Y66&lt;0,卡牌总表!Y66*参数!$B$13,卡牌总表!Y66*参数!$B$39)+IF(卡牌总表!AE66&lt;0,卡牌总表!AE66*参数!$B$13,卡牌总表!AE66*参数!$B$12)*参数!$B$2+卡牌总表!AR66*参数!$B$15+卡牌总表!AC66*参数!$B$11+卡牌总表!AF66*参数!$B$40*参数!$B$2+卡牌总表!AG66*参数!$B$44*参数!$B$2+卡牌总表!AH66*参数!$B$6*参数!$B$2+卡牌总表!AI66*参数!$B$39*参数!$B$2+卡牌总表!AJ66*参数!$B$6*参数!$B$2+卡牌总表!AA66*参数!$B$13-卡牌总表!U66*参数!$B$14-卡牌总表!AD66*参数!$B$13+IF(ISNUMBER(卡牌总表!AU66),卡牌总表!AU66*参数!$B$38,0)-卡牌总表!AV66*参数!$B$41-卡牌总表!AW66*参数!$B$14</f>
        <v>-1.2000000000000002</v>
      </c>
      <c r="M66">
        <f>IF(AND(卡牌总表!F66="能力",卡牌总表!AL66="能力持续"),参数!$B$2*参数!$B$3,0)</f>
        <v>4.8</v>
      </c>
      <c r="N66">
        <f t="shared" ref="N66:N129" si="5">L66+M66</f>
        <v>3.5999999999999996</v>
      </c>
      <c r="O66">
        <f>IFERROR(MAX(IF(K66 &gt; 参数!$B$17,参数!$B$17+SQRT(K66-参数!$B$17)*参数!$B$18,K66)-MAX(G66,0)*参数!$B$10,0)/MAX(G66,0.4),0)</f>
        <v>0</v>
      </c>
      <c r="P66">
        <f>IFERROR(MAX(IF(N66 &gt; 参数!$B$17,参数!$B$17+SQRT(N66-参数!$B$17)*参数!$B$18,N66)-MAX(H66,0)*参数!$B$10,0)/MAX(H66,0.4),0)</f>
        <v>0.59999999999999964</v>
      </c>
      <c r="Q66">
        <f>卡牌总表!AO66</f>
        <v>0</v>
      </c>
    </row>
    <row r="67" spans="1:17" x14ac:dyDescent="0.3">
      <c r="A67">
        <f t="shared" si="3"/>
        <v>66</v>
      </c>
      <c r="B67" t="str">
        <f>卡牌总表!B67</f>
        <v>ironclad_second_wind</v>
      </c>
      <c r="C67" t="str">
        <f>卡牌总表!D67</f>
        <v>重振精神</v>
      </c>
      <c r="D67" t="str">
        <f>卡牌总表!F67</f>
        <v>技能</v>
      </c>
      <c r="E67">
        <f>卡牌总表!AL67</f>
        <v>0</v>
      </c>
      <c r="F67">
        <f>卡牌总表!AN67</f>
        <v>0</v>
      </c>
      <c r="G67">
        <f>卡牌总表!AP67</f>
        <v>1</v>
      </c>
      <c r="H67">
        <f>IF(ISNUMBER(卡牌总表!H67),IF(AND(卡牌总表!H67=0,卡牌总表!V67=0,卡牌总表!AK67="none"),0.4,IF(卡牌总表!AK67="exhaust",MAX(卡牌总表!H67-卡牌总表!V67,0.4),IF(卡牌总表!AK67="ethereal",MAX(卡牌总表!H67-卡牌总表!V67,0.4),MAX(卡牌总表!H67-卡牌总表!V67,0.4)))),IF(OR(卡牌总表!H67="X",卡牌总表!H67="∞"),0.4,0.4))</f>
        <v>1</v>
      </c>
      <c r="I67">
        <f>卡牌总表!M67*卡牌总表!O67*参数!$B$5*IF(AND(卡牌总表!F67="能力",卡牌总表!AL67="能力持续"),参数!$B$2,1)+卡牌总表!P67*参数!$B$6*IF(AND(卡牌总表!F67="能力",卡牌总表!AL67="能力持续"),参数!$B$2,1)+卡牌总表!R67*参数!$B$7*IF(AND(卡牌总表!F67="能力",卡牌总表!AL67="能力持续"),参数!$B$2,1)+卡牌总表!V67*参数!$B$8+IF(卡牌总表!X67&lt;0,卡牌总表!X67*参数!$B$13,卡牌总表!X67*参数!$B$39)+IF(卡牌总表!AE67&lt;0,卡牌总表!AE67*参数!$B$13,卡牌总表!AE67*参数!$B$12)*参数!$B$2+卡牌总表!AQ67*参数!$B$15+卡牌总表!AB67*参数!$B$11+卡牌总表!AF67*参数!$B$40*参数!$B$2+卡牌总表!AG67*参数!$B$44*参数!$B$2+卡牌总表!AH67*参数!$B$6*参数!$B$2+卡牌总表!AI67*参数!$B$39*参数!$B$2+卡牌总表!AJ67*参数!$B$6*参数!$B$2+卡牌总表!Z67*参数!$B$13-卡牌总表!T67*参数!$B$14-卡牌总表!AD67*参数!$B$13+IF(ISNUMBER(卡牌总表!AU67),卡牌总表!AU67*参数!$B$38,0)-卡牌总表!AV67*参数!$B$41-卡牌总表!AW67*参数!$B$14</f>
        <v>15.6</v>
      </c>
      <c r="J67">
        <f>IF(AND(卡牌总表!F67="能力",卡牌总表!AL67="能力持续"),(参数!$B$2-1)*参数!$B$3,0)</f>
        <v>0</v>
      </c>
      <c r="K67">
        <f t="shared" si="4"/>
        <v>15.6</v>
      </c>
      <c r="L67">
        <f>卡牌总表!N67*卡牌总表!O67*参数!$B$5*IF(AND(卡牌总表!F67="能力",卡牌总表!AL67="能力持续"),参数!$B$2,1)+卡牌总表!Q67*参数!$B$6*IF(AND(卡牌总表!F67="能力",卡牌总表!AL67="能力持续"),参数!$B$2,1)+卡牌总表!S67*参数!$B$7*IF(AND(卡牌总表!F67="能力",卡牌总表!AL67="能力持续"),参数!$B$2,1)+卡牌总表!W67*参数!$B$8+IF(卡牌总表!Y67&lt;0,卡牌总表!Y67*参数!$B$13,卡牌总表!Y67*参数!$B$39)+IF(卡牌总表!AE67&lt;0,卡牌总表!AE67*参数!$B$13,卡牌总表!AE67*参数!$B$12)*参数!$B$2+卡牌总表!AR67*参数!$B$15+卡牌总表!AC67*参数!$B$11+卡牌总表!AF67*参数!$B$40*参数!$B$2+卡牌总表!AG67*参数!$B$44*参数!$B$2+卡牌总表!AH67*参数!$B$6*参数!$B$2+卡牌总表!AI67*参数!$B$39*参数!$B$2+卡牌总表!AJ67*参数!$B$6*参数!$B$2+卡牌总表!AA67*参数!$B$13-卡牌总表!U67*参数!$B$14-卡牌总表!AD67*参数!$B$13+IF(ISNUMBER(卡牌总表!AU67),卡牌总表!AU67*参数!$B$38,0)-卡牌总表!AV67*参数!$B$41-卡牌总表!AW67*参数!$B$14</f>
        <v>6.8000000000000007</v>
      </c>
      <c r="M67">
        <f>IF(AND(卡牌总表!F67="能力",卡牌总表!AL67="能力持续"),参数!$B$2*参数!$B$3,0)</f>
        <v>0</v>
      </c>
      <c r="N67">
        <f t="shared" si="5"/>
        <v>6.8000000000000007</v>
      </c>
      <c r="O67">
        <f>IFERROR(MAX(IF(K67 &gt; 参数!$B$17,参数!$B$17+SQRT(K67-参数!$B$17)*参数!$B$18,K67)-MAX(G67,0)*参数!$B$10,0)/MAX(G67,0.4),0)</f>
        <v>10.549647869859768</v>
      </c>
      <c r="P67">
        <f>IFERROR(MAX(IF(N67 &gt; 参数!$B$17,参数!$B$17+SQRT(N67-参数!$B$17)*参数!$B$18,N67)-MAX(H67,0)*参数!$B$10,0)/MAX(H67,0.4),0)</f>
        <v>3.8000000000000007</v>
      </c>
      <c r="Q67" t="str">
        <f>卡牌总表!AO67</f>
        <v>含消耗其他牌效果</v>
      </c>
    </row>
    <row r="68" spans="1:17" x14ac:dyDescent="0.3">
      <c r="A68">
        <f t="shared" si="3"/>
        <v>67</v>
      </c>
      <c r="B68" t="str">
        <f>卡牌总表!B68</f>
        <v>ironclad_setup_strike</v>
      </c>
      <c r="C68" t="str">
        <f>卡牌总表!D68</f>
        <v>预备打击</v>
      </c>
      <c r="D68" t="str">
        <f>卡牌总表!F68</f>
        <v>攻击</v>
      </c>
      <c r="E68">
        <f>卡牌总表!AL68</f>
        <v>0</v>
      </c>
      <c r="F68" t="str">
        <f>卡牌总表!AN68</f>
        <v>本回合</v>
      </c>
      <c r="G68">
        <f>卡牌总表!AP68</f>
        <v>1</v>
      </c>
      <c r="H68">
        <f>IF(ISNUMBER(卡牌总表!H68),IF(AND(卡牌总表!H68=0,卡牌总表!V68=0,卡牌总表!AK68="none"),0.4,IF(卡牌总表!AK68="exhaust",MAX(卡牌总表!H68-卡牌总表!V68,0.4),IF(卡牌总表!AK68="ethereal",MAX(卡牌总表!H68-卡牌总表!V68,0.4),MAX(卡牌总表!H68-卡牌总表!V68,0.4)))),IF(OR(卡牌总表!H68="X",卡牌总表!H68="∞"),0.4,0.4))</f>
        <v>1</v>
      </c>
      <c r="I68">
        <f>卡牌总表!M68*卡牌总表!O68*参数!$B$5*IF(AND(卡牌总表!F68="能力",卡牌总表!AL68="能力持续"),参数!$B$2,1)+卡牌总表!P68*参数!$B$6*IF(AND(卡牌总表!F68="能力",卡牌总表!AL68="能力持续"),参数!$B$2,1)+卡牌总表!R68*参数!$B$7*IF(AND(卡牌总表!F68="能力",卡牌总表!AL68="能力持续"),参数!$B$2,1)+卡牌总表!V68*参数!$B$8+IF(卡牌总表!X68&lt;0,卡牌总表!X68*参数!$B$13,卡牌总表!X68*参数!$B$39)+IF(卡牌总表!AE68&lt;0,卡牌总表!AE68*参数!$B$13,卡牌总表!AE68*参数!$B$12)*参数!$B$2+卡牌总表!AQ68*参数!$B$15+卡牌总表!AB68*参数!$B$11+卡牌总表!AF68*参数!$B$40*参数!$B$2+卡牌总表!AG68*参数!$B$44*参数!$B$2+卡牌总表!AH68*参数!$B$6*参数!$B$2+卡牌总表!AI68*参数!$B$39*参数!$B$2+卡牌总表!AJ68*参数!$B$6*参数!$B$2+卡牌总表!Z68*参数!$B$13-卡牌总表!T68*参数!$B$14-卡牌总表!AD68*参数!$B$13+IF(ISNUMBER(卡牌总表!AU68),卡牌总表!AU68*参数!$B$38,0)-卡牌总表!AV68*参数!$B$41-卡牌总表!AW68*参数!$B$14</f>
        <v>13.600000000000001</v>
      </c>
      <c r="J68">
        <f>IF(AND(卡牌总表!F68="能力",卡牌总表!AL68="能力持续"),(参数!$B$2-1)*参数!$B$3,0)</f>
        <v>0</v>
      </c>
      <c r="K68">
        <f t="shared" si="4"/>
        <v>13.600000000000001</v>
      </c>
      <c r="L68">
        <f>卡牌总表!N68*卡牌总表!O68*参数!$B$5*IF(AND(卡牌总表!F68="能力",卡牌总表!AL68="能力持续"),参数!$B$2,1)+卡牌总表!Q68*参数!$B$6*IF(AND(卡牌总表!F68="能力",卡牌总表!AL68="能力持续"),参数!$B$2,1)+卡牌总表!S68*参数!$B$7*IF(AND(卡牌总表!F68="能力",卡牌总表!AL68="能力持续"),参数!$B$2,1)+卡牌总表!W68*参数!$B$8+IF(卡牌总表!Y68&lt;0,卡牌总表!Y68*参数!$B$13,卡牌总表!Y68*参数!$B$39)+IF(卡牌总表!AE68&lt;0,卡牌总表!AE68*参数!$B$13,卡牌总表!AE68*参数!$B$12)*参数!$B$2+卡牌总表!AR68*参数!$B$15+卡牌总表!AC68*参数!$B$11+卡牌总表!AF68*参数!$B$40*参数!$B$2+卡牌总表!AG68*参数!$B$44*参数!$B$2+卡牌总表!AH68*参数!$B$6*参数!$B$2+卡牌总表!AI68*参数!$B$39*参数!$B$2+卡牌总表!AJ68*参数!$B$6*参数!$B$2+卡牌总表!AA68*参数!$B$13-卡牌总表!U68*参数!$B$14-卡牌总表!AD68*参数!$B$13+IF(ISNUMBER(卡牌总表!AU68),卡牌总表!AU68*参数!$B$38,0)-卡牌总表!AV68*参数!$B$41-卡牌总表!AW68*参数!$B$14</f>
        <v>15.600000000000001</v>
      </c>
      <c r="M68">
        <f>IF(AND(卡牌总表!F68="能力",卡牌总表!AL68="能力持续"),参数!$B$2*参数!$B$3,0)</f>
        <v>0</v>
      </c>
      <c r="N68">
        <f t="shared" si="5"/>
        <v>15.600000000000001</v>
      </c>
      <c r="O68">
        <f>IFERROR(MAX(IF(K68 &gt; 参数!$B$17,参数!$B$17+SQRT(K68-参数!$B$17)*参数!$B$18,K68)-MAX(G68,0)*参数!$B$10,0)/MAX(G68,0.4),0)</f>
        <v>9.8460498941515411</v>
      </c>
      <c r="P68">
        <f>IFERROR(MAX(IF(N68 &gt; 参数!$B$17,参数!$B$17+SQRT(N68-参数!$B$17)*参数!$B$18,N68)-MAX(H68,0)*参数!$B$10,0)/MAX(H68,0.4),0)</f>
        <v>10.54964786985977</v>
      </c>
      <c r="Q68">
        <f>卡牌总表!AO68</f>
        <v>0</v>
      </c>
    </row>
    <row r="69" spans="1:17" x14ac:dyDescent="0.3">
      <c r="A69">
        <f t="shared" si="3"/>
        <v>68</v>
      </c>
      <c r="B69" t="str">
        <f>卡牌总表!B69</f>
        <v>ironclad_shrug_it_off</v>
      </c>
      <c r="C69" t="str">
        <f>卡牌总表!D69</f>
        <v>耸肩无视</v>
      </c>
      <c r="D69" t="str">
        <f>卡牌总表!F69</f>
        <v>技能</v>
      </c>
      <c r="E69">
        <f>卡牌总表!AL69</f>
        <v>0</v>
      </c>
      <c r="F69">
        <f>卡牌总表!AN69</f>
        <v>0</v>
      </c>
      <c r="G69">
        <f>卡牌总表!AP69</f>
        <v>1</v>
      </c>
      <c r="H69">
        <f>IF(ISNUMBER(卡牌总表!H69),IF(AND(卡牌总表!H69=0,卡牌总表!V69=0,卡牌总表!AK69="none"),0.4,IF(卡牌总表!AK69="exhaust",MAX(卡牌总表!H69-卡牌总表!V69,0.4),IF(卡牌总表!AK69="ethereal",MAX(卡牌总表!H69-卡牌总表!V69,0.4),MAX(卡牌总表!H69-卡牌总表!V69,0.4)))),IF(OR(卡牌总表!H69="X",卡牌总表!H69="∞"),0.4,0.4))</f>
        <v>1</v>
      </c>
      <c r="I69">
        <f>卡牌总表!M69*卡牌总表!O69*参数!$B$5*IF(AND(卡牌总表!F69="能力",卡牌总表!AL69="能力持续"),参数!$B$2,1)+卡牌总表!P69*参数!$B$6*IF(AND(卡牌总表!F69="能力",卡牌总表!AL69="能力持续"),参数!$B$2,1)+卡牌总表!R69*参数!$B$7*IF(AND(卡牌总表!F69="能力",卡牌总表!AL69="能力持续"),参数!$B$2,1)+卡牌总表!V69*参数!$B$8+IF(卡牌总表!X69&lt;0,卡牌总表!X69*参数!$B$13,卡牌总表!X69*参数!$B$39)+IF(卡牌总表!AE69&lt;0,卡牌总表!AE69*参数!$B$13,卡牌总表!AE69*参数!$B$12)*参数!$B$2+卡牌总表!AQ69*参数!$B$15+卡牌总表!AB69*参数!$B$11+卡牌总表!AF69*参数!$B$40*参数!$B$2+卡牌总表!AG69*参数!$B$44*参数!$B$2+卡牌总表!AH69*参数!$B$6*参数!$B$2+卡牌总表!AI69*参数!$B$39*参数!$B$2+卡牌总表!AJ69*参数!$B$6*参数!$B$2+卡牌总表!Z69*参数!$B$13-卡牌总表!T69*参数!$B$14-卡牌总表!AD69*参数!$B$13+IF(ISNUMBER(卡牌总表!AU69),卡牌总表!AU69*参数!$B$38,0)-卡牌总表!AV69*参数!$B$41-卡牌总表!AW69*参数!$B$14</f>
        <v>9.5</v>
      </c>
      <c r="J69">
        <f>IF(AND(卡牌总表!F69="能力",卡牌总表!AL69="能力持续"),(参数!$B$2-1)*参数!$B$3,0)</f>
        <v>0</v>
      </c>
      <c r="K69">
        <f t="shared" si="4"/>
        <v>9.5</v>
      </c>
      <c r="L69">
        <f>卡牌总表!N69*卡牌总表!O69*参数!$B$5*IF(AND(卡牌总表!F69="能力",卡牌总表!AL69="能力持续"),参数!$B$2,1)+卡牌总表!Q69*参数!$B$6*IF(AND(卡牌总表!F69="能力",卡牌总表!AL69="能力持续"),参数!$B$2,1)+卡牌总表!S69*参数!$B$7*IF(AND(卡牌总表!F69="能力",卡牌总表!AL69="能力持续"),参数!$B$2,1)+卡牌总表!W69*参数!$B$8+IF(卡牌总表!Y69&lt;0,卡牌总表!Y69*参数!$B$13,卡牌总表!Y69*参数!$B$39)+IF(卡牌总表!AE69&lt;0,卡牌总表!AE69*参数!$B$13,卡牌总表!AE69*参数!$B$12)*参数!$B$2+卡牌总表!AR69*参数!$B$15+卡牌总表!AC69*参数!$B$11+卡牌总表!AF69*参数!$B$40*参数!$B$2+卡牌总表!AG69*参数!$B$44*参数!$B$2+卡牌总表!AH69*参数!$B$6*参数!$B$2+卡牌总表!AI69*参数!$B$39*参数!$B$2+卡牌总表!AJ69*参数!$B$6*参数!$B$2+卡牌总表!AA69*参数!$B$13-卡牌总表!U69*参数!$B$14-卡牌总表!AD69*参数!$B$13+IF(ISNUMBER(卡牌总表!AU69),卡牌总表!AU69*参数!$B$38,0)-卡牌总表!AV69*参数!$B$41-卡牌总表!AW69*参数!$B$14</f>
        <v>12.8</v>
      </c>
      <c r="M69">
        <f>IF(AND(卡牌总表!F69="能力",卡牌总表!AL69="能力持续"),参数!$B$2*参数!$B$3,0)</f>
        <v>0</v>
      </c>
      <c r="N69">
        <f t="shared" si="5"/>
        <v>12.8</v>
      </c>
      <c r="O69">
        <f>IFERROR(MAX(IF(K69 &gt; 参数!$B$17,参数!$B$17+SQRT(K69-参数!$B$17)*参数!$B$18,K69)-MAX(G69,0)*参数!$B$10,0)/MAX(G69,0.4),0)</f>
        <v>6.5</v>
      </c>
      <c r="P69">
        <f>IFERROR(MAX(IF(N69 &gt; 参数!$B$17,参数!$B$17+SQRT(N69-参数!$B$17)*参数!$B$18,N69)-MAX(H69,0)*参数!$B$10,0)/MAX(H69,0.4),0)</f>
        <v>9.5099800796022276</v>
      </c>
      <c r="Q69">
        <f>卡牌总表!AO69</f>
        <v>0</v>
      </c>
    </row>
    <row r="70" spans="1:17" x14ac:dyDescent="0.3">
      <c r="A70">
        <f t="shared" si="3"/>
        <v>69</v>
      </c>
      <c r="B70" t="str">
        <f>卡牌总表!B70</f>
        <v>ironclad_spite</v>
      </c>
      <c r="C70" t="str">
        <f>卡牌总表!D70</f>
        <v>怨恨</v>
      </c>
      <c r="D70" t="str">
        <f>卡牌总表!F70</f>
        <v>攻击</v>
      </c>
      <c r="E70">
        <f>卡牌总表!AL70</f>
        <v>0</v>
      </c>
      <c r="F70" t="str">
        <f>卡牌总表!AN70</f>
        <v>本回合</v>
      </c>
      <c r="G70">
        <f>卡牌总表!AP70</f>
        <v>0.4</v>
      </c>
      <c r="H70">
        <f>IF(ISNUMBER(卡牌总表!H70),IF(AND(卡牌总表!H70=0,卡牌总表!V70=0,卡牌总表!AK70="none"),0.4,IF(卡牌总表!AK70="exhaust",MAX(卡牌总表!H70-卡牌总表!V70,0.4),IF(卡牌总表!AK70="ethereal",MAX(卡牌总表!H70-卡牌总表!V70,0.4),MAX(卡牌总表!H70-卡牌总表!V70,0.4)))),IF(OR(卡牌总表!H70="X",卡牌总表!H70="∞"),0.4,0.4))</f>
        <v>0.4</v>
      </c>
      <c r="I70">
        <f>卡牌总表!M70*卡牌总表!O70*参数!$B$5*IF(AND(卡牌总表!F70="能力",卡牌总表!AL70="能力持续"),参数!$B$2,1)+卡牌总表!P70*参数!$B$6*IF(AND(卡牌总表!F70="能力",卡牌总表!AL70="能力持续"),参数!$B$2,1)+卡牌总表!R70*参数!$B$7*IF(AND(卡牌总表!F70="能力",卡牌总表!AL70="能力持续"),参数!$B$2,1)+卡牌总表!V70*参数!$B$8+IF(卡牌总表!X70&lt;0,卡牌总表!X70*参数!$B$13,卡牌总表!X70*参数!$B$39)+IF(卡牌总表!AE70&lt;0,卡牌总表!AE70*参数!$B$13,卡牌总表!AE70*参数!$B$12)*参数!$B$2+卡牌总表!AQ70*参数!$B$15+卡牌总表!AB70*参数!$B$11+卡牌总表!AF70*参数!$B$40*参数!$B$2+卡牌总表!AG70*参数!$B$44*参数!$B$2+卡牌总表!AH70*参数!$B$6*参数!$B$2+卡牌总表!AI70*参数!$B$39*参数!$B$2+卡牌总表!AJ70*参数!$B$6*参数!$B$2+卡牌总表!Z70*参数!$B$13-卡牌总表!T70*参数!$B$14-卡牌总表!AD70*参数!$B$13+IF(ISNUMBER(卡牌总表!AU70),卡牌总表!AU70*参数!$B$38,0)-卡牌总表!AV70*参数!$B$41-卡牌总表!AW70*参数!$B$14</f>
        <v>18.7</v>
      </c>
      <c r="J70">
        <f>IF(AND(卡牌总表!F70="能力",卡牌总表!AL70="能力持续"),(参数!$B$2-1)*参数!$B$3,0)</f>
        <v>0</v>
      </c>
      <c r="K70">
        <f t="shared" si="4"/>
        <v>18.7</v>
      </c>
      <c r="L70">
        <f>卡牌总表!N70*卡牌总表!O70*参数!$B$5*IF(AND(卡牌总表!F70="能力",卡牌总表!AL70="能力持续"),参数!$B$2,1)+卡牌总表!Q70*参数!$B$6*IF(AND(卡牌总表!F70="能力",卡牌总表!AL70="能力持续"),参数!$B$2,1)+卡牌总表!S70*参数!$B$7*IF(AND(卡牌总表!F70="能力",卡牌总表!AL70="能力持续"),参数!$B$2,1)+卡牌总表!W70*参数!$B$8+IF(卡牌总表!Y70&lt;0,卡牌总表!Y70*参数!$B$13,卡牌总表!Y70*参数!$B$39)+IF(卡牌总表!AE70&lt;0,卡牌总表!AE70*参数!$B$13,卡牌总表!AE70*参数!$B$12)*参数!$B$2+卡牌总表!AR70*参数!$B$15+卡牌总表!AC70*参数!$B$11+卡牌总表!AF70*参数!$B$40*参数!$B$2+卡牌总表!AG70*参数!$B$44*参数!$B$2+卡牌总表!AH70*参数!$B$6*参数!$B$2+卡牌总表!AI70*参数!$B$39*参数!$B$2+卡牌总表!AJ70*参数!$B$6*参数!$B$2+卡牌总表!AA70*参数!$B$13-卡牌总表!U70*参数!$B$14-卡牌总表!AD70*参数!$B$13+IF(ISNUMBER(卡牌总表!AU70),卡牌总表!AU70*参数!$B$38,0)-卡牌总表!AV70*参数!$B$41-卡牌总表!AW70*参数!$B$14</f>
        <v>25.4</v>
      </c>
      <c r="M70">
        <f>IF(AND(卡牌总表!F70="能力",卡牌总表!AL70="能力持续"),参数!$B$2*参数!$B$3,0)</f>
        <v>0</v>
      </c>
      <c r="N70">
        <f t="shared" si="5"/>
        <v>25.4</v>
      </c>
      <c r="O70">
        <f>IFERROR(MAX(IF(K70 &gt; 参数!$B$17,参数!$B$17+SQRT(K70-参数!$B$17)*参数!$B$18,K70)-MAX(G70,0)*参数!$B$10,0)/MAX(G70,0.4),0)</f>
        <v>33.060910902814463</v>
      </c>
      <c r="P70">
        <f>IFERROR(MAX(IF(N70 &gt; 参数!$B$17,参数!$B$17+SQRT(N70-参数!$B$17)*参数!$B$18,N70)-MAX(H70,0)*参数!$B$10,0)/MAX(H70,0.4),0)</f>
        <v>36.716062652761437</v>
      </c>
      <c r="Q70">
        <f>卡牌总表!AO70</f>
        <v>0</v>
      </c>
    </row>
    <row r="71" spans="1:17" x14ac:dyDescent="0.3">
      <c r="A71">
        <f t="shared" si="3"/>
        <v>70</v>
      </c>
      <c r="B71" t="str">
        <f>卡牌总表!B71</f>
        <v>ironclad_stampede</v>
      </c>
      <c r="C71" t="str">
        <f>卡牌总表!D71</f>
        <v>惊逃</v>
      </c>
      <c r="D71" t="str">
        <f>卡牌总表!F71</f>
        <v>能力</v>
      </c>
      <c r="E71" t="str">
        <f>卡牌总表!AL71</f>
        <v>能力持续</v>
      </c>
      <c r="F71" t="str">
        <f>卡牌总表!AN71</f>
        <v>能力</v>
      </c>
      <c r="G71">
        <f>卡牌总表!AP71</f>
        <v>2</v>
      </c>
      <c r="H71">
        <f>IF(ISNUMBER(卡牌总表!H71),IF(AND(卡牌总表!H71=0,卡牌总表!V71=0,卡牌总表!AK71="none"),0.4,IF(卡牌总表!AK71="exhaust",MAX(卡牌总表!H71-卡牌总表!V71,0.4),IF(卡牌总表!AK71="ethereal",MAX(卡牌总表!H71-卡牌总表!V71,0.4),MAX(卡牌总表!H71-卡牌总表!V71,0.4)))),IF(OR(卡牌总表!H71="X",卡牌总表!H71="∞"),0.4,0.4))</f>
        <v>2</v>
      </c>
      <c r="I71">
        <f>卡牌总表!M71*卡牌总表!O71*参数!$B$5*IF(AND(卡牌总表!F71="能力",卡牌总表!AL71="能力持续"),参数!$B$2,1)+卡牌总表!P71*参数!$B$6*IF(AND(卡牌总表!F71="能力",卡牌总表!AL71="能力持续"),参数!$B$2,1)+卡牌总表!R71*参数!$B$7*IF(AND(卡牌总表!F71="能力",卡牌总表!AL71="能力持续"),参数!$B$2,1)+卡牌总表!V71*参数!$B$8+IF(卡牌总表!X71&lt;0,卡牌总表!X71*参数!$B$13,卡牌总表!X71*参数!$B$39)+IF(卡牌总表!AE71&lt;0,卡牌总表!AE71*参数!$B$13,卡牌总表!AE71*参数!$B$12)*参数!$B$2+卡牌总表!AQ71*参数!$B$15+卡牌总表!AB71*参数!$B$11+卡牌总表!AF71*参数!$B$40*参数!$B$2+卡牌总表!AG71*参数!$B$44*参数!$B$2+卡牌总表!AH71*参数!$B$6*参数!$B$2+卡牌总表!AI71*参数!$B$39*参数!$B$2+卡牌总表!AJ71*参数!$B$6*参数!$B$2+卡牌总表!Z71*参数!$B$13-卡牌总表!T71*参数!$B$14-卡牌总表!AD71*参数!$B$13+IF(ISNUMBER(卡牌总表!AU71),卡牌总表!AU71*参数!$B$38,0)-卡牌总表!AV71*参数!$B$41-卡牌总表!AW71*参数!$B$14</f>
        <v>24</v>
      </c>
      <c r="J71">
        <f>IF(AND(卡牌总表!F71="能力",卡牌总表!AL71="能力持续"),(参数!$B$2-1)*参数!$B$3,0)</f>
        <v>3.5999999999999996</v>
      </c>
      <c r="K71">
        <f t="shared" si="4"/>
        <v>27.6</v>
      </c>
      <c r="L71">
        <f>卡牌总表!N71*卡牌总表!O71*参数!$B$5*IF(AND(卡牌总表!F71="能力",卡牌总表!AL71="能力持续"),参数!$B$2,1)+卡牌总表!Q71*参数!$B$6*IF(AND(卡牌总表!F71="能力",卡牌总表!AL71="能力持续"),参数!$B$2,1)+卡牌总表!S71*参数!$B$7*IF(AND(卡牌总表!F71="能力",卡牌总表!AL71="能力持续"),参数!$B$2,1)+卡牌总表!W71*参数!$B$8+IF(卡牌总表!Y71&lt;0,卡牌总表!Y71*参数!$B$13,卡牌总表!Y71*参数!$B$39)+IF(卡牌总表!AE71&lt;0,卡牌总表!AE71*参数!$B$13,卡牌总表!AE71*参数!$B$12)*参数!$B$2+卡牌总表!AR71*参数!$B$15+卡牌总表!AC71*参数!$B$11+卡牌总表!AF71*参数!$B$40*参数!$B$2+卡牌总表!AG71*参数!$B$44*参数!$B$2+卡牌总表!AH71*参数!$B$6*参数!$B$2+卡牌总表!AI71*参数!$B$39*参数!$B$2+卡牌总表!AJ71*参数!$B$6*参数!$B$2+卡牌总表!AA71*参数!$B$13-卡牌总表!U71*参数!$B$14-卡牌总表!AD71*参数!$B$13+IF(ISNUMBER(卡牌总表!AU71),卡牌总表!AU71*参数!$B$38,0)-卡牌总表!AV71*参数!$B$41-卡牌总表!AW71*参数!$B$14</f>
        <v>0</v>
      </c>
      <c r="M71">
        <f>IF(AND(卡牌总表!F71="能力",卡牌总表!AL71="能力持续"),参数!$B$2*参数!$B$3,0)</f>
        <v>4.8</v>
      </c>
      <c r="N71">
        <f t="shared" si="5"/>
        <v>4.8</v>
      </c>
      <c r="O71">
        <f>IFERROR(MAX(IF(K71 &gt; 参数!$B$17,参数!$B$17+SQRT(K71-参数!$B$17)*参数!$B$18,K71)-MAX(G71,0)*参数!$B$10,0)/MAX(G71,0.4),0)</f>
        <v>5.1464265445104544</v>
      </c>
      <c r="P71">
        <f>IFERROR(MAX(IF(N71 &gt; 参数!$B$17,参数!$B$17+SQRT(N71-参数!$B$17)*参数!$B$18,N71)-MAX(H71,0)*参数!$B$10,0)/MAX(H71,0.4),0)</f>
        <v>0</v>
      </c>
      <c r="Q71">
        <f>卡牌总表!AO71</f>
        <v>0</v>
      </c>
    </row>
    <row r="72" spans="1:17" x14ac:dyDescent="0.3">
      <c r="A72">
        <f t="shared" si="3"/>
        <v>71</v>
      </c>
      <c r="B72" t="str">
        <f>卡牌总表!B72</f>
        <v>ironclad_stoke</v>
      </c>
      <c r="C72" t="str">
        <f>卡牌总表!D72</f>
        <v>添柴</v>
      </c>
      <c r="D72" t="str">
        <f>卡牌总表!F72</f>
        <v>技能</v>
      </c>
      <c r="E72">
        <f>卡牌总表!AL72</f>
        <v>0</v>
      </c>
      <c r="F72">
        <f>卡牌总表!AN72</f>
        <v>0</v>
      </c>
      <c r="G72">
        <f>卡牌总表!AP72</f>
        <v>1</v>
      </c>
      <c r="H72">
        <f>IF(ISNUMBER(卡牌总表!H72),IF(AND(卡牌总表!H72=0,卡牌总表!V72=0,卡牌总表!AK72="none"),0.4,IF(卡牌总表!AK72="exhaust",MAX(卡牌总表!H72-卡牌总表!V72,0.4),IF(卡牌总表!AK72="ethereal",MAX(卡牌总表!H72-卡牌总表!V72,0.4),MAX(卡牌总表!H72-卡牌总表!V72,0.4)))),IF(OR(卡牌总表!H72="X",卡牌总表!H72="∞"),0.4,0.4))</f>
        <v>1</v>
      </c>
      <c r="I72">
        <f>卡牌总表!M72*卡牌总表!O72*参数!$B$5*IF(AND(卡牌总表!F72="能力",卡牌总表!AL72="能力持续"),参数!$B$2,1)+卡牌总表!P72*参数!$B$6*IF(AND(卡牌总表!F72="能力",卡牌总表!AL72="能力持续"),参数!$B$2,1)+卡牌总表!R72*参数!$B$7*IF(AND(卡牌总表!F72="能力",卡牌总表!AL72="能力持续"),参数!$B$2,1)+卡牌总表!V72*参数!$B$8+IF(卡牌总表!X72&lt;0,卡牌总表!X72*参数!$B$13,卡牌总表!X72*参数!$B$39)+IF(卡牌总表!AE72&lt;0,卡牌总表!AE72*参数!$B$13,卡牌总表!AE72*参数!$B$12)*参数!$B$2+卡牌总表!AQ72*参数!$B$15+卡牌总表!AB72*参数!$B$11+卡牌总表!AF72*参数!$B$40*参数!$B$2+卡牌总表!AG72*参数!$B$44*参数!$B$2+卡牌总表!AH72*参数!$B$6*参数!$B$2+卡牌总表!AI72*参数!$B$39*参数!$B$2+卡牌总表!AJ72*参数!$B$6*参数!$B$2+卡牌总表!Z72*参数!$B$13-卡牌总表!T72*参数!$B$14-卡牌总表!AD72*参数!$B$13+IF(ISNUMBER(卡牌总表!AU72),卡牌总表!AU72*参数!$B$38,0)-卡牌总表!AV72*参数!$B$41-卡牌总表!AW72*参数!$B$14</f>
        <v>2</v>
      </c>
      <c r="J72">
        <f>IF(AND(卡牌总表!F72="能力",卡牌总表!AL72="能力持续"),(参数!$B$2-1)*参数!$B$3,0)</f>
        <v>0</v>
      </c>
      <c r="K72">
        <f t="shared" si="4"/>
        <v>2</v>
      </c>
      <c r="L72">
        <f>卡牌总表!N72*卡牌总表!O72*参数!$B$5*IF(AND(卡牌总表!F72="能力",卡牌总表!AL72="能力持续"),参数!$B$2,1)+卡牌总表!Q72*参数!$B$6*IF(AND(卡牌总表!F72="能力",卡牌总表!AL72="能力持续"),参数!$B$2,1)+卡牌总表!S72*参数!$B$7*IF(AND(卡牌总表!F72="能力",卡牌总表!AL72="能力持续"),参数!$B$2,1)+卡牌总表!W72*参数!$B$8+IF(卡牌总表!Y72&lt;0,卡牌总表!Y72*参数!$B$13,卡牌总表!Y72*参数!$B$39)+IF(卡牌总表!AE72&lt;0,卡牌总表!AE72*参数!$B$13,卡牌总表!AE72*参数!$B$12)*参数!$B$2+卡牌总表!AR72*参数!$B$15+卡牌总表!AC72*参数!$B$11+卡牌总表!AF72*参数!$B$40*参数!$B$2+卡牌总表!AG72*参数!$B$44*参数!$B$2+卡牌总表!AH72*参数!$B$6*参数!$B$2+卡牌总表!AI72*参数!$B$39*参数!$B$2+卡牌总表!AJ72*参数!$B$6*参数!$B$2+卡牌总表!AA72*参数!$B$13-卡牌总表!U72*参数!$B$14-卡牌总表!AD72*参数!$B$13+IF(ISNUMBER(卡牌总表!AU72),卡牌总表!AU72*参数!$B$38,0)-卡牌总表!AV72*参数!$B$41-卡牌总表!AW72*参数!$B$14</f>
        <v>0</v>
      </c>
      <c r="M72">
        <f>IF(AND(卡牌总表!F72="能力",卡牌总表!AL72="能力持续"),参数!$B$2*参数!$B$3,0)</f>
        <v>0</v>
      </c>
      <c r="N72">
        <f t="shared" si="5"/>
        <v>0</v>
      </c>
      <c r="O72">
        <f>IFERROR(MAX(IF(K72 &gt; 参数!$B$17,参数!$B$17+SQRT(K72-参数!$B$17)*参数!$B$18,K72)-MAX(G72,0)*参数!$B$10,0)/MAX(G72,0.4),0)</f>
        <v>0</v>
      </c>
      <c r="P72">
        <f>IFERROR(MAX(IF(N72 &gt; 参数!$B$17,参数!$B$17+SQRT(N72-参数!$B$17)*参数!$B$18,N72)-MAX(H72,0)*参数!$B$10,0)/MAX(H72,0.4),0)</f>
        <v>0</v>
      </c>
      <c r="Q72" t="str">
        <f>卡牌总表!AO72</f>
        <v>含消耗其他牌效果</v>
      </c>
    </row>
    <row r="73" spans="1:17" x14ac:dyDescent="0.3">
      <c r="A73">
        <f t="shared" si="3"/>
        <v>72</v>
      </c>
      <c r="B73" t="str">
        <f>卡牌总表!B73</f>
        <v>ironclad_stomp</v>
      </c>
      <c r="C73" t="str">
        <f>卡牌总表!D73</f>
        <v>踩踏</v>
      </c>
      <c r="D73" t="str">
        <f>卡牌总表!F73</f>
        <v>攻击</v>
      </c>
      <c r="E73">
        <f>卡牌总表!AL73</f>
        <v>0</v>
      </c>
      <c r="F73" t="str">
        <f>卡牌总表!AN73</f>
        <v>群体攻击，本回合</v>
      </c>
      <c r="G73">
        <f>卡牌总表!AP73</f>
        <v>3</v>
      </c>
      <c r="H73">
        <f>IF(ISNUMBER(卡牌总表!H73),IF(AND(卡牌总表!H73=0,卡牌总表!V73=0,卡牌总表!AK73="none"),0.4,IF(卡牌总表!AK73="exhaust",MAX(卡牌总表!H73-卡牌总表!V73,0.4),IF(卡牌总表!AK73="ethereal",MAX(卡牌总表!H73-卡牌总表!V73,0.4),MAX(卡牌总表!H73-卡牌总表!V73,0.4)))),IF(OR(卡牌总表!H73="X",卡牌总表!H73="∞"),0.4,0.4))</f>
        <v>3</v>
      </c>
      <c r="I73">
        <f>卡牌总表!M73*卡牌总表!O73*参数!$B$5*IF(AND(卡牌总表!F73="能力",卡牌总表!AL73="能力持续"),参数!$B$2,1)+卡牌总表!P73*参数!$B$6*IF(AND(卡牌总表!F73="能力",卡牌总表!AL73="能力持续"),参数!$B$2,1)+卡牌总表!R73*参数!$B$7*IF(AND(卡牌总表!F73="能力",卡牌总表!AL73="能力持续"),参数!$B$2,1)+卡牌总表!V73*参数!$B$8+IF(卡牌总表!X73&lt;0,卡牌总表!X73*参数!$B$13,卡牌总表!X73*参数!$B$39)+IF(卡牌总表!AE73&lt;0,卡牌总表!AE73*参数!$B$13,卡牌总表!AE73*参数!$B$12)*参数!$B$2+卡牌总表!AQ73*参数!$B$15+卡牌总表!AB73*参数!$B$11+卡牌总表!AF73*参数!$B$40*参数!$B$2+卡牌总表!AG73*参数!$B$44*参数!$B$2+卡牌总表!AH73*参数!$B$6*参数!$B$2+卡牌总表!AI73*参数!$B$39*参数!$B$2+卡牌总表!AJ73*参数!$B$6*参数!$B$2+卡牌总表!Z73*参数!$B$13-卡牌总表!T73*参数!$B$14-卡牌总表!AD73*参数!$B$13+IF(ISNUMBER(卡牌总表!AU73),卡牌总表!AU73*参数!$B$38,0)-卡牌总表!AV73*参数!$B$41-卡牌总表!AW73*参数!$B$14</f>
        <v>12</v>
      </c>
      <c r="J73">
        <f>IF(AND(卡牌总表!F73="能力",卡牌总表!AL73="能力持续"),(参数!$B$2-1)*参数!$B$3,0)</f>
        <v>0</v>
      </c>
      <c r="K73">
        <f t="shared" si="4"/>
        <v>12</v>
      </c>
      <c r="L73">
        <f>卡牌总表!N73*卡牌总表!O73*参数!$B$5*IF(AND(卡牌总表!F73="能力",卡牌总表!AL73="能力持续"),参数!$B$2,1)+卡牌总表!Q73*参数!$B$6*IF(AND(卡牌总表!F73="能力",卡牌总表!AL73="能力持续"),参数!$B$2,1)+卡牌总表!S73*参数!$B$7*IF(AND(卡牌总表!F73="能力",卡牌总表!AL73="能力持续"),参数!$B$2,1)+卡牌总表!W73*参数!$B$8+IF(卡牌总表!Y73&lt;0,卡牌总表!Y73*参数!$B$13,卡牌总表!Y73*参数!$B$39)+IF(卡牌总表!AE73&lt;0,卡牌总表!AE73*参数!$B$13,卡牌总表!AE73*参数!$B$12)*参数!$B$2+卡牌总表!AR73*参数!$B$15+卡牌总表!AC73*参数!$B$11+卡牌总表!AF73*参数!$B$40*参数!$B$2+卡牌总表!AG73*参数!$B$44*参数!$B$2+卡牌总表!AH73*参数!$B$6*参数!$B$2+卡牌总表!AI73*参数!$B$39*参数!$B$2+卡牌总表!AJ73*参数!$B$6*参数!$B$2+卡牌总表!AA73*参数!$B$13-卡牌总表!U73*参数!$B$14-卡牌总表!AD73*参数!$B$13+IF(ISNUMBER(卡牌总表!AU73),卡牌总表!AU73*参数!$B$38,0)-卡牌总表!AV73*参数!$B$41-卡牌总表!AW73*参数!$B$14</f>
        <v>15</v>
      </c>
      <c r="M73">
        <f>IF(AND(卡牌总表!F73="能力",卡牌总表!AL73="能力持续"),参数!$B$2*参数!$B$3,0)</f>
        <v>0</v>
      </c>
      <c r="N73">
        <f t="shared" si="5"/>
        <v>15</v>
      </c>
      <c r="O73">
        <f>IFERROR(MAX(IF(K73 &gt; 参数!$B$17,参数!$B$17+SQRT(K73-参数!$B$17)*参数!$B$18,K73)-MAX(G73,0)*参数!$B$10,0)/MAX(G73,0.4),0)</f>
        <v>1.0404401145198807</v>
      </c>
      <c r="P73">
        <f>IFERROR(MAX(IF(N73 &gt; 参数!$B$17,参数!$B$17+SQRT(N73-参数!$B$17)*参数!$B$18,N73)-MAX(H73,0)*参数!$B$10,0)/MAX(H73,0.4),0)</f>
        <v>1.4513673220832282</v>
      </c>
      <c r="Q73">
        <f>卡牌总表!AO73</f>
        <v>0</v>
      </c>
    </row>
    <row r="74" spans="1:17" x14ac:dyDescent="0.3">
      <c r="A74">
        <f t="shared" si="3"/>
        <v>73</v>
      </c>
      <c r="B74" t="str">
        <f>卡牌总表!B74</f>
        <v>ironclad_stone_armor</v>
      </c>
      <c r="C74" t="str">
        <f>卡牌总表!D74</f>
        <v>岩石铠甲</v>
      </c>
      <c r="D74" t="str">
        <f>卡牌总表!F74</f>
        <v>能力</v>
      </c>
      <c r="E74">
        <f>卡牌总表!AL74</f>
        <v>0</v>
      </c>
      <c r="F74" t="str">
        <f>卡牌总表!AN74</f>
        <v>能力</v>
      </c>
      <c r="G74">
        <f>卡牌总表!AP74</f>
        <v>1</v>
      </c>
      <c r="H74">
        <f>IF(ISNUMBER(卡牌总表!H74),IF(AND(卡牌总表!H74=0,卡牌总表!V74=0,卡牌总表!AK74="none"),0.4,IF(卡牌总表!AK74="exhaust",MAX(卡牌总表!H74-卡牌总表!V74,0.4),IF(卡牌总表!AK74="ethereal",MAX(卡牌总表!H74-卡牌总表!V74,0.4),MAX(卡牌总表!H74-卡牌总表!V74,0.4)))),IF(OR(卡牌总表!H74="X",卡牌总表!H74="∞"),0.4,0.4))</f>
        <v>1</v>
      </c>
      <c r="I74">
        <f>卡牌总表!M74*卡牌总表!O74*参数!$B$5*IF(AND(卡牌总表!F74="能力",卡牌总表!AL74="能力持续"),参数!$B$2,1)+卡牌总表!P74*参数!$B$6*IF(AND(卡牌总表!F74="能力",卡牌总表!AL74="能力持续"),参数!$B$2,1)+卡牌总表!R74*参数!$B$7*IF(AND(卡牌总表!F74="能力",卡牌总表!AL74="能力持续"),参数!$B$2,1)+卡牌总表!V74*参数!$B$8+IF(卡牌总表!X74&lt;0,卡牌总表!X74*参数!$B$13,卡牌总表!X74*参数!$B$39)+IF(卡牌总表!AE74&lt;0,卡牌总表!AE74*参数!$B$13,卡牌总表!AE74*参数!$B$12)*参数!$B$2+卡牌总表!AQ74*参数!$B$15+卡牌总表!AB74*参数!$B$11+卡牌总表!AF74*参数!$B$40*参数!$B$2+卡牌总表!AG74*参数!$B$44*参数!$B$2+卡牌总表!AH74*参数!$B$6*参数!$B$2+卡牌总表!AI74*参数!$B$39*参数!$B$2+卡牌总表!AJ74*参数!$B$6*参数!$B$2+卡牌总表!Z74*参数!$B$13-卡牌总表!T74*参数!$B$14-卡牌总表!AD74*参数!$B$13+IF(ISNUMBER(卡牌总表!AU74),卡牌总表!AU74*参数!$B$38,0)-卡牌总表!AV74*参数!$B$41-卡牌总表!AW74*参数!$B$14</f>
        <v>17.600000000000001</v>
      </c>
      <c r="J74">
        <f>IF(AND(卡牌总表!F74="能力",卡牌总表!AL74="能力持续"),(参数!$B$2-1)*参数!$B$3,0)</f>
        <v>0</v>
      </c>
      <c r="K74">
        <f t="shared" si="4"/>
        <v>17.600000000000001</v>
      </c>
      <c r="L74">
        <f>卡牌总表!N74*卡牌总表!O74*参数!$B$5*IF(AND(卡牌总表!F74="能力",卡牌总表!AL74="能力持续"),参数!$B$2,1)+卡牌总表!Q74*参数!$B$6*IF(AND(卡牌总表!F74="能力",卡牌总表!AL74="能力持续"),参数!$B$2,1)+卡牌总表!S74*参数!$B$7*IF(AND(卡牌总表!F74="能力",卡牌总表!AL74="能力持续"),参数!$B$2,1)+卡牌总表!W74*参数!$B$8+IF(卡牌总表!Y74&lt;0,卡牌总表!Y74*参数!$B$13,卡牌总表!Y74*参数!$B$39)+IF(卡牌总表!AE74&lt;0,卡牌总表!AE74*参数!$B$13,卡牌总表!AE74*参数!$B$12)*参数!$B$2+卡牌总表!AR74*参数!$B$15+卡牌总表!AC74*参数!$B$11+卡牌总表!AF74*参数!$B$40*参数!$B$2+卡牌总表!AG74*参数!$B$44*参数!$B$2+卡牌总表!AH74*参数!$B$6*参数!$B$2+卡牌总表!AI74*参数!$B$39*参数!$B$2+卡牌总表!AJ74*参数!$B$6*参数!$B$2+卡牌总表!AA74*参数!$B$13-卡牌总表!U74*参数!$B$14-卡牌总表!AD74*参数!$B$13+IF(ISNUMBER(卡牌总表!AU74),卡牌总表!AU74*参数!$B$38,0)-卡牌总表!AV74*参数!$B$41-卡牌总表!AW74*参数!$B$14</f>
        <v>17.600000000000001</v>
      </c>
      <c r="M74">
        <f>IF(AND(卡牌总表!F74="能力",卡牌总表!AL74="能力持续"),参数!$B$2*参数!$B$3,0)</f>
        <v>0</v>
      </c>
      <c r="N74">
        <f t="shared" si="5"/>
        <v>17.600000000000001</v>
      </c>
      <c r="O74">
        <f>IFERROR(MAX(IF(K74 &gt; 参数!$B$17,参数!$B$17+SQRT(K74-参数!$B$17)*参数!$B$18,K74)-MAX(G74,0)*参数!$B$10,0)/MAX(G74,0.4),0)</f>
        <v>11.135214625627068</v>
      </c>
      <c r="P74">
        <f>IFERROR(MAX(IF(N74 &gt; 参数!$B$17,参数!$B$17+SQRT(N74-参数!$B$17)*参数!$B$18,N74)-MAX(H74,0)*参数!$B$10,0)/MAX(H74,0.4),0)</f>
        <v>11.135214625627068</v>
      </c>
      <c r="Q74">
        <f>卡牌总表!AO74</f>
        <v>0</v>
      </c>
    </row>
    <row r="75" spans="1:17" x14ac:dyDescent="0.3">
      <c r="A75">
        <f t="shared" si="3"/>
        <v>74</v>
      </c>
      <c r="B75" t="str">
        <f>卡牌总表!B75</f>
        <v>ironclad_sword_boomerang</v>
      </c>
      <c r="C75" t="str">
        <f>卡牌总表!D75</f>
        <v>飞剑回旋镖</v>
      </c>
      <c r="D75" t="str">
        <f>卡牌总表!F75</f>
        <v>攻击</v>
      </c>
      <c r="E75">
        <f>卡牌总表!AL75</f>
        <v>0</v>
      </c>
      <c r="F75">
        <f>卡牌总表!AN75</f>
        <v>0</v>
      </c>
      <c r="G75">
        <f>卡牌总表!AP75</f>
        <v>1</v>
      </c>
      <c r="H75">
        <f>IF(ISNUMBER(卡牌总表!H75),IF(AND(卡牌总表!H75=0,卡牌总表!V75=0,卡牌总表!AK75="none"),0.4,IF(卡牌总表!AK75="exhaust",MAX(卡牌总表!H75-卡牌总表!V75,0.4),IF(卡牌总表!AK75="ethereal",MAX(卡牌总表!H75-卡牌总表!V75,0.4),MAX(卡牌总表!H75-卡牌总表!V75,0.4)))),IF(OR(卡牌总表!H75="X",卡牌总表!H75="∞"),0.4,0.4))</f>
        <v>1</v>
      </c>
      <c r="I75">
        <f>卡牌总表!M75*卡牌总表!O75*参数!$B$5*IF(AND(卡牌总表!F75="能力",卡牌总表!AL75="能力持续"),参数!$B$2,1)+卡牌总表!P75*参数!$B$6*IF(AND(卡牌总表!F75="能力",卡牌总表!AL75="能力持续"),参数!$B$2,1)+卡牌总表!R75*参数!$B$7*IF(AND(卡牌总表!F75="能力",卡牌总表!AL75="能力持续"),参数!$B$2,1)+卡牌总表!V75*参数!$B$8+IF(卡牌总表!X75&lt;0,卡牌总表!X75*参数!$B$13,卡牌总表!X75*参数!$B$39)+IF(卡牌总表!AE75&lt;0,卡牌总表!AE75*参数!$B$13,卡牌总表!AE75*参数!$B$12)*参数!$B$2+卡牌总表!AQ75*参数!$B$15+卡牌总表!AB75*参数!$B$11+卡牌总表!AF75*参数!$B$40*参数!$B$2+卡牌总表!AG75*参数!$B$44*参数!$B$2+卡牌总表!AH75*参数!$B$6*参数!$B$2+卡牌总表!AI75*参数!$B$39*参数!$B$2+卡牌总表!AJ75*参数!$B$6*参数!$B$2+卡牌总表!Z75*参数!$B$13-卡牌总表!T75*参数!$B$14-卡牌总表!AD75*参数!$B$13+IF(ISNUMBER(卡牌总表!AU75),卡牌总表!AU75*参数!$B$38,0)-卡牌总表!AV75*参数!$B$41-卡牌总表!AW75*参数!$B$14</f>
        <v>9</v>
      </c>
      <c r="J75">
        <f>IF(AND(卡牌总表!F75="能力",卡牌总表!AL75="能力持续"),(参数!$B$2-1)*参数!$B$3,0)</f>
        <v>0</v>
      </c>
      <c r="K75">
        <f t="shared" si="4"/>
        <v>9</v>
      </c>
      <c r="L75">
        <f>卡牌总表!N75*卡牌总表!O75*参数!$B$5*IF(AND(卡牌总表!F75="能力",卡牌总表!AL75="能力持续"),参数!$B$2,1)+卡牌总表!Q75*参数!$B$6*IF(AND(卡牌总表!F75="能力",卡牌总表!AL75="能力持续"),参数!$B$2,1)+卡牌总表!S75*参数!$B$7*IF(AND(卡牌总表!F75="能力",卡牌总表!AL75="能力持续"),参数!$B$2,1)+卡牌总表!W75*参数!$B$8+IF(卡牌总表!Y75&lt;0,卡牌总表!Y75*参数!$B$13,卡牌总表!Y75*参数!$B$39)+IF(卡牌总表!AE75&lt;0,卡牌总表!AE75*参数!$B$13,卡牌总表!AE75*参数!$B$12)*参数!$B$2+卡牌总表!AR75*参数!$B$15+卡牌总表!AC75*参数!$B$11+卡牌总表!AF75*参数!$B$40*参数!$B$2+卡牌总表!AG75*参数!$B$44*参数!$B$2+卡牌总表!AH75*参数!$B$6*参数!$B$2+卡牌总表!AI75*参数!$B$39*参数!$B$2+卡牌总表!AJ75*参数!$B$6*参数!$B$2+卡牌总表!AA75*参数!$B$13-卡牌总表!U75*参数!$B$14-卡牌总表!AD75*参数!$B$13+IF(ISNUMBER(卡牌总表!AU75),卡牌总表!AU75*参数!$B$38,0)-卡牌总表!AV75*参数!$B$41-卡牌总表!AW75*参数!$B$14</f>
        <v>9</v>
      </c>
      <c r="M75">
        <f>IF(AND(卡牌总表!F75="能力",卡牌总表!AL75="能力持续"),参数!$B$2*参数!$B$3,0)</f>
        <v>0</v>
      </c>
      <c r="N75">
        <f t="shared" si="5"/>
        <v>9</v>
      </c>
      <c r="O75">
        <f>IFERROR(MAX(IF(K75 &gt; 参数!$B$17,参数!$B$17+SQRT(K75-参数!$B$17)*参数!$B$18,K75)-MAX(G75,0)*参数!$B$10,0)/MAX(G75,0.4),0)</f>
        <v>6</v>
      </c>
      <c r="P75">
        <f>IFERROR(MAX(IF(N75 &gt; 参数!$B$17,参数!$B$17+SQRT(N75-参数!$B$17)*参数!$B$18,N75)-MAX(H75,0)*参数!$B$10,0)/MAX(H75,0.4),0)</f>
        <v>6</v>
      </c>
      <c r="Q75">
        <f>卡牌总表!AO75</f>
        <v>0</v>
      </c>
    </row>
    <row r="76" spans="1:17" x14ac:dyDescent="0.3">
      <c r="A76">
        <f t="shared" si="3"/>
        <v>75</v>
      </c>
      <c r="B76" t="str">
        <f>卡牌总表!B76</f>
        <v>ironclad_tank</v>
      </c>
      <c r="C76" t="str">
        <f>卡牌总表!D76</f>
        <v>肉盾</v>
      </c>
      <c r="D76" t="str">
        <f>卡牌总表!F76</f>
        <v>能力</v>
      </c>
      <c r="E76" t="str">
        <f>卡牌总表!AL76</f>
        <v>能力持续</v>
      </c>
      <c r="F76" t="str">
        <f>卡牌总表!AN76</f>
        <v>能力</v>
      </c>
      <c r="G76">
        <f>卡牌总表!AP76</f>
        <v>1</v>
      </c>
      <c r="H76">
        <f>IF(ISNUMBER(卡牌总表!H76),IF(AND(卡牌总表!H76=0,卡牌总表!V76=0,卡牌总表!AK76="none"),0.4,IF(卡牌总表!AK76="exhaust",MAX(卡牌总表!H76-卡牌总表!V76,0.4),IF(卡牌总表!AK76="ethereal",MAX(卡牌总表!H76-卡牌总表!V76,0.4),MAX(卡牌总表!H76-卡牌总表!V76,0.4)))),IF(OR(卡牌总表!H76="X",卡牌总表!H76="∞"),0.4,0.4))</f>
        <v>1</v>
      </c>
      <c r="I76">
        <f>卡牌总表!M76*卡牌总表!O76*参数!$B$5*IF(AND(卡牌总表!F76="能力",卡牌总表!AL76="能力持续"),参数!$B$2,1)+卡牌总表!P76*参数!$B$6*IF(AND(卡牌总表!F76="能力",卡牌总表!AL76="能力持续"),参数!$B$2,1)+卡牌总表!R76*参数!$B$7*IF(AND(卡牌总表!F76="能力",卡牌总表!AL76="能力持续"),参数!$B$2,1)+卡牌总表!V76*参数!$B$8+IF(卡牌总表!X76&lt;0,卡牌总表!X76*参数!$B$13,卡牌总表!X76*参数!$B$39)+IF(卡牌总表!AE76&lt;0,卡牌总表!AE76*参数!$B$13,卡牌总表!AE76*参数!$B$12)*参数!$B$2+卡牌总表!AQ76*参数!$B$15+卡牌总表!AB76*参数!$B$11+卡牌总表!AF76*参数!$B$40*参数!$B$2+卡牌总表!AG76*参数!$B$44*参数!$B$2+卡牌总表!AH76*参数!$B$6*参数!$B$2+卡牌总表!AI76*参数!$B$39*参数!$B$2+卡牌总表!AJ76*参数!$B$6*参数!$B$2+卡牌总表!Z76*参数!$B$13-卡牌总表!T76*参数!$B$14-卡牌总表!AD76*参数!$B$13+IF(ISNUMBER(卡牌总表!AU76),卡牌总表!AU76*参数!$B$38,0)-卡牌总表!AV76*参数!$B$41-卡牌总表!AW76*参数!$B$14</f>
        <v>24</v>
      </c>
      <c r="J76">
        <f>IF(AND(卡牌总表!F76="能力",卡牌总表!AL76="能力持续"),(参数!$B$2-1)*参数!$B$3,0)</f>
        <v>3.5999999999999996</v>
      </c>
      <c r="K76">
        <f t="shared" si="4"/>
        <v>27.6</v>
      </c>
      <c r="L76">
        <f>卡牌总表!N76*卡牌总表!O76*参数!$B$5*IF(AND(卡牌总表!F76="能力",卡牌总表!AL76="能力持续"),参数!$B$2,1)+卡牌总表!Q76*参数!$B$6*IF(AND(卡牌总表!F76="能力",卡牌总表!AL76="能力持续"),参数!$B$2,1)+卡牌总表!S76*参数!$B$7*IF(AND(卡牌总表!F76="能力",卡牌总表!AL76="能力持续"),参数!$B$2,1)+卡牌总表!W76*参数!$B$8+IF(卡牌总表!Y76&lt;0,卡牌总表!Y76*参数!$B$13,卡牌总表!Y76*参数!$B$39)+IF(卡牌总表!AE76&lt;0,卡牌总表!AE76*参数!$B$13,卡牌总表!AE76*参数!$B$12)*参数!$B$2+卡牌总表!AR76*参数!$B$15+卡牌总表!AC76*参数!$B$11+卡牌总表!AF76*参数!$B$40*参数!$B$2+卡牌总表!AG76*参数!$B$44*参数!$B$2+卡牌总表!AH76*参数!$B$6*参数!$B$2+卡牌总表!AI76*参数!$B$39*参数!$B$2+卡牌总表!AJ76*参数!$B$6*参数!$B$2+卡牌总表!AA76*参数!$B$13-卡牌总表!U76*参数!$B$14-卡牌总表!AD76*参数!$B$13+IF(ISNUMBER(卡牌总表!AU76),卡牌总表!AU76*参数!$B$38,0)-卡牌总表!AV76*参数!$B$41-卡牌总表!AW76*参数!$B$14</f>
        <v>0</v>
      </c>
      <c r="M76">
        <f>IF(AND(卡牌总表!F76="能力",卡牌总表!AL76="能力持续"),参数!$B$2*参数!$B$3,0)</f>
        <v>4.8</v>
      </c>
      <c r="N76">
        <f t="shared" si="5"/>
        <v>4.8</v>
      </c>
      <c r="O76">
        <f>IFERROR(MAX(IF(K76 &gt; 参数!$B$17,参数!$B$17+SQRT(K76-参数!$B$17)*参数!$B$18,K76)-MAX(G76,0)*参数!$B$10,0)/MAX(G76,0.4),0)</f>
        <v>13.292853089020909</v>
      </c>
      <c r="P76">
        <f>IFERROR(MAX(IF(N76 &gt; 参数!$B$17,参数!$B$17+SQRT(N76-参数!$B$17)*参数!$B$18,N76)-MAX(H76,0)*参数!$B$10,0)/MAX(H76,0.4),0)</f>
        <v>1.7999999999999998</v>
      </c>
      <c r="Q76">
        <f>卡牌总表!AO76</f>
        <v>0</v>
      </c>
    </row>
    <row r="77" spans="1:17" x14ac:dyDescent="0.3">
      <c r="A77">
        <f t="shared" si="3"/>
        <v>76</v>
      </c>
      <c r="B77" t="str">
        <f>卡牌总表!B77</f>
        <v>ironclad_taunt</v>
      </c>
      <c r="C77" t="str">
        <f>卡牌总表!D77</f>
        <v>挑衅</v>
      </c>
      <c r="D77" t="str">
        <f>卡牌总表!F77</f>
        <v>技能</v>
      </c>
      <c r="E77">
        <f>卡牌总表!AL77</f>
        <v>0</v>
      </c>
      <c r="F77">
        <f>卡牌总表!AN77</f>
        <v>0</v>
      </c>
      <c r="G77">
        <f>卡牌总表!AP77</f>
        <v>1</v>
      </c>
      <c r="H77">
        <f>IF(ISNUMBER(卡牌总表!H77),IF(AND(卡牌总表!H77=0,卡牌总表!V77=0,卡牌总表!AK77="none"),0.4,IF(卡牌总表!AK77="exhaust",MAX(卡牌总表!H77-卡牌总表!V77,0.4),IF(卡牌总表!AK77="ethereal",MAX(卡牌总表!H77-卡牌总表!V77,0.4),MAX(卡牌总表!H77-卡牌总表!V77,0.4)))),IF(OR(卡牌总表!H77="X",卡牌总表!H77="∞"),0.4,0.4))</f>
        <v>1</v>
      </c>
      <c r="I77">
        <f>卡牌总表!M77*卡牌总表!O77*参数!$B$5*IF(AND(卡牌总表!F77="能力",卡牌总表!AL77="能力持续"),参数!$B$2,1)+卡牌总表!P77*参数!$B$6*IF(AND(卡牌总表!F77="能力",卡牌总表!AL77="能力持续"),参数!$B$2,1)+卡牌总表!R77*参数!$B$7*IF(AND(卡牌总表!F77="能力",卡牌总表!AL77="能力持续"),参数!$B$2,1)+卡牌总表!V77*参数!$B$8+IF(卡牌总表!X77&lt;0,卡牌总表!X77*参数!$B$13,卡牌总表!X77*参数!$B$39)+IF(卡牌总表!AE77&lt;0,卡牌总表!AE77*参数!$B$13,卡牌总表!AE77*参数!$B$12)*参数!$B$2+卡牌总表!AQ77*参数!$B$15+卡牌总表!AB77*参数!$B$11+卡牌总表!AF77*参数!$B$40*参数!$B$2+卡牌总表!AG77*参数!$B$44*参数!$B$2+卡牌总表!AH77*参数!$B$6*参数!$B$2+卡牌总表!AI77*参数!$B$39*参数!$B$2+卡牌总表!AJ77*参数!$B$6*参数!$B$2+卡牌总表!Z77*参数!$B$13-卡牌总表!T77*参数!$B$14-卡牌总表!AD77*参数!$B$13+IF(ISNUMBER(卡牌总表!AU77),卡牌总表!AU77*参数!$B$38,0)-卡牌总表!AV77*参数!$B$41-卡牌总表!AW77*参数!$B$14</f>
        <v>9.0000000000000018</v>
      </c>
      <c r="J77">
        <f>IF(AND(卡牌总表!F77="能力",卡牌总表!AL77="能力持续"),(参数!$B$2-1)*参数!$B$3,0)</f>
        <v>0</v>
      </c>
      <c r="K77">
        <f t="shared" si="4"/>
        <v>9.0000000000000018</v>
      </c>
      <c r="L77">
        <f>卡牌总表!N77*卡牌总表!O77*参数!$B$5*IF(AND(卡牌总表!F77="能力",卡牌总表!AL77="能力持续"),参数!$B$2,1)+卡牌总表!Q77*参数!$B$6*IF(AND(卡牌总表!F77="能力",卡牌总表!AL77="能力持续"),参数!$B$2,1)+卡牌总表!S77*参数!$B$7*IF(AND(卡牌总表!F77="能力",卡牌总表!AL77="能力持续"),参数!$B$2,1)+卡牌总表!W77*参数!$B$8+IF(卡牌总表!Y77&lt;0,卡牌总表!Y77*参数!$B$13,卡牌总表!Y77*参数!$B$39)+IF(卡牌总表!AE77&lt;0,卡牌总表!AE77*参数!$B$13,卡牌总表!AE77*参数!$B$12)*参数!$B$2+卡牌总表!AR77*参数!$B$15+卡牌总表!AC77*参数!$B$11+卡牌总表!AF77*参数!$B$40*参数!$B$2+卡牌总表!AG77*参数!$B$44*参数!$B$2+卡牌总表!AH77*参数!$B$6*参数!$B$2+卡牌总表!AI77*参数!$B$39*参数!$B$2+卡牌总表!AJ77*参数!$B$6*参数!$B$2+卡牌总表!AA77*参数!$B$13-卡牌总表!U77*参数!$B$14-卡牌总表!AD77*参数!$B$13+IF(ISNUMBER(卡牌总表!AU77),卡牌总表!AU77*参数!$B$38,0)-卡牌总表!AV77*参数!$B$41-卡牌总表!AW77*参数!$B$14</f>
        <v>11.4</v>
      </c>
      <c r="M77">
        <f>IF(AND(卡牌总表!F77="能力",卡牌总表!AL77="能力持续"),参数!$B$2*参数!$B$3,0)</f>
        <v>0</v>
      </c>
      <c r="N77">
        <f t="shared" si="5"/>
        <v>11.4</v>
      </c>
      <c r="O77">
        <f>IFERROR(MAX(IF(K77 &gt; 参数!$B$17,参数!$B$17+SQRT(K77-参数!$B$17)*参数!$B$18,K77)-MAX(G77,0)*参数!$B$10,0)/MAX(G77,0.4),0)</f>
        <v>6.0000000000000018</v>
      </c>
      <c r="P77">
        <f>IFERROR(MAX(IF(N77 &gt; 参数!$B$17,参数!$B$17+SQRT(N77-参数!$B$17)*参数!$B$18,N77)-MAX(H77,0)*参数!$B$10,0)/MAX(H77,0.4),0)</f>
        <v>8.7748239349298842</v>
      </c>
      <c r="Q77">
        <f>卡牌总表!AO77</f>
        <v>0</v>
      </c>
    </row>
    <row r="78" spans="1:17" x14ac:dyDescent="0.3">
      <c r="A78">
        <f t="shared" si="3"/>
        <v>77</v>
      </c>
      <c r="B78" t="str">
        <f>卡牌总表!B78</f>
        <v>ironclad_tear_asunder</v>
      </c>
      <c r="C78" t="str">
        <f>卡牌总表!D78</f>
        <v>扯碎</v>
      </c>
      <c r="D78" t="str">
        <f>卡牌总表!F78</f>
        <v>攻击</v>
      </c>
      <c r="E78">
        <f>卡牌总表!AL78</f>
        <v>0</v>
      </c>
      <c r="F78">
        <f>卡牌总表!AN78</f>
        <v>0</v>
      </c>
      <c r="G78">
        <f>卡牌总表!AP78</f>
        <v>2</v>
      </c>
      <c r="H78">
        <f>IF(ISNUMBER(卡牌总表!H78),IF(AND(卡牌总表!H78=0,卡牌总表!V78=0,卡牌总表!AK78="none"),0.4,IF(卡牌总表!AK78="exhaust",MAX(卡牌总表!H78-卡牌总表!V78,0.4),IF(卡牌总表!AK78="ethereal",MAX(卡牌总表!H78-卡牌总表!V78,0.4),MAX(卡牌总表!H78-卡牌总表!V78,0.4)))),IF(OR(卡牌总表!H78="X",卡牌总表!H78="∞"),0.4,0.4))</f>
        <v>2</v>
      </c>
      <c r="I78">
        <f>卡牌总表!M78*卡牌总表!O78*参数!$B$5*IF(AND(卡牌总表!F78="能力",卡牌总表!AL78="能力持续"),参数!$B$2,1)+卡牌总表!P78*参数!$B$6*IF(AND(卡牌总表!F78="能力",卡牌总表!AL78="能力持续"),参数!$B$2,1)+卡牌总表!R78*参数!$B$7*IF(AND(卡牌总表!F78="能力",卡牌总表!AL78="能力持续"),参数!$B$2,1)+卡牌总表!V78*参数!$B$8+IF(卡牌总表!X78&lt;0,卡牌总表!X78*参数!$B$13,卡牌总表!X78*参数!$B$39)+IF(卡牌总表!AE78&lt;0,卡牌总表!AE78*参数!$B$13,卡牌总表!AE78*参数!$B$12)*参数!$B$2+卡牌总表!AQ78*参数!$B$15+卡牌总表!AB78*参数!$B$11+卡牌总表!AF78*参数!$B$40*参数!$B$2+卡牌总表!AG78*参数!$B$44*参数!$B$2+卡牌总表!AH78*参数!$B$6*参数!$B$2+卡牌总表!AI78*参数!$B$39*参数!$B$2+卡牌总表!AJ78*参数!$B$6*参数!$B$2+卡牌总表!Z78*参数!$B$13-卡牌总表!T78*参数!$B$14-卡牌总表!AD78*参数!$B$13+IF(ISNUMBER(卡牌总表!AU78),卡牌总表!AU78*参数!$B$38,0)-卡牌总表!AV78*参数!$B$41-卡牌总表!AW78*参数!$B$14</f>
        <v>15</v>
      </c>
      <c r="J78">
        <f>IF(AND(卡牌总表!F78="能力",卡牌总表!AL78="能力持续"),(参数!$B$2-1)*参数!$B$3,0)</f>
        <v>0</v>
      </c>
      <c r="K78">
        <f t="shared" si="4"/>
        <v>15</v>
      </c>
      <c r="L78">
        <f>卡牌总表!N78*卡牌总表!O78*参数!$B$5*IF(AND(卡牌总表!F78="能力",卡牌总表!AL78="能力持续"),参数!$B$2,1)+卡牌总表!Q78*参数!$B$6*IF(AND(卡牌总表!F78="能力",卡牌总表!AL78="能力持续"),参数!$B$2,1)+卡牌总表!S78*参数!$B$7*IF(AND(卡牌总表!F78="能力",卡牌总表!AL78="能力持续"),参数!$B$2,1)+卡牌总表!W78*参数!$B$8+IF(卡牌总表!Y78&lt;0,卡牌总表!Y78*参数!$B$13,卡牌总表!Y78*参数!$B$39)+IF(卡牌总表!AE78&lt;0,卡牌总表!AE78*参数!$B$13,卡牌总表!AE78*参数!$B$12)*参数!$B$2+卡牌总表!AR78*参数!$B$15+卡牌总表!AC78*参数!$B$11+卡牌总表!AF78*参数!$B$40*参数!$B$2+卡牌总表!AG78*参数!$B$44*参数!$B$2+卡牌总表!AH78*参数!$B$6*参数!$B$2+卡牌总表!AI78*参数!$B$39*参数!$B$2+卡牌总表!AJ78*参数!$B$6*参数!$B$2+卡牌总表!AA78*参数!$B$13-卡牌总表!U78*参数!$B$14-卡牌总表!AD78*参数!$B$13+IF(ISNUMBER(卡牌总表!AU78),卡牌总表!AU78*参数!$B$38,0)-卡牌总表!AV78*参数!$B$41-卡牌总表!AW78*参数!$B$14</f>
        <v>21</v>
      </c>
      <c r="M78">
        <f>IF(AND(卡牌总表!F78="能力",卡牌总表!AL78="能力持续"),参数!$B$2*参数!$B$3,0)</f>
        <v>0</v>
      </c>
      <c r="N78">
        <f t="shared" si="5"/>
        <v>21</v>
      </c>
      <c r="O78">
        <f>IFERROR(MAX(IF(K78 &gt; 参数!$B$17,参数!$B$17+SQRT(K78-参数!$B$17)*参数!$B$18,K78)-MAX(G78,0)*参数!$B$10,0)/MAX(G78,0.4),0)</f>
        <v>3.6770509831248424</v>
      </c>
      <c r="P78">
        <f>IFERROR(MAX(IF(N78 &gt; 参数!$B$17,参数!$B$17+SQRT(N78-参数!$B$17)*参数!$B$18,N78)-MAX(H78,0)*参数!$B$10,0)/MAX(H78,0.4),0)</f>
        <v>4.4874685927665503</v>
      </c>
      <c r="Q78">
        <f>卡牌总表!AO78</f>
        <v>0</v>
      </c>
    </row>
    <row r="79" spans="1:17" x14ac:dyDescent="0.3">
      <c r="A79">
        <f t="shared" si="3"/>
        <v>78</v>
      </c>
      <c r="B79" t="str">
        <f>卡牌总表!B79</f>
        <v>ironclad_thrash</v>
      </c>
      <c r="C79" t="str">
        <f>卡牌总表!D79</f>
        <v>痛殴</v>
      </c>
      <c r="D79" t="str">
        <f>卡牌总表!F79</f>
        <v>攻击</v>
      </c>
      <c r="E79">
        <f>卡牌总表!AL79</f>
        <v>0</v>
      </c>
      <c r="F79">
        <f>卡牌总表!AN79</f>
        <v>0</v>
      </c>
      <c r="G79">
        <f>卡牌总表!AP79</f>
        <v>1</v>
      </c>
      <c r="H79">
        <f>IF(ISNUMBER(卡牌总表!H79),IF(AND(卡牌总表!H79=0,卡牌总表!V79=0,卡牌总表!AK79="none"),0.4,IF(卡牌总表!AK79="exhaust",MAX(卡牌总表!H79-卡牌总表!V79,0.4),IF(卡牌总表!AK79="ethereal",MAX(卡牌总表!H79-卡牌总表!V79,0.4),MAX(卡牌总表!H79-卡牌总表!V79,0.4)))),IF(OR(卡牌总表!H79="X",卡牌总表!H79="∞"),0.4,0.4))</f>
        <v>1</v>
      </c>
      <c r="I79">
        <f>卡牌总表!M79*卡牌总表!O79*参数!$B$5*IF(AND(卡牌总表!F79="能力",卡牌总表!AL79="能力持续"),参数!$B$2,1)+卡牌总表!P79*参数!$B$6*IF(AND(卡牌总表!F79="能力",卡牌总表!AL79="能力持续"),参数!$B$2,1)+卡牌总表!R79*参数!$B$7*IF(AND(卡牌总表!F79="能力",卡牌总表!AL79="能力持续"),参数!$B$2,1)+卡牌总表!V79*参数!$B$8+IF(卡牌总表!X79&lt;0,卡牌总表!X79*参数!$B$13,卡牌总表!X79*参数!$B$39)+IF(卡牌总表!AE79&lt;0,卡牌总表!AE79*参数!$B$13,卡牌总表!AE79*参数!$B$12)*参数!$B$2+卡牌总表!AQ79*参数!$B$15+卡牌总表!AB79*参数!$B$11+卡牌总表!AF79*参数!$B$40*参数!$B$2+卡牌总表!AG79*参数!$B$44*参数!$B$2+卡牌总表!AH79*参数!$B$6*参数!$B$2+卡牌总表!AI79*参数!$B$39*参数!$B$2+卡牌总表!AJ79*参数!$B$6*参数!$B$2+卡牌总表!Z79*参数!$B$13-卡牌总表!T79*参数!$B$14-卡牌总表!AD79*参数!$B$13+IF(ISNUMBER(卡牌总表!AU79),卡牌总表!AU79*参数!$B$38,0)-卡牌总表!AV79*参数!$B$41-卡牌总表!AW79*参数!$B$14</f>
        <v>8</v>
      </c>
      <c r="J79">
        <f>IF(AND(卡牌总表!F79="能力",卡牌总表!AL79="能力持续"),(参数!$B$2-1)*参数!$B$3,0)</f>
        <v>0</v>
      </c>
      <c r="K79">
        <f t="shared" si="4"/>
        <v>8</v>
      </c>
      <c r="L79">
        <f>卡牌总表!N79*卡牌总表!O79*参数!$B$5*IF(AND(卡牌总表!F79="能力",卡牌总表!AL79="能力持续"),参数!$B$2,1)+卡牌总表!Q79*参数!$B$6*IF(AND(卡牌总表!F79="能力",卡牌总表!AL79="能力持续"),参数!$B$2,1)+卡牌总表!S79*参数!$B$7*IF(AND(卡牌总表!F79="能力",卡牌总表!AL79="能力持续"),参数!$B$2,1)+卡牌总表!W79*参数!$B$8+IF(卡牌总表!Y79&lt;0,卡牌总表!Y79*参数!$B$13,卡牌总表!Y79*参数!$B$39)+IF(卡牌总表!AE79&lt;0,卡牌总表!AE79*参数!$B$13,卡牌总表!AE79*参数!$B$12)*参数!$B$2+卡牌总表!AR79*参数!$B$15+卡牌总表!AC79*参数!$B$11+卡牌总表!AF79*参数!$B$40*参数!$B$2+卡牌总表!AG79*参数!$B$44*参数!$B$2+卡牌总表!AH79*参数!$B$6*参数!$B$2+卡牌总表!AI79*参数!$B$39*参数!$B$2+卡牌总表!AJ79*参数!$B$6*参数!$B$2+卡牌总表!AA79*参数!$B$13-卡牌总表!U79*参数!$B$14-卡牌总表!AD79*参数!$B$13+IF(ISNUMBER(卡牌总表!AU79),卡牌总表!AU79*参数!$B$38,0)-卡牌总表!AV79*参数!$B$41-卡牌总表!AW79*参数!$B$14</f>
        <v>12</v>
      </c>
      <c r="M79">
        <f>IF(AND(卡牌总表!F79="能力",卡牌总表!AL79="能力持续"),参数!$B$2*参数!$B$3,0)</f>
        <v>0</v>
      </c>
      <c r="N79">
        <f t="shared" si="5"/>
        <v>12</v>
      </c>
      <c r="O79">
        <f>IFERROR(MAX(IF(K79 &gt; 参数!$B$17,参数!$B$17+SQRT(K79-参数!$B$17)*参数!$B$18,K79)-MAX(G79,0)*参数!$B$10,0)/MAX(G79,0.4),0)</f>
        <v>5</v>
      </c>
      <c r="P79">
        <f>IFERROR(MAX(IF(N79 &gt; 参数!$B$17,参数!$B$17+SQRT(N79-参数!$B$17)*参数!$B$18,N79)-MAX(H79,0)*参数!$B$10,0)/MAX(H79,0.4),0)</f>
        <v>9.1213203435596419</v>
      </c>
      <c r="Q79" t="str">
        <f>卡牌总表!AO79</f>
        <v>含消耗其他牌效果</v>
      </c>
    </row>
    <row r="80" spans="1:17" x14ac:dyDescent="0.3">
      <c r="A80">
        <f t="shared" si="3"/>
        <v>79</v>
      </c>
      <c r="B80" t="str">
        <f>卡牌总表!B80</f>
        <v>ironclad_thunderclap</v>
      </c>
      <c r="C80" t="str">
        <f>卡牌总表!D80</f>
        <v>闪电霹雳</v>
      </c>
      <c r="D80" t="str">
        <f>卡牌总表!F80</f>
        <v>攻击</v>
      </c>
      <c r="E80">
        <f>卡牌总表!AL80</f>
        <v>0</v>
      </c>
      <c r="F80" t="str">
        <f>卡牌总表!AN80</f>
        <v>群体攻击</v>
      </c>
      <c r="G80">
        <f>卡牌总表!AP80</f>
        <v>1</v>
      </c>
      <c r="H80">
        <f>IF(ISNUMBER(卡牌总表!H80),IF(AND(卡牌总表!H80=0,卡牌总表!V80=0,卡牌总表!AK80="none"),0.4,IF(卡牌总表!AK80="exhaust",MAX(卡牌总表!H80-卡牌总表!V80,0.4),IF(卡牌总表!AK80="ethereal",MAX(卡牌总表!H80-卡牌总表!V80,0.4),MAX(卡牌总表!H80-卡牌总表!V80,0.4)))),IF(OR(卡牌总表!H80="X",卡牌总表!H80="∞"),0.4,0.4))</f>
        <v>1</v>
      </c>
      <c r="I80">
        <f>卡牌总表!M80*卡牌总表!O80*参数!$B$5*IF(AND(卡牌总表!F80="能力",卡牌总表!AL80="能力持续"),参数!$B$2,1)+卡牌总表!P80*参数!$B$6*IF(AND(卡牌总表!F80="能力",卡牌总表!AL80="能力持续"),参数!$B$2,1)+卡牌总表!R80*参数!$B$7*IF(AND(卡牌总表!F80="能力",卡牌总表!AL80="能力持续"),参数!$B$2,1)+卡牌总表!V80*参数!$B$8+IF(卡牌总表!X80&lt;0,卡牌总表!X80*参数!$B$13,卡牌总表!X80*参数!$B$39)+IF(卡牌总表!AE80&lt;0,卡牌总表!AE80*参数!$B$13,卡牌总表!AE80*参数!$B$12)*参数!$B$2+卡牌总表!AQ80*参数!$B$15+卡牌总表!AB80*参数!$B$11+卡牌总表!AF80*参数!$B$40*参数!$B$2+卡牌总表!AG80*参数!$B$44*参数!$B$2+卡牌总表!AH80*参数!$B$6*参数!$B$2+卡牌总表!AI80*参数!$B$39*参数!$B$2+卡牌总表!AJ80*参数!$B$6*参数!$B$2+卡牌总表!Z80*参数!$B$13-卡牌总表!T80*参数!$B$14-卡牌总表!AD80*参数!$B$13+IF(ISNUMBER(卡牌总表!AU80),卡牌总表!AU80*参数!$B$38,0)-卡牌总表!AV80*参数!$B$41-卡牌总表!AW80*参数!$B$14</f>
        <v>5.3</v>
      </c>
      <c r="J80">
        <f>IF(AND(卡牌总表!F80="能力",卡牌总表!AL80="能力持续"),(参数!$B$2-1)*参数!$B$3,0)</f>
        <v>0</v>
      </c>
      <c r="K80">
        <f t="shared" si="4"/>
        <v>5.3</v>
      </c>
      <c r="L80">
        <f>卡牌总表!N80*卡牌总表!O80*参数!$B$5*IF(AND(卡牌总表!F80="能力",卡牌总表!AL80="能力持续"),参数!$B$2,1)+卡牌总表!Q80*参数!$B$6*IF(AND(卡牌总表!F80="能力",卡牌总表!AL80="能力持续"),参数!$B$2,1)+卡牌总表!S80*参数!$B$7*IF(AND(卡牌总表!F80="能力",卡牌总表!AL80="能力持续"),参数!$B$2,1)+卡牌总表!W80*参数!$B$8+IF(卡牌总表!Y80&lt;0,卡牌总表!Y80*参数!$B$13,卡牌总表!Y80*参数!$B$39)+IF(卡牌总表!AE80&lt;0,卡牌总表!AE80*参数!$B$13,卡牌总表!AE80*参数!$B$12)*参数!$B$2+卡牌总表!AR80*参数!$B$15+卡牌总表!AC80*参数!$B$11+卡牌总表!AF80*参数!$B$40*参数!$B$2+卡牌总表!AG80*参数!$B$44*参数!$B$2+卡牌总表!AH80*参数!$B$6*参数!$B$2+卡牌总表!AI80*参数!$B$39*参数!$B$2+卡牌总表!AJ80*参数!$B$6*参数!$B$2+卡牌总表!AA80*参数!$B$13-卡牌总表!U80*参数!$B$14-卡牌总表!AD80*参数!$B$13+IF(ISNUMBER(卡牌总表!AU80),卡牌总表!AU80*参数!$B$38,0)-卡牌总表!AV80*参数!$B$41-卡牌总表!AW80*参数!$B$14</f>
        <v>5.3</v>
      </c>
      <c r="M80">
        <f>IF(AND(卡牌总表!F80="能力",卡牌总表!AL80="能力持续"),参数!$B$2*参数!$B$3,0)</f>
        <v>0</v>
      </c>
      <c r="N80">
        <f t="shared" si="5"/>
        <v>5.3</v>
      </c>
      <c r="O80">
        <f>IFERROR(MAX(IF(K80 &gt; 参数!$B$17,参数!$B$17+SQRT(K80-参数!$B$17)*参数!$B$18,K80)-MAX(G80,0)*参数!$B$10,0)/MAX(G80,0.4),0)</f>
        <v>2.2999999999999998</v>
      </c>
      <c r="P80">
        <f>IFERROR(MAX(IF(N80 &gt; 参数!$B$17,参数!$B$17+SQRT(N80-参数!$B$17)*参数!$B$18,N80)-MAX(H80,0)*参数!$B$10,0)/MAX(H80,0.4),0)</f>
        <v>2.2999999999999998</v>
      </c>
      <c r="Q80">
        <f>卡牌总表!AO80</f>
        <v>0</v>
      </c>
    </row>
    <row r="81" spans="1:17" x14ac:dyDescent="0.3">
      <c r="A81">
        <f t="shared" si="3"/>
        <v>80</v>
      </c>
      <c r="B81" t="str">
        <f>卡牌总表!B81</f>
        <v>ironclad_tremble</v>
      </c>
      <c r="C81" t="str">
        <f>卡牌总表!D81</f>
        <v>战栗</v>
      </c>
      <c r="D81" t="str">
        <f>卡牌总表!F81</f>
        <v>技能</v>
      </c>
      <c r="E81">
        <f>卡牌总表!AL81</f>
        <v>0</v>
      </c>
      <c r="F81">
        <f>卡牌总表!AN81</f>
        <v>0</v>
      </c>
      <c r="G81">
        <f>卡牌总表!AP81</f>
        <v>1</v>
      </c>
      <c r="H81">
        <f>IF(ISNUMBER(卡牌总表!H81),IF(AND(卡牌总表!H81=0,卡牌总表!V81=0,卡牌总表!AK81="none"),0.4,IF(卡牌总表!AK81="exhaust",MAX(卡牌总表!H81-卡牌总表!V81,0.4),IF(卡牌总表!AK81="ethereal",MAX(卡牌总表!H81-卡牌总表!V81,0.4),MAX(卡牌总表!H81-卡牌总表!V81,0.4)))),IF(OR(卡牌总表!H81="X",卡牌总表!H81="∞"),0.4,0.4))</f>
        <v>1</v>
      </c>
      <c r="I81">
        <f>卡牌总表!M81*卡牌总表!O81*参数!$B$5*IF(AND(卡牌总表!F81="能力",卡牌总表!AL81="能力持续"),参数!$B$2,1)+卡牌总表!P81*参数!$B$6*IF(AND(卡牌总表!F81="能力",卡牌总表!AL81="能力持续"),参数!$B$2,1)+卡牌总表!R81*参数!$B$7*IF(AND(卡牌总表!F81="能力",卡牌总表!AL81="能力持续"),参数!$B$2,1)+卡牌总表!V81*参数!$B$8+IF(卡牌总表!X81&lt;0,卡牌总表!X81*参数!$B$13,卡牌总表!X81*参数!$B$39)+IF(卡牌总表!AE81&lt;0,卡牌总表!AE81*参数!$B$13,卡牌总表!AE81*参数!$B$12)*参数!$B$2+卡牌总表!AQ81*参数!$B$15+卡牌总表!AB81*参数!$B$11+卡牌总表!AF81*参数!$B$40*参数!$B$2+卡牌总表!AG81*参数!$B$44*参数!$B$2+卡牌总表!AH81*参数!$B$6*参数!$B$2+卡牌总表!AI81*参数!$B$39*参数!$B$2+卡牌总表!AJ81*参数!$B$6*参数!$B$2+卡牌总表!Z81*参数!$B$13-卡牌总表!T81*参数!$B$14-卡牌总表!AD81*参数!$B$13+IF(ISNUMBER(卡牌总表!AU81),卡牌总表!AU81*参数!$B$38,0)-卡牌总表!AV81*参数!$B$41-卡牌总表!AW81*参数!$B$14</f>
        <v>3.9000000000000004</v>
      </c>
      <c r="J81">
        <f>IF(AND(卡牌总表!F81="能力",卡牌总表!AL81="能力持续"),(参数!$B$2-1)*参数!$B$3,0)</f>
        <v>0</v>
      </c>
      <c r="K81">
        <f t="shared" si="4"/>
        <v>3.9000000000000004</v>
      </c>
      <c r="L81">
        <f>卡牌总表!N81*卡牌总表!O81*参数!$B$5*IF(AND(卡牌总表!F81="能力",卡牌总表!AL81="能力持续"),参数!$B$2,1)+卡牌总表!Q81*参数!$B$6*IF(AND(卡牌总表!F81="能力",卡牌总表!AL81="能力持续"),参数!$B$2,1)+卡牌总表!S81*参数!$B$7*IF(AND(卡牌总表!F81="能力",卡牌总表!AL81="能力持续"),参数!$B$2,1)+卡牌总表!W81*参数!$B$8+IF(卡牌总表!Y81&lt;0,卡牌总表!Y81*参数!$B$13,卡牌总表!Y81*参数!$B$39)+IF(卡牌总表!AE81&lt;0,卡牌总表!AE81*参数!$B$13,卡牌总表!AE81*参数!$B$12)*参数!$B$2+卡牌总表!AR81*参数!$B$15+卡牌总表!AC81*参数!$B$11+卡牌总表!AF81*参数!$B$40*参数!$B$2+卡牌总表!AG81*参数!$B$44*参数!$B$2+卡牌总表!AH81*参数!$B$6*参数!$B$2+卡牌总表!AI81*参数!$B$39*参数!$B$2+卡牌总表!AJ81*参数!$B$6*参数!$B$2+卡牌总表!AA81*参数!$B$13-卡牌总表!U81*参数!$B$14-卡牌总表!AD81*参数!$B$13+IF(ISNUMBER(卡牌总表!AU81),卡牌总表!AU81*参数!$B$38,0)-卡牌总表!AV81*参数!$B$41-卡牌总表!AW81*参数!$B$14</f>
        <v>5.2</v>
      </c>
      <c r="M81">
        <f>IF(AND(卡牌总表!F81="能力",卡牌总表!AL81="能力持续"),参数!$B$2*参数!$B$3,0)</f>
        <v>0</v>
      </c>
      <c r="N81">
        <f t="shared" si="5"/>
        <v>5.2</v>
      </c>
      <c r="O81">
        <f>IFERROR(MAX(IF(K81 &gt; 参数!$B$17,参数!$B$17+SQRT(K81-参数!$B$17)*参数!$B$18,K81)-MAX(G81,0)*参数!$B$10,0)/MAX(G81,0.4),0)</f>
        <v>0.90000000000000036</v>
      </c>
      <c r="P81">
        <f>IFERROR(MAX(IF(N81 &gt; 参数!$B$17,参数!$B$17+SQRT(N81-参数!$B$17)*参数!$B$18,N81)-MAX(H81,0)*参数!$B$10,0)/MAX(H81,0.4),0)</f>
        <v>2.2000000000000002</v>
      </c>
      <c r="Q81">
        <f>卡牌总表!AO81</f>
        <v>0</v>
      </c>
    </row>
    <row r="82" spans="1:17" x14ac:dyDescent="0.3">
      <c r="A82">
        <f t="shared" si="3"/>
        <v>81</v>
      </c>
      <c r="B82" t="str">
        <f>卡牌总表!B82</f>
        <v>silent_abrasive</v>
      </c>
      <c r="C82" t="str">
        <f>卡牌总表!D82</f>
        <v>磨蚀</v>
      </c>
      <c r="D82" t="str">
        <f>卡牌总表!F82</f>
        <v>能力</v>
      </c>
      <c r="E82">
        <f>卡牌总表!AL82</f>
        <v>0</v>
      </c>
      <c r="F82" t="str">
        <f>卡牌总表!AN82</f>
        <v>能力</v>
      </c>
      <c r="G82">
        <f>卡牌总表!AP82</f>
        <v>3</v>
      </c>
      <c r="H82">
        <f>IF(ISNUMBER(卡牌总表!H82),IF(AND(卡牌总表!H82=0,卡牌总表!V82=0,卡牌总表!AK82="none"),0.4,IF(卡牌总表!AK82="exhaust",MAX(卡牌总表!H82-卡牌总表!V82,0.4),IF(卡牌总表!AK82="ethereal",MAX(卡牌总表!H82-卡牌总表!V82,0.4),MAX(卡牌总表!H82-卡牌总表!V82,0.4)))),IF(OR(卡牌总表!H82="X",卡牌总表!H82="∞"),0.4,0.4))</f>
        <v>3</v>
      </c>
      <c r="I82">
        <f>卡牌总表!M82*卡牌总表!O82*参数!$B$5*IF(AND(卡牌总表!F82="能力",卡牌总表!AL82="能力持续"),参数!$B$2,1)+卡牌总表!P82*参数!$B$6*IF(AND(卡牌总表!F82="能力",卡牌总表!AL82="能力持续"),参数!$B$2,1)+卡牌总表!R82*参数!$B$7*IF(AND(卡牌总表!F82="能力",卡牌总表!AL82="能力持续"),参数!$B$2,1)+卡牌总表!V82*参数!$B$8+IF(卡牌总表!X82&lt;0,卡牌总表!X82*参数!$B$13,卡牌总表!X82*参数!$B$39)+IF(卡牌总表!AE82&lt;0,卡牌总表!AE82*参数!$B$13,卡牌总表!AE82*参数!$B$12)*参数!$B$2+卡牌总表!AQ82*参数!$B$15+卡牌总表!AB82*参数!$B$11+卡牌总表!AF82*参数!$B$40*参数!$B$2+卡牌总表!AG82*参数!$B$44*参数!$B$2+卡牌总表!AH82*参数!$B$6*参数!$B$2+卡牌总表!AI82*参数!$B$39*参数!$B$2+卡牌总表!AJ82*参数!$B$6*参数!$B$2+卡牌总表!Z82*参数!$B$13-卡牌总表!T82*参数!$B$14-卡牌总表!AD82*参数!$B$13+IF(ISNUMBER(卡牌总表!AU82),卡牌总表!AU82*参数!$B$38,0)-卡牌总表!AV82*参数!$B$41-卡牌总表!AW82*参数!$B$14</f>
        <v>4.4000000000000004</v>
      </c>
      <c r="J82">
        <f>IF(AND(卡牌总表!F82="能力",卡牌总表!AL82="能力持续"),(参数!$B$2-1)*参数!$B$3,0)</f>
        <v>0</v>
      </c>
      <c r="K82">
        <f t="shared" si="4"/>
        <v>4.4000000000000004</v>
      </c>
      <c r="L82">
        <f>卡牌总表!N82*卡牌总表!O82*参数!$B$5*IF(AND(卡牌总表!F82="能力",卡牌总表!AL82="能力持续"),参数!$B$2,1)+卡牌总表!Q82*参数!$B$6*IF(AND(卡牌总表!F82="能力",卡牌总表!AL82="能力持续"),参数!$B$2,1)+卡牌总表!S82*参数!$B$7*IF(AND(卡牌总表!F82="能力",卡牌总表!AL82="能力持续"),参数!$B$2,1)+卡牌总表!W82*参数!$B$8+IF(卡牌总表!Y82&lt;0,卡牌总表!Y82*参数!$B$13,卡牌总表!Y82*参数!$B$39)+IF(卡牌总表!AE82&lt;0,卡牌总表!AE82*参数!$B$13,卡牌总表!AE82*参数!$B$12)*参数!$B$2+卡牌总表!AR82*参数!$B$15+卡牌总表!AC82*参数!$B$11+卡牌总表!AF82*参数!$B$40*参数!$B$2+卡牌总表!AG82*参数!$B$44*参数!$B$2+卡牌总表!AH82*参数!$B$6*参数!$B$2+卡牌总表!AI82*参数!$B$39*参数!$B$2+卡牌总表!AJ82*参数!$B$6*参数!$B$2+卡牌总表!AA82*参数!$B$13-卡牌总表!U82*参数!$B$14-卡牌总表!AD82*参数!$B$13+IF(ISNUMBER(卡牌总表!AU82),卡牌总表!AU82*参数!$B$38,0)-卡牌总表!AV82*参数!$B$41-卡牌总表!AW82*参数!$B$14</f>
        <v>4.4000000000000004</v>
      </c>
      <c r="M82">
        <f>IF(AND(卡牌总表!F82="能力",卡牌总表!AL82="能力持续"),参数!$B$2*参数!$B$3,0)</f>
        <v>0</v>
      </c>
      <c r="N82">
        <f t="shared" si="5"/>
        <v>4.4000000000000004</v>
      </c>
      <c r="O82">
        <f>IFERROR(MAX(IF(K82 &gt; 参数!$B$17,参数!$B$17+SQRT(K82-参数!$B$17)*参数!$B$18,K82)-MAX(G82,0)*参数!$B$10,0)/MAX(G82,0.4),0)</f>
        <v>0</v>
      </c>
      <c r="P82">
        <f>IFERROR(MAX(IF(N82 &gt; 参数!$B$17,参数!$B$17+SQRT(N82-参数!$B$17)*参数!$B$18,N82)-MAX(H82,0)*参数!$B$10,0)/MAX(H82,0.4),0)</f>
        <v>0</v>
      </c>
      <c r="Q82">
        <f>卡牌总表!AO82</f>
        <v>0</v>
      </c>
    </row>
    <row r="83" spans="1:17" x14ac:dyDescent="0.3">
      <c r="A83">
        <f t="shared" si="3"/>
        <v>82</v>
      </c>
      <c r="B83" t="str">
        <f>卡牌总表!B83</f>
        <v>silent_accelerant</v>
      </c>
      <c r="C83" t="str">
        <f>卡牌总表!D83</f>
        <v>触媒</v>
      </c>
      <c r="D83" t="str">
        <f>卡牌总表!F83</f>
        <v>能力</v>
      </c>
      <c r="E83" t="str">
        <f>卡牌总表!AL83</f>
        <v>能力持续</v>
      </c>
      <c r="F83" t="str">
        <f>卡牌总表!AN83</f>
        <v>能力</v>
      </c>
      <c r="G83">
        <f>卡牌总表!AP83</f>
        <v>1</v>
      </c>
      <c r="H83">
        <f>IF(ISNUMBER(卡牌总表!H83),IF(AND(卡牌总表!H83=0,卡牌总表!V83=0,卡牌总表!AK83="none"),0.4,IF(卡牌总表!AK83="exhaust",MAX(卡牌总表!H83-卡牌总表!V83,0.4),IF(卡牌总表!AK83="ethereal",MAX(卡牌总表!H83-卡牌总表!V83,0.4),MAX(卡牌总表!H83-卡牌总表!V83,0.4)))),IF(OR(卡牌总表!H83="X",卡牌总表!H83="∞"),0.4,0.4))</f>
        <v>1</v>
      </c>
      <c r="I83">
        <f>卡牌总表!M83*卡牌总表!O83*参数!$B$5*IF(AND(卡牌总表!F83="能力",卡牌总表!AL83="能力持续"),参数!$B$2,1)+卡牌总表!P83*参数!$B$6*IF(AND(卡牌总表!F83="能力",卡牌总表!AL83="能力持续"),参数!$B$2,1)+卡牌总表!R83*参数!$B$7*IF(AND(卡牌总表!F83="能力",卡牌总表!AL83="能力持续"),参数!$B$2,1)+卡牌总表!V83*参数!$B$8+IF(卡牌总表!X83&lt;0,卡牌总表!X83*参数!$B$13,卡牌总表!X83*参数!$B$39)+IF(卡牌总表!AE83&lt;0,卡牌总表!AE83*参数!$B$13,卡牌总表!AE83*参数!$B$12)*参数!$B$2+卡牌总表!AQ83*参数!$B$15+卡牌总表!AB83*参数!$B$11+卡牌总表!AF83*参数!$B$40*参数!$B$2+卡牌总表!AG83*参数!$B$44*参数!$B$2+卡牌总表!AH83*参数!$B$6*参数!$B$2+卡牌总表!AI83*参数!$B$39*参数!$B$2+卡牌总表!AJ83*参数!$B$6*参数!$B$2+卡牌总表!Z83*参数!$B$13-卡牌总表!T83*参数!$B$14-卡牌总表!AD83*参数!$B$13+IF(ISNUMBER(卡牌总表!AU83),卡牌总表!AU83*参数!$B$38,0)-卡牌总表!AV83*参数!$B$41-卡牌总表!AW83*参数!$B$14</f>
        <v>15</v>
      </c>
      <c r="J83">
        <f>IF(AND(卡牌总表!F83="能力",卡牌总表!AL83="能力持续"),(参数!$B$2-1)*参数!$B$3,0)</f>
        <v>3.5999999999999996</v>
      </c>
      <c r="K83">
        <f t="shared" si="4"/>
        <v>18.600000000000001</v>
      </c>
      <c r="L83">
        <f>卡牌总表!N83*卡牌总表!O83*参数!$B$5*IF(AND(卡牌总表!F83="能力",卡牌总表!AL83="能力持续"),参数!$B$2,1)+卡牌总表!Q83*参数!$B$6*IF(AND(卡牌总表!F83="能力",卡牌总表!AL83="能力持续"),参数!$B$2,1)+卡牌总表!S83*参数!$B$7*IF(AND(卡牌总表!F83="能力",卡牌总表!AL83="能力持续"),参数!$B$2,1)+卡牌总表!W83*参数!$B$8+IF(卡牌总表!Y83&lt;0,卡牌总表!Y83*参数!$B$13,卡牌总表!Y83*参数!$B$39)+IF(卡牌总表!AE83&lt;0,卡牌总表!AE83*参数!$B$13,卡牌总表!AE83*参数!$B$12)*参数!$B$2+卡牌总表!AR83*参数!$B$15+卡牌总表!AC83*参数!$B$11+卡牌总表!AF83*参数!$B$40*参数!$B$2+卡牌总表!AG83*参数!$B$44*参数!$B$2+卡牌总表!AH83*参数!$B$6*参数!$B$2+卡牌总表!AI83*参数!$B$39*参数!$B$2+卡牌总表!AJ83*参数!$B$6*参数!$B$2+卡牌总表!AA83*参数!$B$13-卡牌总表!U83*参数!$B$14-卡牌总表!AD83*参数!$B$13+IF(ISNUMBER(卡牌总表!AU83),卡牌总表!AU83*参数!$B$38,0)-卡牌总表!AV83*参数!$B$41-卡牌总表!AW83*参数!$B$14</f>
        <v>0</v>
      </c>
      <c r="M83">
        <f>IF(AND(卡牌总表!F83="能力",卡牌总表!AL83="能力持续"),参数!$B$2*参数!$B$3,0)</f>
        <v>4.8</v>
      </c>
      <c r="N83">
        <f t="shared" si="5"/>
        <v>4.8</v>
      </c>
      <c r="O83">
        <f>IFERROR(MAX(IF(K83 &gt; 参数!$B$17,参数!$B$17+SQRT(K83-参数!$B$17)*参数!$B$18,K83)-MAX(G83,0)*参数!$B$10,0)/MAX(G83,0.4),0)</f>
        <v>11.398863489584555</v>
      </c>
      <c r="P83">
        <f>IFERROR(MAX(IF(N83 &gt; 参数!$B$17,参数!$B$17+SQRT(N83-参数!$B$17)*参数!$B$18,N83)-MAX(H83,0)*参数!$B$10,0)/MAX(H83,0.4),0)</f>
        <v>1.7999999999999998</v>
      </c>
      <c r="Q83">
        <f>卡牌总表!AO83</f>
        <v>0</v>
      </c>
    </row>
    <row r="84" spans="1:17" x14ac:dyDescent="0.3">
      <c r="A84">
        <f t="shared" si="3"/>
        <v>83</v>
      </c>
      <c r="B84" t="str">
        <f>卡牌总表!B84</f>
        <v>silent_accuracy</v>
      </c>
      <c r="C84" t="str">
        <f>卡牌总表!D84</f>
        <v>精准</v>
      </c>
      <c r="D84" t="str">
        <f>卡牌总表!F84</f>
        <v>能力</v>
      </c>
      <c r="E84" t="str">
        <f>卡牌总表!AL84</f>
        <v>能力持续</v>
      </c>
      <c r="F84" t="str">
        <f>卡牌总表!AN84</f>
        <v>能力</v>
      </c>
      <c r="G84">
        <f>卡牌总表!AP84</f>
        <v>1</v>
      </c>
      <c r="H84">
        <f>IF(ISNUMBER(卡牌总表!H84),IF(AND(卡牌总表!H84=0,卡牌总表!V84=0,卡牌总表!AK84="none"),0.4,IF(卡牌总表!AK84="exhaust",MAX(卡牌总表!H84-卡牌总表!V84,0.4),IF(卡牌总表!AK84="ethereal",MAX(卡牌总表!H84-卡牌总表!V84,0.4),MAX(卡牌总表!H84-卡牌总表!V84,0.4)))),IF(OR(卡牌总表!H84="X",卡牌总表!H84="∞"),0.4,0.4))</f>
        <v>1</v>
      </c>
      <c r="I84">
        <f>卡牌总表!M84*卡牌总表!O84*参数!$B$5*IF(AND(卡牌总表!F84="能力",卡牌总表!AL84="能力持续"),参数!$B$2,1)+卡牌总表!P84*参数!$B$6*IF(AND(卡牌总表!F84="能力",卡牌总表!AL84="能力持续"),参数!$B$2,1)+卡牌总表!R84*参数!$B$7*IF(AND(卡牌总表!F84="能力",卡牌总表!AL84="能力持续"),参数!$B$2,1)+卡牌总表!V84*参数!$B$8+IF(卡牌总表!X84&lt;0,卡牌总表!X84*参数!$B$13,卡牌总表!X84*参数!$B$39)+IF(卡牌总表!AE84&lt;0,卡牌总表!AE84*参数!$B$13,卡牌总表!AE84*参数!$B$12)*参数!$B$2+卡牌总表!AQ84*参数!$B$15+卡牌总表!AB84*参数!$B$11+卡牌总表!AF84*参数!$B$40*参数!$B$2+卡牌总表!AG84*参数!$B$44*参数!$B$2+卡牌总表!AH84*参数!$B$6*参数!$B$2+卡牌总表!AI84*参数!$B$39*参数!$B$2+卡牌总表!AJ84*参数!$B$6*参数!$B$2+卡牌总表!Z84*参数!$B$13-卡牌总表!T84*参数!$B$14-卡牌总表!AD84*参数!$B$13+IF(ISNUMBER(卡牌总表!AU84),卡牌总表!AU84*参数!$B$38,0)-卡牌总表!AV84*参数!$B$41-卡牌总表!AW84*参数!$B$14</f>
        <v>36</v>
      </c>
      <c r="J84">
        <f>IF(AND(卡牌总表!F84="能力",卡牌总表!AL84="能力持续"),(参数!$B$2-1)*参数!$B$3,0)</f>
        <v>3.5999999999999996</v>
      </c>
      <c r="K84">
        <f t="shared" si="4"/>
        <v>39.6</v>
      </c>
      <c r="L84">
        <f>卡牌总表!N84*卡牌总表!O84*参数!$B$5*IF(AND(卡牌总表!F84="能力",卡牌总表!AL84="能力持续"),参数!$B$2,1)+卡牌总表!Q84*参数!$B$6*IF(AND(卡牌总表!F84="能力",卡牌总表!AL84="能力持续"),参数!$B$2,1)+卡牌总表!S84*参数!$B$7*IF(AND(卡牌总表!F84="能力",卡牌总表!AL84="能力持续"),参数!$B$2,1)+卡牌总表!W84*参数!$B$8+IF(卡牌总表!Y84&lt;0,卡牌总表!Y84*参数!$B$13,卡牌总表!Y84*参数!$B$39)+IF(卡牌总表!AE84&lt;0,卡牌总表!AE84*参数!$B$13,卡牌总表!AE84*参数!$B$12)*参数!$B$2+卡牌总表!AR84*参数!$B$15+卡牌总表!AC84*参数!$B$11+卡牌总表!AF84*参数!$B$40*参数!$B$2+卡牌总表!AG84*参数!$B$44*参数!$B$2+卡牌总表!AH84*参数!$B$6*参数!$B$2+卡牌总表!AI84*参数!$B$39*参数!$B$2+卡牌总表!AJ84*参数!$B$6*参数!$B$2+卡牌总表!AA84*参数!$B$13-卡牌总表!U84*参数!$B$14-卡牌总表!AD84*参数!$B$13+IF(ISNUMBER(卡牌总表!AU84),卡牌总表!AU84*参数!$B$38,0)-卡牌总表!AV84*参数!$B$41-卡牌总表!AW84*参数!$B$14</f>
        <v>0</v>
      </c>
      <c r="M84">
        <f>IF(AND(卡牌总表!F84="能力",卡牌总表!AL84="能力持续"),参数!$B$2*参数!$B$3,0)</f>
        <v>4.8</v>
      </c>
      <c r="N84">
        <f t="shared" si="5"/>
        <v>4.8</v>
      </c>
      <c r="O84">
        <f>IFERROR(MAX(IF(K84 &gt; 参数!$B$17,参数!$B$17+SQRT(K84-参数!$B$17)*参数!$B$18,K84)-MAX(G84,0)*参数!$B$10,0)/MAX(G84,0.4),0)</f>
        <v>15.160882305241266</v>
      </c>
      <c r="P84">
        <f>IFERROR(MAX(IF(N84 &gt; 参数!$B$17,参数!$B$17+SQRT(N84-参数!$B$17)*参数!$B$18,N84)-MAX(H84,0)*参数!$B$10,0)/MAX(H84,0.4),0)</f>
        <v>1.7999999999999998</v>
      </c>
      <c r="Q84">
        <f>卡牌总表!AO84</f>
        <v>0</v>
      </c>
    </row>
    <row r="85" spans="1:17" x14ac:dyDescent="0.3">
      <c r="A85">
        <f t="shared" si="3"/>
        <v>84</v>
      </c>
      <c r="B85" t="str">
        <f>卡牌总表!B85</f>
        <v>silent_acrobatics</v>
      </c>
      <c r="C85" t="str">
        <f>卡牌总表!D85</f>
        <v>杂技</v>
      </c>
      <c r="D85" t="str">
        <f>卡牌总表!F85</f>
        <v>技能</v>
      </c>
      <c r="E85">
        <f>卡牌总表!AL85</f>
        <v>0</v>
      </c>
      <c r="F85">
        <f>卡牌总表!AN85</f>
        <v>0</v>
      </c>
      <c r="G85">
        <f>卡牌总表!AP85</f>
        <v>1</v>
      </c>
      <c r="H85">
        <f>IF(ISNUMBER(卡牌总表!H85),IF(AND(卡牌总表!H85=0,卡牌总表!V85=0,卡牌总表!AK85="none"),0.4,IF(卡牌总表!AK85="exhaust",MAX(卡牌总表!H85-卡牌总表!V85,0.4),IF(卡牌总表!AK85="ethereal",MAX(卡牌总表!H85-卡牌总表!V85,0.4),MAX(卡牌总表!H85-卡牌总表!V85,0.4)))),IF(OR(卡牌总表!H85="X",卡牌总表!H85="∞"),0.4,0.4))</f>
        <v>1</v>
      </c>
      <c r="I85">
        <f>卡牌总表!M85*卡牌总表!O85*参数!$B$5*IF(AND(卡牌总表!F85="能力",卡牌总表!AL85="能力持续"),参数!$B$2,1)+卡牌总表!P85*参数!$B$6*IF(AND(卡牌总表!F85="能力",卡牌总表!AL85="能力持续"),参数!$B$2,1)+卡牌总表!R85*参数!$B$7*IF(AND(卡牌总表!F85="能力",卡牌总表!AL85="能力持续"),参数!$B$2,1)+卡牌总表!V85*参数!$B$8+IF(卡牌总表!X85&lt;0,卡牌总表!X85*参数!$B$13,卡牌总表!X85*参数!$B$39)+IF(卡牌总表!AE85&lt;0,卡牌总表!AE85*参数!$B$13,卡牌总表!AE85*参数!$B$12)*参数!$B$2+卡牌总表!AQ85*参数!$B$15+卡牌总表!AB85*参数!$B$11+卡牌总表!AF85*参数!$B$40*参数!$B$2+卡牌总表!AG85*参数!$B$44*参数!$B$2+卡牌总表!AH85*参数!$B$6*参数!$B$2+卡牌总表!AI85*参数!$B$39*参数!$B$2+卡牌总表!AJ85*参数!$B$6*参数!$B$2+卡牌总表!Z85*参数!$B$13-卡牌总表!T85*参数!$B$14-卡牌总表!AD85*参数!$B$13+IF(ISNUMBER(卡牌总表!AU85),卡牌总表!AU85*参数!$B$38,0)-卡牌总表!AV85*参数!$B$41-卡牌总表!AW85*参数!$B$14</f>
        <v>1.7999999999999996</v>
      </c>
      <c r="J85">
        <f>IF(AND(卡牌总表!F85="能力",卡牌总表!AL85="能力持续"),(参数!$B$2-1)*参数!$B$3,0)</f>
        <v>0</v>
      </c>
      <c r="K85">
        <f t="shared" si="4"/>
        <v>1.7999999999999996</v>
      </c>
      <c r="L85">
        <f>卡牌总表!N85*卡牌总表!O85*参数!$B$5*IF(AND(卡牌总表!F85="能力",卡牌总表!AL85="能力持续"),参数!$B$2,1)+卡牌总表!Q85*参数!$B$6*IF(AND(卡牌总表!F85="能力",卡牌总表!AL85="能力持续"),参数!$B$2,1)+卡牌总表!S85*参数!$B$7*IF(AND(卡牌总表!F85="能力",卡牌总表!AL85="能力持续"),参数!$B$2,1)+卡牌总表!W85*参数!$B$8+IF(卡牌总表!Y85&lt;0,卡牌总表!Y85*参数!$B$13,卡牌总表!Y85*参数!$B$39)+IF(卡牌总表!AE85&lt;0,卡牌总表!AE85*参数!$B$13,卡牌总表!AE85*参数!$B$12)*参数!$B$2+卡牌总表!AR85*参数!$B$15+卡牌总表!AC85*参数!$B$11+卡牌总表!AF85*参数!$B$40*参数!$B$2+卡牌总表!AG85*参数!$B$44*参数!$B$2+卡牌总表!AH85*参数!$B$6*参数!$B$2+卡牌总表!AI85*参数!$B$39*参数!$B$2+卡牌总表!AJ85*参数!$B$6*参数!$B$2+卡牌总表!AA85*参数!$B$13-卡牌总表!U85*参数!$B$14-卡牌总表!AD85*参数!$B$13+IF(ISNUMBER(卡牌总表!AU85),卡牌总表!AU85*参数!$B$38,0)-卡牌总表!AV85*参数!$B$41-卡牌总表!AW85*参数!$B$14</f>
        <v>2.5</v>
      </c>
      <c r="M85">
        <f>IF(AND(卡牌总表!F85="能力",卡牌总表!AL85="能力持续"),参数!$B$2*参数!$B$3,0)</f>
        <v>0</v>
      </c>
      <c r="N85">
        <f t="shared" si="5"/>
        <v>2.5</v>
      </c>
      <c r="O85">
        <f>IFERROR(MAX(IF(K85 &gt; 参数!$B$17,参数!$B$17+SQRT(K85-参数!$B$17)*参数!$B$18,K85)-MAX(G85,0)*参数!$B$10,0)/MAX(G85,0.4),0)</f>
        <v>0</v>
      </c>
      <c r="P85">
        <f>IFERROR(MAX(IF(N85 &gt; 参数!$B$17,参数!$B$17+SQRT(N85-参数!$B$17)*参数!$B$18,N85)-MAX(H85,0)*参数!$B$10,0)/MAX(H85,0.4),0)</f>
        <v>0</v>
      </c>
      <c r="Q85">
        <f>卡牌总表!AO85</f>
        <v>0</v>
      </c>
    </row>
    <row r="86" spans="1:17" x14ac:dyDescent="0.3">
      <c r="A86">
        <f t="shared" si="3"/>
        <v>85</v>
      </c>
      <c r="B86" t="str">
        <f>卡牌总表!B86</f>
        <v>silent_adrenaline</v>
      </c>
      <c r="C86" t="str">
        <f>卡牌总表!D86</f>
        <v>肾上腺素</v>
      </c>
      <c r="D86" t="str">
        <f>卡牌总表!F86</f>
        <v>技能</v>
      </c>
      <c r="E86">
        <f>卡牌总表!AL86</f>
        <v>0</v>
      </c>
      <c r="F86">
        <f>卡牌总表!AN86</f>
        <v>0</v>
      </c>
      <c r="G86">
        <f>卡牌总表!AP86</f>
        <v>0.4</v>
      </c>
      <c r="H86">
        <f>IF(ISNUMBER(卡牌总表!H86),IF(AND(卡牌总表!H86=0,卡牌总表!V86=0,卡牌总表!AK86="none"),0.4,IF(卡牌总表!AK86="exhaust",MAX(卡牌总表!H86-卡牌总表!V86,0.4),IF(卡牌总表!AK86="ethereal",MAX(卡牌总表!H86-卡牌总表!V86,0.4),MAX(卡牌总表!H86-卡牌总表!V86,0.4)))),IF(OR(卡牌总表!H86="X",卡牌总表!H86="∞"),0.4,0.4))</f>
        <v>0.4</v>
      </c>
      <c r="I86">
        <f>卡牌总表!M86*卡牌总表!O86*参数!$B$5*IF(AND(卡牌总表!F86="能力",卡牌总表!AL86="能力持续"),参数!$B$2,1)+卡牌总表!P86*参数!$B$6*IF(AND(卡牌总表!F86="能力",卡牌总表!AL86="能力持续"),参数!$B$2,1)+卡牌总表!R86*参数!$B$7*IF(AND(卡牌总表!F86="能力",卡牌总表!AL86="能力持续"),参数!$B$2,1)+卡牌总表!V86*参数!$B$8+IF(卡牌总表!X86&lt;0,卡牌总表!X86*参数!$B$13,卡牌总表!X86*参数!$B$39)+IF(卡牌总表!AE86&lt;0,卡牌总表!AE86*参数!$B$13,卡牌总表!AE86*参数!$B$12)*参数!$B$2+卡牌总表!AQ86*参数!$B$15+卡牌总表!AB86*参数!$B$11+卡牌总表!AF86*参数!$B$40*参数!$B$2+卡牌总表!AG86*参数!$B$44*参数!$B$2+卡牌总表!AH86*参数!$B$6*参数!$B$2+卡牌总表!AI86*参数!$B$39*参数!$B$2+卡牌总表!AJ86*参数!$B$6*参数!$B$2+卡牌总表!Z86*参数!$B$13-卡牌总表!T86*参数!$B$14-卡牌总表!AD86*参数!$B$13+IF(ISNUMBER(卡牌总表!AU86),卡牌总表!AU86*参数!$B$38,0)-卡牌总表!AV86*参数!$B$41-卡牌总表!AW86*参数!$B$14</f>
        <v>4.4000000000000004</v>
      </c>
      <c r="J86">
        <f>IF(AND(卡牌总表!F86="能力",卡牌总表!AL86="能力持续"),(参数!$B$2-1)*参数!$B$3,0)</f>
        <v>0</v>
      </c>
      <c r="K86">
        <f t="shared" si="4"/>
        <v>4.4000000000000004</v>
      </c>
      <c r="L86">
        <f>卡牌总表!N86*卡牌总表!O86*参数!$B$5*IF(AND(卡牌总表!F86="能力",卡牌总表!AL86="能力持续"),参数!$B$2,1)+卡牌总表!Q86*参数!$B$6*IF(AND(卡牌总表!F86="能力",卡牌总表!AL86="能力持续"),参数!$B$2,1)+卡牌总表!S86*参数!$B$7*IF(AND(卡牌总表!F86="能力",卡牌总表!AL86="能力持续"),参数!$B$2,1)+卡牌总表!W86*参数!$B$8+IF(卡牌总表!Y86&lt;0,卡牌总表!Y86*参数!$B$13,卡牌总表!Y86*参数!$B$39)+IF(卡牌总表!AE86&lt;0,卡牌总表!AE86*参数!$B$13,卡牌总表!AE86*参数!$B$12)*参数!$B$2+卡牌总表!AR86*参数!$B$15+卡牌总表!AC86*参数!$B$11+卡牌总表!AF86*参数!$B$40*参数!$B$2+卡牌总表!AG86*参数!$B$44*参数!$B$2+卡牌总表!AH86*参数!$B$6*参数!$B$2+卡牌总表!AI86*参数!$B$39*参数!$B$2+卡牌总表!AJ86*参数!$B$6*参数!$B$2+卡牌总表!AA86*参数!$B$13-卡牌总表!U86*参数!$B$14-卡牌总表!AD86*参数!$B$13+IF(ISNUMBER(卡牌总表!AU86),卡牌总表!AU86*参数!$B$38,0)-卡牌总表!AV86*参数!$B$41-卡牌总表!AW86*参数!$B$14</f>
        <v>7.4</v>
      </c>
      <c r="M86">
        <f>IF(AND(卡牌总表!F86="能力",卡牌总表!AL86="能力持续"),参数!$B$2*参数!$B$3,0)</f>
        <v>0</v>
      </c>
      <c r="N86">
        <f t="shared" si="5"/>
        <v>7.4</v>
      </c>
      <c r="O86">
        <f>IFERROR(MAX(IF(K86 &gt; 参数!$B$17,参数!$B$17+SQRT(K86-参数!$B$17)*参数!$B$18,K86)-MAX(G86,0)*参数!$B$10,0)/MAX(G86,0.4),0)</f>
        <v>8</v>
      </c>
      <c r="P86">
        <f>IFERROR(MAX(IF(N86 &gt; 参数!$B$17,参数!$B$17+SQRT(N86-参数!$B$17)*参数!$B$18,N86)-MAX(H86,0)*参数!$B$10,0)/MAX(H86,0.4),0)</f>
        <v>15.5</v>
      </c>
      <c r="Q86" t="str">
        <f>卡牌总表!AO86</f>
        <v>Gain能量数值需核对</v>
      </c>
    </row>
    <row r="87" spans="1:17" x14ac:dyDescent="0.3">
      <c r="A87">
        <f t="shared" si="3"/>
        <v>86</v>
      </c>
      <c r="B87" t="str">
        <f>卡牌总表!B87</f>
        <v>silent_afterimage</v>
      </c>
      <c r="C87" t="str">
        <f>卡牌总表!D87</f>
        <v>残影</v>
      </c>
      <c r="D87" t="str">
        <f>卡牌总表!F87</f>
        <v>能力</v>
      </c>
      <c r="E87" t="str">
        <f>卡牌总表!AL87</f>
        <v>能力持续</v>
      </c>
      <c r="F87" t="str">
        <f>卡牌总表!AN87</f>
        <v>能力</v>
      </c>
      <c r="G87">
        <f>卡牌总表!AP87</f>
        <v>1</v>
      </c>
      <c r="H87">
        <f>IF(ISNUMBER(卡牌总表!H87),IF(AND(卡牌总表!H87=0,卡牌总表!V87=0,卡牌总表!AK87="none"),0.4,IF(卡牌总表!AK87="exhaust",MAX(卡牌总表!H87-卡牌总表!V87,0.4),IF(卡牌总表!AK87="ethereal",MAX(卡牌总表!H87-卡牌总表!V87,0.4),MAX(卡牌总表!H87-卡牌总表!V87,0.4)))),IF(OR(卡牌总表!H87="X",卡牌总表!H87="∞"),0.4,0.4))</f>
        <v>1</v>
      </c>
      <c r="I87">
        <f>卡牌总表!M87*卡牌总表!O87*参数!$B$5*IF(AND(卡牌总表!F87="能力",卡牌总表!AL87="能力持续"),参数!$B$2,1)+卡牌总表!P87*参数!$B$6*IF(AND(卡牌总表!F87="能力",卡牌总表!AL87="能力持续"),参数!$B$2,1)+卡牌总表!R87*参数!$B$7*IF(AND(卡牌总表!F87="能力",卡牌总表!AL87="能力持续"),参数!$B$2,1)+卡牌总表!V87*参数!$B$8+IF(卡牌总表!X87&lt;0,卡牌总表!X87*参数!$B$13,卡牌总表!X87*参数!$B$39)+IF(卡牌总表!AE87&lt;0,卡牌总表!AE87*参数!$B$13,卡牌总表!AE87*参数!$B$12)*参数!$B$2+卡牌总表!AQ87*参数!$B$15+卡牌总表!AB87*参数!$B$11+卡牌总表!AF87*参数!$B$40*参数!$B$2+卡牌总表!AG87*参数!$B$44*参数!$B$2+卡牌总表!AH87*参数!$B$6*参数!$B$2+卡牌总表!AI87*参数!$B$39*参数!$B$2+卡牌总表!AJ87*参数!$B$6*参数!$B$2+卡牌总表!Z87*参数!$B$13-卡牌总表!T87*参数!$B$14-卡牌总表!AD87*参数!$B$13+IF(ISNUMBER(卡牌总表!AU87),卡牌总表!AU87*参数!$B$38,0)-卡牌总表!AV87*参数!$B$41-卡牌总表!AW87*参数!$B$14</f>
        <v>4.4000000000000004</v>
      </c>
      <c r="J87">
        <f>IF(AND(卡牌总表!F87="能力",卡牌总表!AL87="能力持续"),(参数!$B$2-1)*参数!$B$3,0)</f>
        <v>3.5999999999999996</v>
      </c>
      <c r="K87">
        <f t="shared" si="4"/>
        <v>8</v>
      </c>
      <c r="L87">
        <f>卡牌总表!N87*卡牌总表!O87*参数!$B$5*IF(AND(卡牌总表!F87="能力",卡牌总表!AL87="能力持续"),参数!$B$2,1)+卡牌总表!Q87*参数!$B$6*IF(AND(卡牌总表!F87="能力",卡牌总表!AL87="能力持续"),参数!$B$2,1)+卡牌总表!S87*参数!$B$7*IF(AND(卡牌总表!F87="能力",卡牌总表!AL87="能力持续"),参数!$B$2,1)+卡牌总表!W87*参数!$B$8+IF(卡牌总表!Y87&lt;0,卡牌总表!Y87*参数!$B$13,卡牌总表!Y87*参数!$B$39)+IF(卡牌总表!AE87&lt;0,卡牌总表!AE87*参数!$B$13,卡牌总表!AE87*参数!$B$12)*参数!$B$2+卡牌总表!AR87*参数!$B$15+卡牌总表!AC87*参数!$B$11+卡牌总表!AF87*参数!$B$40*参数!$B$2+卡牌总表!AG87*参数!$B$44*参数!$B$2+卡牌总表!AH87*参数!$B$6*参数!$B$2+卡牌总表!AI87*参数!$B$39*参数!$B$2+卡牌总表!AJ87*参数!$B$6*参数!$B$2+卡牌总表!AA87*参数!$B$13-卡牌总表!U87*参数!$B$14-卡牌总表!AD87*参数!$B$13+IF(ISNUMBER(卡牌总表!AU87),卡牌总表!AU87*参数!$B$38,0)-卡牌总表!AV87*参数!$B$41-卡牌总表!AW87*参数!$B$14</f>
        <v>4.4000000000000004</v>
      </c>
      <c r="M87">
        <f>IF(AND(卡牌总表!F87="能力",卡牌总表!AL87="能力持续"),参数!$B$2*参数!$B$3,0)</f>
        <v>4.8</v>
      </c>
      <c r="N87">
        <f t="shared" si="5"/>
        <v>9.1999999999999993</v>
      </c>
      <c r="O87">
        <f>IFERROR(MAX(IF(K87 &gt; 参数!$B$17,参数!$B$17+SQRT(K87-参数!$B$17)*参数!$B$18,K87)-MAX(G87,0)*参数!$B$10,0)/MAX(G87,0.4),0)</f>
        <v>5</v>
      </c>
      <c r="P87">
        <f>IFERROR(MAX(IF(N87 &gt; 参数!$B$17,参数!$B$17+SQRT(N87-参数!$B$17)*参数!$B$18,N87)-MAX(H87,0)*参数!$B$10,0)/MAX(H87,0.4),0)</f>
        <v>6.1999999999999993</v>
      </c>
      <c r="Q87">
        <f>卡牌总表!AO87</f>
        <v>0</v>
      </c>
    </row>
    <row r="88" spans="1:17" x14ac:dyDescent="0.3">
      <c r="A88">
        <f t="shared" si="3"/>
        <v>87</v>
      </c>
      <c r="B88" t="str">
        <f>卡牌总表!B88</f>
        <v>silent_anticipate</v>
      </c>
      <c r="C88" t="str">
        <f>卡牌总表!D88</f>
        <v>预判</v>
      </c>
      <c r="D88" t="str">
        <f>卡牌总表!F88</f>
        <v>技能</v>
      </c>
      <c r="E88">
        <f>卡牌总表!AL88</f>
        <v>0</v>
      </c>
      <c r="F88" t="str">
        <f>卡牌总表!AN88</f>
        <v>本回合</v>
      </c>
      <c r="G88">
        <f>卡牌总表!AP88</f>
        <v>0.4</v>
      </c>
      <c r="H88">
        <f>IF(ISNUMBER(卡牌总表!H88),IF(AND(卡牌总表!H88=0,卡牌总表!V88=0,卡牌总表!AK88="none"),0.4,IF(卡牌总表!AK88="exhaust",MAX(卡牌总表!H88-卡牌总表!V88,0.4),IF(卡牌总表!AK88="ethereal",MAX(卡牌总表!H88-卡牌总表!V88,0.4),MAX(卡牌总表!H88-卡牌总表!V88,0.4)))),IF(OR(卡牌总表!H88="X",卡牌总表!H88="∞"),0.4,0.4))</f>
        <v>0.4</v>
      </c>
      <c r="I88">
        <f>卡牌总表!M88*卡牌总表!O88*参数!$B$5*IF(AND(卡牌总表!F88="能力",卡牌总表!AL88="能力持续"),参数!$B$2,1)+卡牌总表!P88*参数!$B$6*IF(AND(卡牌总表!F88="能力",卡牌总表!AL88="能力持续"),参数!$B$2,1)+卡牌总表!R88*参数!$B$7*IF(AND(卡牌总表!F88="能力",卡牌总表!AL88="能力持续"),参数!$B$2,1)+卡牌总表!V88*参数!$B$8+IF(卡牌总表!X88&lt;0,卡牌总表!X88*参数!$B$13,卡牌总表!X88*参数!$B$39)+IF(卡牌总表!AE88&lt;0,卡牌总表!AE88*参数!$B$13,卡牌总表!AE88*参数!$B$12)*参数!$B$2+卡牌总表!AQ88*参数!$B$15+卡牌总表!AB88*参数!$B$11+卡牌总表!AF88*参数!$B$40*参数!$B$2+卡牌总表!AG88*参数!$B$44*参数!$B$2+卡牌总表!AH88*参数!$B$6*参数!$B$2+卡牌总表!AI88*参数!$B$39*参数!$B$2+卡牌总表!AJ88*参数!$B$6*参数!$B$2+卡牌总表!Z88*参数!$B$13-卡牌总表!T88*参数!$B$14-卡牌总表!AD88*参数!$B$13+IF(ISNUMBER(卡牌总表!AU88),卡牌总表!AU88*参数!$B$38,0)-卡牌总表!AV88*参数!$B$41-卡牌总表!AW88*参数!$B$14</f>
        <v>8.8000000000000007</v>
      </c>
      <c r="J88">
        <f>IF(AND(卡牌总表!F88="能力",卡牌总表!AL88="能力持续"),(参数!$B$2-1)*参数!$B$3,0)</f>
        <v>0</v>
      </c>
      <c r="K88">
        <f t="shared" si="4"/>
        <v>8.8000000000000007</v>
      </c>
      <c r="L88">
        <f>卡牌总表!N88*卡牌总表!O88*参数!$B$5*IF(AND(卡牌总表!F88="能力",卡牌总表!AL88="能力持续"),参数!$B$2,1)+卡牌总表!Q88*参数!$B$6*IF(AND(卡牌总表!F88="能力",卡牌总表!AL88="能力持续"),参数!$B$2,1)+卡牌总表!S88*参数!$B$7*IF(AND(卡牌总表!F88="能力",卡牌总表!AL88="能力持续"),参数!$B$2,1)+卡牌总表!W88*参数!$B$8+IF(卡牌总表!Y88&lt;0,卡牌总表!Y88*参数!$B$13,卡牌总表!Y88*参数!$B$39)+IF(卡牌总表!AE88&lt;0,卡牌总表!AE88*参数!$B$13,卡牌总表!AE88*参数!$B$12)*参数!$B$2+卡牌总表!AR88*参数!$B$15+卡牌总表!AC88*参数!$B$11+卡牌总表!AF88*参数!$B$40*参数!$B$2+卡牌总表!AG88*参数!$B$44*参数!$B$2+卡牌总表!AH88*参数!$B$6*参数!$B$2+卡牌总表!AI88*参数!$B$39*参数!$B$2+卡牌总表!AJ88*参数!$B$6*参数!$B$2+卡牌总表!AA88*参数!$B$13-卡牌总表!U88*参数!$B$14-卡牌总表!AD88*参数!$B$13+IF(ISNUMBER(卡牌总表!AU88),卡牌总表!AU88*参数!$B$38,0)-卡牌总表!AV88*参数!$B$41-卡牌总表!AW88*参数!$B$14</f>
        <v>8.8000000000000007</v>
      </c>
      <c r="M88">
        <f>IF(AND(卡牌总表!F88="能力",卡牌总表!AL88="能力持续"),参数!$B$2*参数!$B$3,0)</f>
        <v>0</v>
      </c>
      <c r="N88">
        <f t="shared" si="5"/>
        <v>8.8000000000000007</v>
      </c>
      <c r="O88">
        <f>IFERROR(MAX(IF(K88 &gt; 参数!$B$17,参数!$B$17+SQRT(K88-参数!$B$17)*参数!$B$18,K88)-MAX(G88,0)*参数!$B$10,0)/MAX(G88,0.4),0)</f>
        <v>19</v>
      </c>
      <c r="P88">
        <f>IFERROR(MAX(IF(N88 &gt; 参数!$B$17,参数!$B$17+SQRT(N88-参数!$B$17)*参数!$B$18,N88)-MAX(H88,0)*参数!$B$10,0)/MAX(H88,0.4),0)</f>
        <v>19</v>
      </c>
      <c r="Q88">
        <f>卡牌总表!AO88</f>
        <v>0</v>
      </c>
    </row>
    <row r="89" spans="1:17" x14ac:dyDescent="0.3">
      <c r="A89">
        <f t="shared" si="3"/>
        <v>88</v>
      </c>
      <c r="B89" t="str">
        <f>卡牌总表!B89</f>
        <v>silent_assassinate</v>
      </c>
      <c r="C89" t="str">
        <f>卡牌总表!D89</f>
        <v>刺杀</v>
      </c>
      <c r="D89" t="str">
        <f>卡牌总表!F89</f>
        <v>攻击</v>
      </c>
      <c r="E89">
        <f>卡牌总表!AL89</f>
        <v>0</v>
      </c>
      <c r="F89">
        <f>卡牌总表!AN89</f>
        <v>0</v>
      </c>
      <c r="G89">
        <f>卡牌总表!AP89</f>
        <v>0.4</v>
      </c>
      <c r="H89">
        <f>IF(ISNUMBER(卡牌总表!H89),IF(AND(卡牌总表!H89=0,卡牌总表!V89=0,卡牌总表!AK89="none"),0.4,IF(卡牌总表!AK89="exhaust",MAX(卡牌总表!H89-卡牌总表!V89,0.4),IF(卡牌总表!AK89="ethereal",MAX(卡牌总表!H89-卡牌总表!V89,0.4),MAX(卡牌总表!H89-卡牌总表!V89,0.4)))),IF(OR(卡牌总表!H89="X",卡牌总表!H89="∞"),0.4,0.4))</f>
        <v>0.4</v>
      </c>
      <c r="I89">
        <f>卡牌总表!M89*卡牌总表!O89*参数!$B$5*IF(AND(卡牌总表!F89="能力",卡牌总表!AL89="能力持续"),参数!$B$2,1)+卡牌总表!P89*参数!$B$6*IF(AND(卡牌总表!F89="能力",卡牌总表!AL89="能力持续"),参数!$B$2,1)+卡牌总表!R89*参数!$B$7*IF(AND(卡牌总表!F89="能力",卡牌总表!AL89="能力持续"),参数!$B$2,1)+卡牌总表!V89*参数!$B$8+IF(卡牌总表!X89&lt;0,卡牌总表!X89*参数!$B$13,卡牌总表!X89*参数!$B$39)+IF(卡牌总表!AE89&lt;0,卡牌总表!AE89*参数!$B$13,卡牌总表!AE89*参数!$B$12)*参数!$B$2+卡牌总表!AQ89*参数!$B$15+卡牌总表!AB89*参数!$B$11+卡牌总表!AF89*参数!$B$40*参数!$B$2+卡牌总表!AG89*参数!$B$44*参数!$B$2+卡牌总表!AH89*参数!$B$6*参数!$B$2+卡牌总表!AI89*参数!$B$39*参数!$B$2+卡牌总表!AJ89*参数!$B$6*参数!$B$2+卡牌总表!Z89*参数!$B$13-卡牌总表!T89*参数!$B$14-卡牌总表!AD89*参数!$B$13+IF(ISNUMBER(卡牌总表!AU89),卡牌总表!AU89*参数!$B$38,0)-卡牌总表!AV89*参数!$B$41-卡牌总表!AW89*参数!$B$14</f>
        <v>11.3</v>
      </c>
      <c r="J89">
        <f>IF(AND(卡牌总表!F89="能力",卡牌总表!AL89="能力持续"),(参数!$B$2-1)*参数!$B$3,0)</f>
        <v>0</v>
      </c>
      <c r="K89">
        <f t="shared" si="4"/>
        <v>11.3</v>
      </c>
      <c r="L89">
        <f>卡牌总表!N89*卡牌总表!O89*参数!$B$5*IF(AND(卡牌总表!F89="能力",卡牌总表!AL89="能力持续"),参数!$B$2,1)+卡牌总表!Q89*参数!$B$6*IF(AND(卡牌总表!F89="能力",卡牌总表!AL89="能力持续"),参数!$B$2,1)+卡牌总表!S89*参数!$B$7*IF(AND(卡牌总表!F89="能力",卡牌总表!AL89="能力持续"),参数!$B$2,1)+卡牌总表!W89*参数!$B$8+IF(卡牌总表!Y89&lt;0,卡牌总表!Y89*参数!$B$13,卡牌总表!Y89*参数!$B$39)+IF(卡牌总表!AE89&lt;0,卡牌总表!AE89*参数!$B$13,卡牌总表!AE89*参数!$B$12)*参数!$B$2+卡牌总表!AR89*参数!$B$15+卡牌总表!AC89*参数!$B$11+卡牌总表!AF89*参数!$B$40*参数!$B$2+卡牌总表!AG89*参数!$B$44*参数!$B$2+卡牌总表!AH89*参数!$B$6*参数!$B$2+卡牌总表!AI89*参数!$B$39*参数!$B$2+卡牌总表!AJ89*参数!$B$6*参数!$B$2+卡牌总表!AA89*参数!$B$13-卡牌总表!U89*参数!$B$14-卡牌总表!AD89*参数!$B$13+IF(ISNUMBER(卡牌总表!AU89),卡牌总表!AU89*参数!$B$38,0)-卡牌总表!AV89*参数!$B$41-卡牌总表!AW89*参数!$B$14</f>
        <v>14.3</v>
      </c>
      <c r="M89">
        <f>IF(AND(卡牌总表!F89="能力",卡牌总表!AL89="能力持续"),参数!$B$2*参数!$B$3,0)</f>
        <v>0</v>
      </c>
      <c r="N89">
        <f t="shared" si="5"/>
        <v>14.3</v>
      </c>
      <c r="O89">
        <f>IFERROR(MAX(IF(K89 &gt; 参数!$B$17,参数!$B$17+SQRT(K89-参数!$B$17)*参数!$B$18,K89)-MAX(G89,0)*参数!$B$10,0)/MAX(G89,0.4),0)</f>
        <v>26.275657844121767</v>
      </c>
      <c r="P89">
        <f>IFERROR(MAX(IF(N89 &gt; 参数!$B$17,参数!$B$17+SQRT(N89-参数!$B$17)*参数!$B$18,N89)-MAX(H89,0)*参数!$B$10,0)/MAX(H89,0.4),0)</f>
        <v>29.7761655074979</v>
      </c>
      <c r="Q89">
        <f>卡牌总表!AO89</f>
        <v>0</v>
      </c>
    </row>
    <row r="90" spans="1:17" x14ac:dyDescent="0.3">
      <c r="A90">
        <f t="shared" si="3"/>
        <v>89</v>
      </c>
      <c r="B90" t="str">
        <f>卡牌总表!B90</f>
        <v>silent_backflip</v>
      </c>
      <c r="C90" t="str">
        <f>卡牌总表!D90</f>
        <v>后空翻</v>
      </c>
      <c r="D90" t="str">
        <f>卡牌总表!F90</f>
        <v>技能</v>
      </c>
      <c r="E90">
        <f>卡牌总表!AL90</f>
        <v>0</v>
      </c>
      <c r="F90">
        <f>卡牌总表!AN90</f>
        <v>0</v>
      </c>
      <c r="G90">
        <f>卡牌总表!AP90</f>
        <v>1</v>
      </c>
      <c r="H90">
        <f>IF(ISNUMBER(卡牌总表!H90),IF(AND(卡牌总表!H90=0,卡牌总表!V90=0,卡牌总表!AK90="none"),0.4,IF(卡牌总表!AK90="exhaust",MAX(卡牌总表!H90-卡牌总表!V90,0.4),IF(卡牌总表!AK90="ethereal",MAX(卡牌总表!H90-卡牌总表!V90,0.4),MAX(卡牌总表!H90-卡牌总表!V90,0.4)))),IF(OR(卡牌总表!H90="X",卡牌总表!H90="∞"),0.4,0.4))</f>
        <v>1</v>
      </c>
      <c r="I90">
        <f>卡牌总表!M90*卡牌总表!O90*参数!$B$5*IF(AND(卡牌总表!F90="能力",卡牌总表!AL90="能力持续"),参数!$B$2,1)+卡牌总表!P90*参数!$B$6*IF(AND(卡牌总表!F90="能力",卡牌总表!AL90="能力持续"),参数!$B$2,1)+卡牌总表!R90*参数!$B$7*IF(AND(卡牌总表!F90="能力",卡牌总表!AL90="能力持续"),参数!$B$2,1)+卡牌总表!V90*参数!$B$8+IF(卡牌总表!X90&lt;0,卡牌总表!X90*参数!$B$13,卡牌总表!X90*参数!$B$39)+IF(卡牌总表!AE90&lt;0,卡牌总表!AE90*参数!$B$13,卡牌总表!AE90*参数!$B$12)*参数!$B$2+卡牌总表!AQ90*参数!$B$15+卡牌总表!AB90*参数!$B$11+卡牌总表!AF90*参数!$B$40*参数!$B$2+卡牌总表!AG90*参数!$B$44*参数!$B$2+卡牌总表!AH90*参数!$B$6*参数!$B$2+卡牌总表!AI90*参数!$B$39*参数!$B$2+卡牌总表!AJ90*参数!$B$6*参数!$B$2+卡牌总表!Z90*参数!$B$13-卡牌总表!T90*参数!$B$14-卡牌总表!AD90*参数!$B$13+IF(ISNUMBER(卡牌总表!AU90),卡牌总表!AU90*参数!$B$38,0)-卡牌总表!AV90*参数!$B$41-卡牌总表!AW90*参数!$B$14</f>
        <v>6.9</v>
      </c>
      <c r="J90">
        <f>IF(AND(卡牌总表!F90="能力",卡牌总表!AL90="能力持续"),(参数!$B$2-1)*参数!$B$3,0)</f>
        <v>0</v>
      </c>
      <c r="K90">
        <f t="shared" si="4"/>
        <v>6.9</v>
      </c>
      <c r="L90">
        <f>卡牌总表!N90*卡牌总表!O90*参数!$B$5*IF(AND(卡牌总表!F90="能力",卡牌总表!AL90="能力持续"),参数!$B$2,1)+卡牌总表!Q90*参数!$B$6*IF(AND(卡牌总表!F90="能力",卡牌总表!AL90="能力持续"),参数!$B$2,1)+卡牌总表!S90*参数!$B$7*IF(AND(卡牌总表!F90="能力",卡牌总表!AL90="能力持续"),参数!$B$2,1)+卡牌总表!W90*参数!$B$8+IF(卡牌总表!Y90&lt;0,卡牌总表!Y90*参数!$B$13,卡牌总表!Y90*参数!$B$39)+IF(卡牌总表!AE90&lt;0,卡牌总表!AE90*参数!$B$13,卡牌总表!AE90*参数!$B$12)*参数!$B$2+卡牌总表!AR90*参数!$B$15+卡牌总表!AC90*参数!$B$11+卡牌总表!AF90*参数!$B$40*参数!$B$2+卡牌总表!AG90*参数!$B$44*参数!$B$2+卡牌总表!AH90*参数!$B$6*参数!$B$2+卡牌总表!AI90*参数!$B$39*参数!$B$2+卡牌总表!AJ90*参数!$B$6*参数!$B$2+卡牌总表!AA90*参数!$B$13-卡牌总表!U90*参数!$B$14-卡牌总表!AD90*参数!$B$13+IF(ISNUMBER(卡牌总表!AU90),卡牌总表!AU90*参数!$B$38,0)-卡牌总表!AV90*参数!$B$41-卡牌总表!AW90*参数!$B$14</f>
        <v>10.200000000000001</v>
      </c>
      <c r="M90">
        <f>IF(AND(卡牌总表!F90="能力",卡牌总表!AL90="能力持续"),参数!$B$2*参数!$B$3,0)</f>
        <v>0</v>
      </c>
      <c r="N90">
        <f t="shared" si="5"/>
        <v>10.200000000000001</v>
      </c>
      <c r="O90">
        <f>IFERROR(MAX(IF(K90 &gt; 参数!$B$17,参数!$B$17+SQRT(K90-参数!$B$17)*参数!$B$18,K90)-MAX(G90,0)*参数!$B$10,0)/MAX(G90,0.4),0)</f>
        <v>3.9000000000000004</v>
      </c>
      <c r="P90">
        <f>IFERROR(MAX(IF(N90 &gt; 参数!$B$17,参数!$B$17+SQRT(N90-参数!$B$17)*参数!$B$18,N90)-MAX(H90,0)*参数!$B$10,0)/MAX(H90,0.4),0)</f>
        <v>7.6708203932499384</v>
      </c>
      <c r="Q90">
        <f>卡牌总表!AO90</f>
        <v>0</v>
      </c>
    </row>
    <row r="91" spans="1:17" x14ac:dyDescent="0.3">
      <c r="A91">
        <f t="shared" si="3"/>
        <v>90</v>
      </c>
      <c r="B91" t="str">
        <f>卡牌总表!B91</f>
        <v>silent_backstab</v>
      </c>
      <c r="C91" t="str">
        <f>卡牌总表!D91</f>
        <v>背刺</v>
      </c>
      <c r="D91" t="str">
        <f>卡牌总表!F91</f>
        <v>攻击</v>
      </c>
      <c r="E91">
        <f>卡牌总表!AL91</f>
        <v>0</v>
      </c>
      <c r="F91">
        <f>卡牌总表!AN91</f>
        <v>0</v>
      </c>
      <c r="G91">
        <f>卡牌总表!AP91</f>
        <v>0.4</v>
      </c>
      <c r="H91">
        <f>IF(ISNUMBER(卡牌总表!H91),IF(AND(卡牌总表!H91=0,卡牌总表!V91=0,卡牌总表!AK91="none"),0.4,IF(卡牌总表!AK91="exhaust",MAX(卡牌总表!H91-卡牌总表!V91,0.4),IF(卡牌总表!AK91="ethereal",MAX(卡牌总表!H91-卡牌总表!V91,0.4),MAX(卡牌总表!H91-卡牌总表!V91,0.4)))),IF(OR(卡牌总表!H91="X",卡牌总表!H91="∞"),0.4,0.4))</f>
        <v>0.4</v>
      </c>
      <c r="I91">
        <f>卡牌总表!M91*卡牌总表!O91*参数!$B$5*IF(AND(卡牌总表!F91="能力",卡牌总表!AL91="能力持续"),参数!$B$2,1)+卡牌总表!P91*参数!$B$6*IF(AND(卡牌总表!F91="能力",卡牌总表!AL91="能力持续"),参数!$B$2,1)+卡牌总表!R91*参数!$B$7*IF(AND(卡牌总表!F91="能力",卡牌总表!AL91="能力持续"),参数!$B$2,1)+卡牌总表!V91*参数!$B$8+IF(卡牌总表!X91&lt;0,卡牌总表!X91*参数!$B$13,卡牌总表!X91*参数!$B$39)+IF(卡牌总表!AE91&lt;0,卡牌总表!AE91*参数!$B$13,卡牌总表!AE91*参数!$B$12)*参数!$B$2+卡牌总表!AQ91*参数!$B$15+卡牌总表!AB91*参数!$B$11+卡牌总表!AF91*参数!$B$40*参数!$B$2+卡牌总表!AG91*参数!$B$44*参数!$B$2+卡牌总表!AH91*参数!$B$6*参数!$B$2+卡牌总表!AI91*参数!$B$39*参数!$B$2+卡牌总表!AJ91*参数!$B$6*参数!$B$2+卡牌总表!Z91*参数!$B$13-卡牌总表!T91*参数!$B$14-卡牌总表!AD91*参数!$B$13+IF(ISNUMBER(卡牌总表!AU91),卡牌总表!AU91*参数!$B$38,0)-卡牌总表!AV91*参数!$B$41-卡牌总表!AW91*参数!$B$14</f>
        <v>11</v>
      </c>
      <c r="J91">
        <f>IF(AND(卡牌总表!F91="能力",卡牌总表!AL91="能力持续"),(参数!$B$2-1)*参数!$B$3,0)</f>
        <v>0</v>
      </c>
      <c r="K91">
        <f t="shared" si="4"/>
        <v>11</v>
      </c>
      <c r="L91">
        <f>卡牌总表!N91*卡牌总表!O91*参数!$B$5*IF(AND(卡牌总表!F91="能力",卡牌总表!AL91="能力持续"),参数!$B$2,1)+卡牌总表!Q91*参数!$B$6*IF(AND(卡牌总表!F91="能力",卡牌总表!AL91="能力持续"),参数!$B$2,1)+卡牌总表!S91*参数!$B$7*IF(AND(卡牌总表!F91="能力",卡牌总表!AL91="能力持续"),参数!$B$2,1)+卡牌总表!W91*参数!$B$8+IF(卡牌总表!Y91&lt;0,卡牌总表!Y91*参数!$B$13,卡牌总表!Y91*参数!$B$39)+IF(卡牌总表!AE91&lt;0,卡牌总表!AE91*参数!$B$13,卡牌总表!AE91*参数!$B$12)*参数!$B$2+卡牌总表!AR91*参数!$B$15+卡牌总表!AC91*参数!$B$11+卡牌总表!AF91*参数!$B$40*参数!$B$2+卡牌总表!AG91*参数!$B$44*参数!$B$2+卡牌总表!AH91*参数!$B$6*参数!$B$2+卡牌总表!AI91*参数!$B$39*参数!$B$2+卡牌总表!AJ91*参数!$B$6*参数!$B$2+卡牌总表!AA91*参数!$B$13-卡牌总表!U91*参数!$B$14-卡牌总表!AD91*参数!$B$13+IF(ISNUMBER(卡牌总表!AU91),卡牌总表!AU91*参数!$B$38,0)-卡牌总表!AV91*参数!$B$41-卡牌总表!AW91*参数!$B$14</f>
        <v>15</v>
      </c>
      <c r="M91">
        <f>IF(AND(卡牌总表!F91="能力",卡牌总表!AL91="能力持续"),参数!$B$2*参数!$B$3,0)</f>
        <v>0</v>
      </c>
      <c r="N91">
        <f t="shared" si="5"/>
        <v>15</v>
      </c>
      <c r="O91">
        <f>IFERROR(MAX(IF(K91 &gt; 参数!$B$17,参数!$B$17+SQRT(K91-参数!$B$17)*参数!$B$18,K91)-MAX(G91,0)*参数!$B$10,0)/MAX(G91,0.4),0)</f>
        <v>25.75</v>
      </c>
      <c r="P91">
        <f>IFERROR(MAX(IF(N91 &gt; 参数!$B$17,参数!$B$17+SQRT(N91-参数!$B$17)*参数!$B$18,N91)-MAX(H91,0)*参数!$B$10,0)/MAX(H91,0.4),0)</f>
        <v>30.385254915624209</v>
      </c>
      <c r="Q91">
        <f>卡牌总表!AO91</f>
        <v>0</v>
      </c>
    </row>
    <row r="92" spans="1:17" x14ac:dyDescent="0.3">
      <c r="A92">
        <f t="shared" si="3"/>
        <v>91</v>
      </c>
      <c r="B92" t="str">
        <f>卡牌总表!B92</f>
        <v>silent_blade_dance</v>
      </c>
      <c r="C92" t="str">
        <f>卡牌总表!D92</f>
        <v>刀刃之舞</v>
      </c>
      <c r="D92" t="str">
        <f>卡牌总表!F92</f>
        <v>技能</v>
      </c>
      <c r="E92">
        <f>卡牌总表!AL92</f>
        <v>0</v>
      </c>
      <c r="F92">
        <f>卡牌总表!AN92</f>
        <v>0</v>
      </c>
      <c r="G92">
        <f>卡牌总表!AP92</f>
        <v>1</v>
      </c>
      <c r="H92">
        <f>IF(ISNUMBER(卡牌总表!H92),IF(AND(卡牌总表!H92=0,卡牌总表!V92=0,卡牌总表!AK92="none"),0.4,IF(卡牌总表!AK92="exhaust",MAX(卡牌总表!H92-卡牌总表!V92,0.4),IF(卡牌总表!AK92="ethereal",MAX(卡牌总表!H92-卡牌总表!V92,0.4),MAX(卡牌总表!H92-卡牌总表!V92,0.4)))),IF(OR(卡牌总表!H92="X",卡牌总表!H92="∞"),0.4,0.4))</f>
        <v>1</v>
      </c>
      <c r="I92">
        <f>卡牌总表!M92*卡牌总表!O92*参数!$B$5*IF(AND(卡牌总表!F92="能力",卡牌总表!AL92="能力持续"),参数!$B$2,1)+卡牌总表!P92*参数!$B$6*IF(AND(卡牌总表!F92="能力",卡牌总表!AL92="能力持续"),参数!$B$2,1)+卡牌总表!R92*参数!$B$7*IF(AND(卡牌总表!F92="能力",卡牌总表!AL92="能力持续"),参数!$B$2,1)+卡牌总表!V92*参数!$B$8+IF(卡牌总表!X92&lt;0,卡牌总表!X92*参数!$B$13,卡牌总表!X92*参数!$B$39)+IF(卡牌总表!AE92&lt;0,卡牌总表!AE92*参数!$B$13,卡牌总表!AE92*参数!$B$12)*参数!$B$2+卡牌总表!AQ92*参数!$B$15+卡牌总表!AB92*参数!$B$11+卡牌总表!AF92*参数!$B$40*参数!$B$2+卡牌总表!AG92*参数!$B$44*参数!$B$2+卡牌总表!AH92*参数!$B$6*参数!$B$2+卡牌总表!AI92*参数!$B$39*参数!$B$2+卡牌总表!AJ92*参数!$B$6*参数!$B$2+卡牌总表!Z92*参数!$B$13-卡牌总表!T92*参数!$B$14-卡牌总表!AD92*参数!$B$13+IF(ISNUMBER(卡牌总表!AU92),卡牌总表!AU92*参数!$B$38,0)-卡牌总表!AV92*参数!$B$41-卡牌总表!AW92*参数!$B$14</f>
        <v>12</v>
      </c>
      <c r="J92">
        <f>IF(AND(卡牌总表!F92="能力",卡牌总表!AL92="能力持续"),(参数!$B$2-1)*参数!$B$3,0)</f>
        <v>0</v>
      </c>
      <c r="K92">
        <f t="shared" si="4"/>
        <v>12</v>
      </c>
      <c r="L92">
        <f>卡牌总表!N92*卡牌总表!O92*参数!$B$5*IF(AND(卡牌总表!F92="能力",卡牌总表!AL92="能力持续"),参数!$B$2,1)+卡牌总表!Q92*参数!$B$6*IF(AND(卡牌总表!F92="能力",卡牌总表!AL92="能力持续"),参数!$B$2,1)+卡牌总表!S92*参数!$B$7*IF(AND(卡牌总表!F92="能力",卡牌总表!AL92="能力持续"),参数!$B$2,1)+卡牌总表!W92*参数!$B$8+IF(卡牌总表!Y92&lt;0,卡牌总表!Y92*参数!$B$13,卡牌总表!Y92*参数!$B$39)+IF(卡牌总表!AE92&lt;0,卡牌总表!AE92*参数!$B$13,卡牌总表!AE92*参数!$B$12)*参数!$B$2+卡牌总表!AR92*参数!$B$15+卡牌总表!AC92*参数!$B$11+卡牌总表!AF92*参数!$B$40*参数!$B$2+卡牌总表!AG92*参数!$B$44*参数!$B$2+卡牌总表!AH92*参数!$B$6*参数!$B$2+卡牌总表!AI92*参数!$B$39*参数!$B$2+卡牌总表!AJ92*参数!$B$6*参数!$B$2+卡牌总表!AA92*参数!$B$13-卡牌总表!U92*参数!$B$14-卡牌总表!AD92*参数!$B$13+IF(ISNUMBER(卡牌总表!AU92),卡牌总表!AU92*参数!$B$38,0)-卡牌总表!AV92*参数!$B$41-卡牌总表!AW92*参数!$B$14</f>
        <v>0</v>
      </c>
      <c r="M92">
        <f>IF(AND(卡牌总表!F92="能力",卡牌总表!AL92="能力持续"),参数!$B$2*参数!$B$3,0)</f>
        <v>0</v>
      </c>
      <c r="N92">
        <f t="shared" si="5"/>
        <v>0</v>
      </c>
      <c r="O92">
        <f>IFERROR(MAX(IF(K92 &gt; 参数!$B$17,参数!$B$17+SQRT(K92-参数!$B$17)*参数!$B$18,K92)-MAX(G92,0)*参数!$B$10,0)/MAX(G92,0.4),0)</f>
        <v>9.1213203435596419</v>
      </c>
      <c r="P92">
        <f>IFERROR(MAX(IF(N92 &gt; 参数!$B$17,参数!$B$17+SQRT(N92-参数!$B$17)*参数!$B$18,N92)-MAX(H92,0)*参数!$B$10,0)/MAX(H92,0.4),0)</f>
        <v>0</v>
      </c>
      <c r="Q92">
        <f>卡牌总表!AO92</f>
        <v>0</v>
      </c>
    </row>
    <row r="93" spans="1:17" x14ac:dyDescent="0.3">
      <c r="A93">
        <f t="shared" si="3"/>
        <v>92</v>
      </c>
      <c r="B93" t="str">
        <f>卡牌总表!B93</f>
        <v>silent_blade_of_ink</v>
      </c>
      <c r="C93" t="str">
        <f>卡牌总表!D93</f>
        <v>墨刃</v>
      </c>
      <c r="D93" t="str">
        <f>卡牌总表!F93</f>
        <v>技能</v>
      </c>
      <c r="E93">
        <f>卡牌总表!AL93</f>
        <v>0</v>
      </c>
      <c r="F93" t="str">
        <f>卡牌总表!AN93</f>
        <v>本回合</v>
      </c>
      <c r="G93">
        <f>卡牌总表!AP93</f>
        <v>1</v>
      </c>
      <c r="H93">
        <f>IF(ISNUMBER(卡牌总表!H93),IF(AND(卡牌总表!H93=0,卡牌总表!V93=0,卡牌总表!AK93="none"),0.4,IF(卡牌总表!AK93="exhaust",MAX(卡牌总表!H93-卡牌总表!V93,0.4),IF(卡牌总表!AK93="ethereal",MAX(卡牌总表!H93-卡牌总表!V93,0.4),MAX(卡牌总表!H93-卡牌总表!V93,0.4)))),IF(OR(卡牌总表!H93="X",卡牌总表!H93="∞"),0.4,0.4))</f>
        <v>1</v>
      </c>
      <c r="I93">
        <f>卡牌总表!M93*卡牌总表!O93*参数!$B$5*IF(AND(卡牌总表!F93="能力",卡牌总表!AL93="能力持续"),参数!$B$2,1)+卡牌总表!P93*参数!$B$6*IF(AND(卡牌总表!F93="能力",卡牌总表!AL93="能力持续"),参数!$B$2,1)+卡牌总表!R93*参数!$B$7*IF(AND(卡牌总表!F93="能力",卡牌总表!AL93="能力持续"),参数!$B$2,1)+卡牌总表!V93*参数!$B$8+IF(卡牌总表!X93&lt;0,卡牌总表!X93*参数!$B$13,卡牌总表!X93*参数!$B$39)+IF(卡牌总表!AE93&lt;0,卡牌总表!AE93*参数!$B$13,卡牌总表!AE93*参数!$B$12)*参数!$B$2+卡牌总表!AQ93*参数!$B$15+卡牌总表!AB93*参数!$B$11+卡牌总表!AF93*参数!$B$40*参数!$B$2+卡牌总表!AG93*参数!$B$44*参数!$B$2+卡牌总表!AH93*参数!$B$6*参数!$B$2+卡牌总表!AI93*参数!$B$39*参数!$B$2+卡牌总表!AJ93*参数!$B$6*参数!$B$2+卡牌总表!Z93*参数!$B$13-卡牌总表!T93*参数!$B$14-卡牌总表!AD93*参数!$B$13+IF(ISNUMBER(卡牌总表!AU93),卡牌总表!AU93*参数!$B$38,0)-卡牌总表!AV93*参数!$B$41-卡牌总表!AW93*参数!$B$14</f>
        <v>11</v>
      </c>
      <c r="J93">
        <f>IF(AND(卡牌总表!F93="能力",卡牌总表!AL93="能力持续"),(参数!$B$2-1)*参数!$B$3,0)</f>
        <v>0</v>
      </c>
      <c r="K93">
        <f t="shared" si="4"/>
        <v>11</v>
      </c>
      <c r="L93">
        <f>卡牌总表!N93*卡牌总表!O93*参数!$B$5*IF(AND(卡牌总表!F93="能力",卡牌总表!AL93="能力持续"),参数!$B$2,1)+卡牌总表!Q93*参数!$B$6*IF(AND(卡牌总表!F93="能力",卡牌总表!AL93="能力持续"),参数!$B$2,1)+卡牌总表!S93*参数!$B$7*IF(AND(卡牌总表!F93="能力",卡牌总表!AL93="能力持续"),参数!$B$2,1)+卡牌总表!W93*参数!$B$8+IF(卡牌总表!Y93&lt;0,卡牌总表!Y93*参数!$B$13,卡牌总表!Y93*参数!$B$39)+IF(卡牌总表!AE93&lt;0,卡牌总表!AE93*参数!$B$13,卡牌总表!AE93*参数!$B$12)*参数!$B$2+卡牌总表!AR93*参数!$B$15+卡牌总表!AC93*参数!$B$11+卡牌总表!AF93*参数!$B$40*参数!$B$2+卡牌总表!AG93*参数!$B$44*参数!$B$2+卡牌总表!AH93*参数!$B$6*参数!$B$2+卡牌总表!AI93*参数!$B$39*参数!$B$2+卡牌总表!AJ93*参数!$B$6*参数!$B$2+卡牌总表!AA93*参数!$B$13-卡牌总表!U93*参数!$B$14-卡牌总表!AD93*参数!$B$13+IF(ISNUMBER(卡牌总表!AU93),卡牌总表!AU93*参数!$B$38,0)-卡牌总表!AV93*参数!$B$41-卡牌总表!AW93*参数!$B$14</f>
        <v>4.5</v>
      </c>
      <c r="M93">
        <f>IF(AND(卡牌总表!F93="能力",卡牌总表!AL93="能力持续"),参数!$B$2*参数!$B$3,0)</f>
        <v>0</v>
      </c>
      <c r="N93">
        <f t="shared" si="5"/>
        <v>4.5</v>
      </c>
      <c r="O93">
        <f>IFERROR(MAX(IF(K93 &gt; 参数!$B$17,参数!$B$17+SQRT(K93-参数!$B$17)*参数!$B$18,K93)-MAX(G93,0)*参数!$B$10,0)/MAX(G93,0.4),0)</f>
        <v>8.5</v>
      </c>
      <c r="P93">
        <f>IFERROR(MAX(IF(N93 &gt; 参数!$B$17,参数!$B$17+SQRT(N93-参数!$B$17)*参数!$B$18,N93)-MAX(H93,0)*参数!$B$10,0)/MAX(H93,0.4),0)</f>
        <v>1.5</v>
      </c>
      <c r="Q93">
        <f>卡牌总表!AO93</f>
        <v>0</v>
      </c>
    </row>
    <row r="94" spans="1:17" x14ac:dyDescent="0.3">
      <c r="A94">
        <f t="shared" si="3"/>
        <v>93</v>
      </c>
      <c r="B94" t="str">
        <f>卡牌总表!B94</f>
        <v>silent_blur</v>
      </c>
      <c r="C94" t="str">
        <f>卡牌总表!D94</f>
        <v>残影</v>
      </c>
      <c r="D94" t="str">
        <f>卡牌总表!F94</f>
        <v>技能</v>
      </c>
      <c r="E94">
        <f>卡牌总表!AL94</f>
        <v>0</v>
      </c>
      <c r="F94">
        <f>卡牌总表!AN94</f>
        <v>0</v>
      </c>
      <c r="G94">
        <f>卡牌总表!AP94</f>
        <v>1</v>
      </c>
      <c r="H94">
        <f>IF(ISNUMBER(卡牌总表!H94),IF(AND(卡牌总表!H94=0,卡牌总表!V94=0,卡牌总表!AK94="none"),0.4,IF(卡牌总表!AK94="exhaust",MAX(卡牌总表!H94-卡牌总表!V94,0.4),IF(卡牌总表!AK94="ethereal",MAX(卡牌总表!H94-卡牌总表!V94,0.4),MAX(卡牌总表!H94-卡牌总表!V94,0.4)))),IF(OR(卡牌总表!H94="X",卡牌总表!H94="∞"),0.4,0.4))</f>
        <v>1</v>
      </c>
      <c r="I94">
        <f>卡牌总表!M94*卡牌总表!O94*参数!$B$5*IF(AND(卡牌总表!F94="能力",卡牌总表!AL94="能力持续"),参数!$B$2,1)+卡牌总表!P94*参数!$B$6*IF(AND(卡牌总表!F94="能力",卡牌总表!AL94="能力持续"),参数!$B$2,1)+卡牌总表!R94*参数!$B$7*IF(AND(卡牌总表!F94="能力",卡牌总表!AL94="能力持续"),参数!$B$2,1)+卡牌总表!V94*参数!$B$8+IF(卡牌总表!X94&lt;0,卡牌总表!X94*参数!$B$13,卡牌总表!X94*参数!$B$39)+IF(卡牌总表!AE94&lt;0,卡牌总表!AE94*参数!$B$13,卡牌总表!AE94*参数!$B$12)*参数!$B$2+卡牌总表!AQ94*参数!$B$15+卡牌总表!AB94*参数!$B$11+卡牌总表!AF94*参数!$B$40*参数!$B$2+卡牌总表!AG94*参数!$B$44*参数!$B$2+卡牌总表!AH94*参数!$B$6*参数!$B$2+卡牌总表!AI94*参数!$B$39*参数!$B$2+卡牌总表!AJ94*参数!$B$6*参数!$B$2+卡牌总表!Z94*参数!$B$13-卡牌总表!T94*参数!$B$14-卡牌总表!AD94*参数!$B$13+IF(ISNUMBER(卡牌总表!AU94),卡牌总表!AU94*参数!$B$38,0)-卡牌总表!AV94*参数!$B$41-卡牌总表!AW94*参数!$B$14</f>
        <v>5.5</v>
      </c>
      <c r="J94">
        <f>IF(AND(卡牌总表!F94="能力",卡牌总表!AL94="能力持续"),(参数!$B$2-1)*参数!$B$3,0)</f>
        <v>0</v>
      </c>
      <c r="K94">
        <f t="shared" si="4"/>
        <v>5.5</v>
      </c>
      <c r="L94">
        <f>卡牌总表!N94*卡牌总表!O94*参数!$B$5*IF(AND(卡牌总表!F94="能力",卡牌总表!AL94="能力持续"),参数!$B$2,1)+卡牌总表!Q94*参数!$B$6*IF(AND(卡牌总表!F94="能力",卡牌总表!AL94="能力持续"),参数!$B$2,1)+卡牌总表!S94*参数!$B$7*IF(AND(卡牌总表!F94="能力",卡牌总表!AL94="能力持续"),参数!$B$2,1)+卡牌总表!W94*参数!$B$8+IF(卡牌总表!Y94&lt;0,卡牌总表!Y94*参数!$B$13,卡牌总表!Y94*参数!$B$39)+IF(卡牌总表!AE94&lt;0,卡牌总表!AE94*参数!$B$13,卡牌总表!AE94*参数!$B$12)*参数!$B$2+卡牌总表!AR94*参数!$B$15+卡牌总表!AC94*参数!$B$11+卡牌总表!AF94*参数!$B$40*参数!$B$2+卡牌总表!AG94*参数!$B$44*参数!$B$2+卡牌总表!AH94*参数!$B$6*参数!$B$2+卡牌总表!AI94*参数!$B$39*参数!$B$2+卡牌总表!AJ94*参数!$B$6*参数!$B$2+卡牌总表!AA94*参数!$B$13-卡牌总表!U94*参数!$B$14-卡牌总表!AD94*参数!$B$13+IF(ISNUMBER(卡牌总表!AU94),卡牌总表!AU94*参数!$B$38,0)-卡牌总表!AV94*参数!$B$41-卡牌总表!AW94*参数!$B$14</f>
        <v>8.8000000000000007</v>
      </c>
      <c r="M94">
        <f>IF(AND(卡牌总表!F94="能力",卡牌总表!AL94="能力持续"),参数!$B$2*参数!$B$3,0)</f>
        <v>0</v>
      </c>
      <c r="N94">
        <f t="shared" si="5"/>
        <v>8.8000000000000007</v>
      </c>
      <c r="O94">
        <f>IFERROR(MAX(IF(K94 &gt; 参数!$B$17,参数!$B$17+SQRT(K94-参数!$B$17)*参数!$B$18,K94)-MAX(G94,0)*参数!$B$10,0)/MAX(G94,0.4),0)</f>
        <v>2.5</v>
      </c>
      <c r="P94">
        <f>IFERROR(MAX(IF(N94 &gt; 参数!$B$17,参数!$B$17+SQRT(N94-参数!$B$17)*参数!$B$18,N94)-MAX(H94,0)*参数!$B$10,0)/MAX(H94,0.4),0)</f>
        <v>5.8000000000000007</v>
      </c>
      <c r="Q94">
        <f>卡牌总表!AO94</f>
        <v>0</v>
      </c>
    </row>
    <row r="95" spans="1:17" x14ac:dyDescent="0.3">
      <c r="A95">
        <f t="shared" si="3"/>
        <v>94</v>
      </c>
      <c r="B95" t="str">
        <f>卡牌总表!B95</f>
        <v>silent_bouncing_flask</v>
      </c>
      <c r="C95" t="str">
        <f>卡牌总表!D95</f>
        <v>弹跳药瓶</v>
      </c>
      <c r="D95" t="str">
        <f>卡牌总表!F95</f>
        <v>技能</v>
      </c>
      <c r="E95">
        <f>卡牌总表!AL95</f>
        <v>0</v>
      </c>
      <c r="F95">
        <f>卡牌总表!AN95</f>
        <v>0</v>
      </c>
      <c r="G95">
        <f>卡牌总表!AP95</f>
        <v>2</v>
      </c>
      <c r="H95">
        <f>IF(ISNUMBER(卡牌总表!H95),IF(AND(卡牌总表!H95=0,卡牌总表!V95=0,卡牌总表!AK95="none"),0.4,IF(卡牌总表!AK95="exhaust",MAX(卡牌总表!H95-卡牌总表!V95,0.4),IF(卡牌总表!AK95="ethereal",MAX(卡牌总表!H95-卡牌总表!V95,0.4),MAX(卡牌总表!H95-卡牌总表!V95,0.4)))),IF(OR(卡牌总表!H95="X",卡牌总表!H95="∞"),0.4,0.4))</f>
        <v>2</v>
      </c>
      <c r="I95">
        <f>卡牌总表!M95*卡牌总表!O95*参数!$B$5*IF(AND(卡牌总表!F95="能力",卡牌总表!AL95="能力持续"),参数!$B$2,1)+卡牌总表!P95*参数!$B$6*IF(AND(卡牌总表!F95="能力",卡牌总表!AL95="能力持续"),参数!$B$2,1)+卡牌总表!R95*参数!$B$7*IF(AND(卡牌总表!F95="能力",卡牌总表!AL95="能力持续"),参数!$B$2,1)+卡牌总表!V95*参数!$B$8+IF(卡牌总表!X95&lt;0,卡牌总表!X95*参数!$B$13,卡牌总表!X95*参数!$B$39)+IF(卡牌总表!AE95&lt;0,卡牌总表!AE95*参数!$B$13,卡牌总表!AE95*参数!$B$12)*参数!$B$2+卡牌总表!AQ95*参数!$B$15+卡牌总表!AB95*参数!$B$11+卡牌总表!AF95*参数!$B$40*参数!$B$2+卡牌总表!AG95*参数!$B$44*参数!$B$2+卡牌总表!AH95*参数!$B$6*参数!$B$2+卡牌总表!AI95*参数!$B$39*参数!$B$2+卡牌总表!AJ95*参数!$B$6*参数!$B$2+卡牌总表!Z95*参数!$B$13-卡牌总表!T95*参数!$B$14-卡牌总表!AD95*参数!$B$13+IF(ISNUMBER(卡牌总表!AU95),卡牌总表!AU95*参数!$B$38,0)-卡牌总表!AV95*参数!$B$41-卡牌总表!AW95*参数!$B$14</f>
        <v>12</v>
      </c>
      <c r="J95">
        <f>IF(AND(卡牌总表!F95="能力",卡牌总表!AL95="能力持续"),(参数!$B$2-1)*参数!$B$3,0)</f>
        <v>0</v>
      </c>
      <c r="K95">
        <f t="shared" si="4"/>
        <v>12</v>
      </c>
      <c r="L95">
        <f>卡牌总表!N95*卡牌总表!O95*参数!$B$5*IF(AND(卡牌总表!F95="能力",卡牌总表!AL95="能力持续"),参数!$B$2,1)+卡牌总表!Q95*参数!$B$6*IF(AND(卡牌总表!F95="能力",卡牌总表!AL95="能力持续"),参数!$B$2,1)+卡牌总表!S95*参数!$B$7*IF(AND(卡牌总表!F95="能力",卡牌总表!AL95="能力持续"),参数!$B$2,1)+卡牌总表!W95*参数!$B$8+IF(卡牌总表!Y95&lt;0,卡牌总表!Y95*参数!$B$13,卡牌总表!Y95*参数!$B$39)+IF(卡牌总表!AE95&lt;0,卡牌总表!AE95*参数!$B$13,卡牌总表!AE95*参数!$B$12)*参数!$B$2+卡牌总表!AR95*参数!$B$15+卡牌总表!AC95*参数!$B$11+卡牌总表!AF95*参数!$B$40*参数!$B$2+卡牌总表!AG95*参数!$B$44*参数!$B$2+卡牌总表!AH95*参数!$B$6*参数!$B$2+卡牌总表!AI95*参数!$B$39*参数!$B$2+卡牌总表!AJ95*参数!$B$6*参数!$B$2+卡牌总表!AA95*参数!$B$13-卡牌总表!U95*参数!$B$14-卡牌总表!AD95*参数!$B$13+IF(ISNUMBER(卡牌总表!AU95),卡牌总表!AU95*参数!$B$38,0)-卡牌总表!AV95*参数!$B$41-卡牌总表!AW95*参数!$B$14</f>
        <v>12</v>
      </c>
      <c r="M95">
        <f>IF(AND(卡牌总表!F95="能力",卡牌总表!AL95="能力持续"),参数!$B$2*参数!$B$3,0)</f>
        <v>0</v>
      </c>
      <c r="N95">
        <f t="shared" si="5"/>
        <v>12</v>
      </c>
      <c r="O95">
        <f>IFERROR(MAX(IF(K95 &gt; 参数!$B$17,参数!$B$17+SQRT(K95-参数!$B$17)*参数!$B$18,K95)-MAX(G95,0)*参数!$B$10,0)/MAX(G95,0.4),0)</f>
        <v>3.060660171779821</v>
      </c>
      <c r="P95">
        <f>IFERROR(MAX(IF(N95 &gt; 参数!$B$17,参数!$B$17+SQRT(N95-参数!$B$17)*参数!$B$18,N95)-MAX(H95,0)*参数!$B$10,0)/MAX(H95,0.4),0)</f>
        <v>3.060660171779821</v>
      </c>
      <c r="Q95">
        <f>卡牌总表!AO95</f>
        <v>0</v>
      </c>
    </row>
    <row r="96" spans="1:17" x14ac:dyDescent="0.3">
      <c r="A96">
        <f t="shared" si="3"/>
        <v>95</v>
      </c>
      <c r="B96" t="str">
        <f>卡牌总表!B96</f>
        <v>silent_bubble_bubble</v>
      </c>
      <c r="C96" t="str">
        <f>卡牌总表!D96</f>
        <v>咕噜冒泡</v>
      </c>
      <c r="D96" t="str">
        <f>卡牌总表!F96</f>
        <v>技能</v>
      </c>
      <c r="E96">
        <f>卡牌总表!AL96</f>
        <v>0</v>
      </c>
      <c r="F96">
        <f>卡牌总表!AN96</f>
        <v>0</v>
      </c>
      <c r="G96">
        <f>卡牌总表!AP96</f>
        <v>1</v>
      </c>
      <c r="H96">
        <f>IF(ISNUMBER(卡牌总表!H96),IF(AND(卡牌总表!H96=0,卡牌总表!V96=0,卡牌总表!AK96="none"),0.4,IF(卡牌总表!AK96="exhaust",MAX(卡牌总表!H96-卡牌总表!V96,0.4),IF(卡牌总表!AK96="ethereal",MAX(卡牌总表!H96-卡牌总表!V96,0.4),MAX(卡牌总表!H96-卡牌总表!V96,0.4)))),IF(OR(卡牌总表!H96="X",卡牌总表!H96="∞"),0.4,0.4))</f>
        <v>1</v>
      </c>
      <c r="I96">
        <f>卡牌总表!M96*卡牌总表!O96*参数!$B$5*IF(AND(卡牌总表!F96="能力",卡牌总表!AL96="能力持续"),参数!$B$2,1)+卡牌总表!P96*参数!$B$6*IF(AND(卡牌总表!F96="能力",卡牌总表!AL96="能力持续"),参数!$B$2,1)+卡牌总表!R96*参数!$B$7*IF(AND(卡牌总表!F96="能力",卡牌总表!AL96="能力持续"),参数!$B$2,1)+卡牌总表!V96*参数!$B$8+IF(卡牌总表!X96&lt;0,卡牌总表!X96*参数!$B$13,卡牌总表!X96*参数!$B$39)+IF(卡牌总表!AE96&lt;0,卡牌总表!AE96*参数!$B$13,卡牌总表!AE96*参数!$B$12)*参数!$B$2+卡牌总表!AQ96*参数!$B$15+卡牌总表!AB96*参数!$B$11+卡牌总表!AF96*参数!$B$40*参数!$B$2+卡牌总表!AG96*参数!$B$44*参数!$B$2+卡牌总表!AH96*参数!$B$6*参数!$B$2+卡牌总表!AI96*参数!$B$39*参数!$B$2+卡牌总表!AJ96*参数!$B$6*参数!$B$2+卡牌总表!Z96*参数!$B$13-卡牌总表!T96*参数!$B$14-卡牌总表!AD96*参数!$B$13+IF(ISNUMBER(卡牌总表!AU96),卡牌总表!AU96*参数!$B$38,0)-卡牌总表!AV96*参数!$B$41-卡牌总表!AW96*参数!$B$14</f>
        <v>35.700000000000003</v>
      </c>
      <c r="J96">
        <f>IF(AND(卡牌总表!F96="能力",卡牌总表!AL96="能力持续"),(参数!$B$2-1)*参数!$B$3,0)</f>
        <v>0</v>
      </c>
      <c r="K96">
        <f t="shared" si="4"/>
        <v>35.700000000000003</v>
      </c>
      <c r="L96">
        <f>卡牌总表!N96*卡牌总表!O96*参数!$B$5*IF(AND(卡牌总表!F96="能力",卡牌总表!AL96="能力持续"),参数!$B$2,1)+卡牌总表!Q96*参数!$B$6*IF(AND(卡牌总表!F96="能力",卡牌总表!AL96="能力持续"),参数!$B$2,1)+卡牌总表!S96*参数!$B$7*IF(AND(卡牌总表!F96="能力",卡牌总表!AL96="能力持续"),参数!$B$2,1)+卡牌总表!W96*参数!$B$8+IF(卡牌总表!Y96&lt;0,卡牌总表!Y96*参数!$B$13,卡牌总表!Y96*参数!$B$39)+IF(卡牌总表!AE96&lt;0,卡牌总表!AE96*参数!$B$13,卡牌总表!AE96*参数!$B$12)*参数!$B$2+卡牌总表!AR96*参数!$B$15+卡牌总表!AC96*参数!$B$11+卡牌总表!AF96*参数!$B$40*参数!$B$2+卡牌总表!AG96*参数!$B$44*参数!$B$2+卡牌总表!AH96*参数!$B$6*参数!$B$2+卡牌总表!AI96*参数!$B$39*参数!$B$2+卡牌总表!AJ96*参数!$B$6*参数!$B$2+卡牌总表!AA96*参数!$B$13-卡牌总表!U96*参数!$B$14-卡牌总表!AD96*参数!$B$13+IF(ISNUMBER(卡牌总表!AU96),卡牌总表!AU96*参数!$B$38,0)-卡牌总表!AV96*参数!$B$41-卡牌总表!AW96*参数!$B$14</f>
        <v>35.700000000000003</v>
      </c>
      <c r="M96">
        <f>IF(AND(卡牌总表!F96="能力",卡牌总表!AL96="能力持续"),参数!$B$2*参数!$B$3,0)</f>
        <v>0</v>
      </c>
      <c r="N96">
        <f t="shared" si="5"/>
        <v>35.700000000000003</v>
      </c>
      <c r="O96">
        <f>IFERROR(MAX(IF(K96 &gt; 参数!$B$17,参数!$B$17+SQRT(K96-参数!$B$17)*参数!$B$18,K96)-MAX(G96,0)*参数!$B$10,0)/MAX(G96,0.4),0)</f>
        <v>14.604275113381945</v>
      </c>
      <c r="P96">
        <f>IFERROR(MAX(IF(N96 &gt; 参数!$B$17,参数!$B$17+SQRT(N96-参数!$B$17)*参数!$B$18,N96)-MAX(H96,0)*参数!$B$10,0)/MAX(H96,0.4),0)</f>
        <v>14.604275113381945</v>
      </c>
      <c r="Q96">
        <f>卡牌总表!AO96</f>
        <v>0</v>
      </c>
    </row>
    <row r="97" spans="1:17" x14ac:dyDescent="0.3">
      <c r="A97">
        <f t="shared" si="3"/>
        <v>96</v>
      </c>
      <c r="B97" t="str">
        <f>卡牌总表!B97</f>
        <v>silent_bullet_time</v>
      </c>
      <c r="C97" t="str">
        <f>卡牌总表!D97</f>
        <v>子弹时间</v>
      </c>
      <c r="D97" t="str">
        <f>卡牌总表!F97</f>
        <v>技能</v>
      </c>
      <c r="E97">
        <f>卡牌总表!AL97</f>
        <v>0</v>
      </c>
      <c r="F97" t="str">
        <f>卡牌总表!AN97</f>
        <v>本回合</v>
      </c>
      <c r="G97">
        <f>卡牌总表!AP97</f>
        <v>0.4</v>
      </c>
      <c r="H97">
        <f>IF(ISNUMBER(卡牌总表!H97),IF(AND(卡牌总表!H97=0,卡牌总表!V97=0,卡牌总表!AK97="none"),0.4,IF(卡牌总表!AK97="exhaust",MAX(卡牌总表!H97-卡牌总表!V97,0.4),IF(卡牌总表!AK97="ethereal",MAX(卡牌总表!H97-卡牌总表!V97,0.4),MAX(卡牌总表!H97-卡牌总表!V97,0.4)))),IF(OR(卡牌总表!H97="X",卡牌总表!H97="∞"),0.4,0.4))</f>
        <v>0.4</v>
      </c>
      <c r="I97">
        <f>卡牌总表!M97*卡牌总表!O97*参数!$B$5*IF(AND(卡牌总表!F97="能力",卡牌总表!AL97="能力持续"),参数!$B$2,1)+卡牌总表!P97*参数!$B$6*IF(AND(卡牌总表!F97="能力",卡牌总表!AL97="能力持续"),参数!$B$2,1)+卡牌总表!R97*参数!$B$7*IF(AND(卡牌总表!F97="能力",卡牌总表!AL97="能力持续"),参数!$B$2,1)+卡牌总表!V97*参数!$B$8+IF(卡牌总表!X97&lt;0,卡牌总表!X97*参数!$B$13,卡牌总表!X97*参数!$B$39)+IF(卡牌总表!AE97&lt;0,卡牌总表!AE97*参数!$B$13,卡牌总表!AE97*参数!$B$12)*参数!$B$2+卡牌总表!AQ97*参数!$B$15+卡牌总表!AB97*参数!$B$11+卡牌总表!AF97*参数!$B$40*参数!$B$2+卡牌总表!AG97*参数!$B$44*参数!$B$2+卡牌总表!AH97*参数!$B$6*参数!$B$2+卡牌总表!AI97*参数!$B$39*参数!$B$2+卡牌总表!AJ97*参数!$B$6*参数!$B$2+卡牌总表!Z97*参数!$B$13-卡牌总表!T97*参数!$B$14-卡牌总表!AD97*参数!$B$13+IF(ISNUMBER(卡牌总表!AU97),卡牌总表!AU97*参数!$B$38,0)-卡牌总表!AV97*参数!$B$41-卡牌总表!AW97*参数!$B$14</f>
        <v>12.9</v>
      </c>
      <c r="J97">
        <f>IF(AND(卡牌总表!F97="能力",卡牌总表!AL97="能力持续"),(参数!$B$2-1)*参数!$B$3,0)</f>
        <v>0</v>
      </c>
      <c r="K97">
        <f t="shared" si="4"/>
        <v>12.9</v>
      </c>
      <c r="L97">
        <f>卡牌总表!N97*卡牌总表!O97*参数!$B$5*IF(AND(卡牌总表!F97="能力",卡牌总表!AL97="能力持续"),参数!$B$2,1)+卡牌总表!Q97*参数!$B$6*IF(AND(卡牌总表!F97="能力",卡牌总表!AL97="能力持续"),参数!$B$2,1)+卡牌总表!S97*参数!$B$7*IF(AND(卡牌总表!F97="能力",卡牌总表!AL97="能力持续"),参数!$B$2,1)+卡牌总表!W97*参数!$B$8+IF(卡牌总表!Y97&lt;0,卡牌总表!Y97*参数!$B$13,卡牌总表!Y97*参数!$B$39)+IF(卡牌总表!AE97&lt;0,卡牌总表!AE97*参数!$B$13,卡牌总表!AE97*参数!$B$12)*参数!$B$2+卡牌总表!AR97*参数!$B$15+卡牌总表!AC97*参数!$B$11+卡牌总表!AF97*参数!$B$40*参数!$B$2+卡牌总表!AG97*参数!$B$44*参数!$B$2+卡牌总表!AH97*参数!$B$6*参数!$B$2+卡牌总表!AI97*参数!$B$39*参数!$B$2+卡牌总表!AJ97*参数!$B$6*参数!$B$2+卡牌总表!AA97*参数!$B$13-卡牌总表!U97*参数!$B$14-卡牌总表!AD97*参数!$B$13+IF(ISNUMBER(卡牌总表!AU97),卡牌总表!AU97*参数!$B$38,0)-卡牌总表!AV97*参数!$B$41-卡牌总表!AW97*参数!$B$14</f>
        <v>0</v>
      </c>
      <c r="M97">
        <f>IF(AND(卡牌总表!F97="能力",卡牌总表!AL97="能力持续"),参数!$B$2*参数!$B$3,0)</f>
        <v>0</v>
      </c>
      <c r="N97">
        <f t="shared" si="5"/>
        <v>0</v>
      </c>
      <c r="O97">
        <f>IFERROR(MAX(IF(K97 &gt; 参数!$B$17,参数!$B$17+SQRT(K97-参数!$B$17)*参数!$B$18,K97)-MAX(G97,0)*参数!$B$10,0)/MAX(G97,0.4),0)</f>
        <v>28.386019887222396</v>
      </c>
      <c r="P97">
        <f>IFERROR(MAX(IF(N97 &gt; 参数!$B$17,参数!$B$17+SQRT(N97-参数!$B$17)*参数!$B$18,N97)-MAX(H97,0)*参数!$B$10,0)/MAX(H97,0.4),0)</f>
        <v>0</v>
      </c>
      <c r="Q97">
        <f>卡牌总表!AO97</f>
        <v>0</v>
      </c>
    </row>
    <row r="98" spans="1:17" x14ac:dyDescent="0.3">
      <c r="A98">
        <f t="shared" si="3"/>
        <v>97</v>
      </c>
      <c r="B98" t="str">
        <f>卡牌总表!B98</f>
        <v>silent_burst</v>
      </c>
      <c r="C98" t="str">
        <f>卡牌总表!D98</f>
        <v>爆发</v>
      </c>
      <c r="D98" t="str">
        <f>卡牌总表!F98</f>
        <v>技能</v>
      </c>
      <c r="E98">
        <f>卡牌总表!AL98</f>
        <v>0</v>
      </c>
      <c r="F98" t="str">
        <f>卡牌总表!AN98</f>
        <v>本回合</v>
      </c>
      <c r="G98">
        <f>卡牌总表!AP98</f>
        <v>1</v>
      </c>
      <c r="H98">
        <f>IF(ISNUMBER(卡牌总表!H98),IF(AND(卡牌总表!H98=0,卡牌总表!V98=0,卡牌总表!AK98="none"),0.4,IF(卡牌总表!AK98="exhaust",MAX(卡牌总表!H98-卡牌总表!V98,0.4),IF(卡牌总表!AK98="ethereal",MAX(卡牌总表!H98-卡牌总表!V98,0.4),MAX(卡牌总表!H98-卡牌总表!V98,0.4)))),IF(OR(卡牌总表!H98="X",卡牌总表!H98="∞"),0.4,0.4))</f>
        <v>1</v>
      </c>
      <c r="I98">
        <f>卡牌总表!M98*卡牌总表!O98*参数!$B$5*IF(AND(卡牌总表!F98="能力",卡牌总表!AL98="能力持续"),参数!$B$2,1)+卡牌总表!P98*参数!$B$6*IF(AND(卡牌总表!F98="能力",卡牌总表!AL98="能力持续"),参数!$B$2,1)+卡牌总表!R98*参数!$B$7*IF(AND(卡牌总表!F98="能力",卡牌总表!AL98="能力持续"),参数!$B$2,1)+卡牌总表!V98*参数!$B$8+IF(卡牌总表!X98&lt;0,卡牌总表!X98*参数!$B$13,卡牌总表!X98*参数!$B$39)+IF(卡牌总表!AE98&lt;0,卡牌总表!AE98*参数!$B$13,卡牌总表!AE98*参数!$B$12)*参数!$B$2+卡牌总表!AQ98*参数!$B$15+卡牌总表!AB98*参数!$B$11+卡牌总表!AF98*参数!$B$40*参数!$B$2+卡牌总表!AG98*参数!$B$44*参数!$B$2+卡牌总表!AH98*参数!$B$6*参数!$B$2+卡牌总表!AI98*参数!$B$39*参数!$B$2+卡牌总表!AJ98*参数!$B$6*参数!$B$2+卡牌总表!Z98*参数!$B$13-卡牌总表!T98*参数!$B$14-卡牌总表!AD98*参数!$B$13+IF(ISNUMBER(卡牌总表!AU98),卡牌总表!AU98*参数!$B$38,0)-卡牌总表!AV98*参数!$B$41-卡牌总表!AW98*参数!$B$14</f>
        <v>24</v>
      </c>
      <c r="J98">
        <f>IF(AND(卡牌总表!F98="能力",卡牌总表!AL98="能力持续"),(参数!$B$2-1)*参数!$B$3,0)</f>
        <v>0</v>
      </c>
      <c r="K98">
        <f t="shared" si="4"/>
        <v>24</v>
      </c>
      <c r="L98">
        <f>卡牌总表!N98*卡牌总表!O98*参数!$B$5*IF(AND(卡牌总表!F98="能力",卡牌总表!AL98="能力持续"),参数!$B$2,1)+卡牌总表!Q98*参数!$B$6*IF(AND(卡牌总表!F98="能力",卡牌总表!AL98="能力持续"),参数!$B$2,1)+卡牌总表!S98*参数!$B$7*IF(AND(卡牌总表!F98="能力",卡牌总表!AL98="能力持续"),参数!$B$2,1)+卡牌总表!W98*参数!$B$8+IF(卡牌总表!Y98&lt;0,卡牌总表!Y98*参数!$B$13,卡牌总表!Y98*参数!$B$39)+IF(卡牌总表!AE98&lt;0,卡牌总表!AE98*参数!$B$13,卡牌总表!AE98*参数!$B$12)*参数!$B$2+卡牌总表!AR98*参数!$B$15+卡牌总表!AC98*参数!$B$11+卡牌总表!AF98*参数!$B$40*参数!$B$2+卡牌总表!AG98*参数!$B$44*参数!$B$2+卡牌总表!AH98*参数!$B$6*参数!$B$2+卡牌总表!AI98*参数!$B$39*参数!$B$2+卡牌总表!AJ98*参数!$B$6*参数!$B$2+卡牌总表!AA98*参数!$B$13-卡牌总表!U98*参数!$B$14-卡牌总表!AD98*参数!$B$13+IF(ISNUMBER(卡牌总表!AU98),卡牌总表!AU98*参数!$B$38,0)-卡牌总表!AV98*参数!$B$41-卡牌总表!AW98*参数!$B$14</f>
        <v>0</v>
      </c>
      <c r="M98">
        <f>IF(AND(卡牌总表!F98="能力",卡牌总表!AL98="能力持续"),参数!$B$2*参数!$B$3,0)</f>
        <v>0</v>
      </c>
      <c r="N98">
        <f t="shared" si="5"/>
        <v>0</v>
      </c>
      <c r="O98">
        <f>IFERROR(MAX(IF(K98 &gt; 参数!$B$17,参数!$B$17+SQRT(K98-参数!$B$17)*参数!$B$18,K98)-MAX(G98,0)*参数!$B$10,0)/MAX(G98,0.4),0)</f>
        <v>12.612486080160913</v>
      </c>
      <c r="P98">
        <f>IFERROR(MAX(IF(N98 &gt; 参数!$B$17,参数!$B$17+SQRT(N98-参数!$B$17)*参数!$B$18,N98)-MAX(H98,0)*参数!$B$10,0)/MAX(H98,0.4),0)</f>
        <v>0</v>
      </c>
      <c r="Q98">
        <f>卡牌总表!AO98</f>
        <v>0</v>
      </c>
    </row>
    <row r="99" spans="1:17" x14ac:dyDescent="0.3">
      <c r="A99">
        <f t="shared" si="3"/>
        <v>98</v>
      </c>
      <c r="B99" t="str">
        <f>卡牌总表!B99</f>
        <v>silent_calculated_gamble</v>
      </c>
      <c r="C99" t="str">
        <f>卡牌总表!D99</f>
        <v>计算下注</v>
      </c>
      <c r="D99" t="str">
        <f>卡牌总表!F99</f>
        <v>技能</v>
      </c>
      <c r="E99">
        <f>卡牌总表!AL99</f>
        <v>0</v>
      </c>
      <c r="F99">
        <f>卡牌总表!AN99</f>
        <v>0</v>
      </c>
      <c r="G99">
        <f>卡牌总表!AP99</f>
        <v>0.4</v>
      </c>
      <c r="H99">
        <f>IF(ISNUMBER(卡牌总表!H99),IF(AND(卡牌总表!H99=0,卡牌总表!V99=0,卡牌总表!AK99="none"),0.4,IF(卡牌总表!AK99="exhaust",MAX(卡牌总表!H99-卡牌总表!V99,0.4),IF(卡牌总表!AK99="ethereal",MAX(卡牌总表!H99-卡牌总表!V99,0.4),MAX(卡牌总表!H99-卡牌总表!V99,0.4)))),IF(OR(卡牌总表!H99="X",卡牌总表!H99="∞"),0.4,0.4))</f>
        <v>0.4</v>
      </c>
      <c r="I99">
        <f>卡牌总表!M99*卡牌总表!O99*参数!$B$5*IF(AND(卡牌总表!F99="能力",卡牌总表!AL99="能力持续"),参数!$B$2,1)+卡牌总表!P99*参数!$B$6*IF(AND(卡牌总表!F99="能力",卡牌总表!AL99="能力持续"),参数!$B$2,1)+卡牌总表!R99*参数!$B$7*IF(AND(卡牌总表!F99="能力",卡牌总表!AL99="能力持续"),参数!$B$2,1)+卡牌总表!V99*参数!$B$8+IF(卡牌总表!X99&lt;0,卡牌总表!X99*参数!$B$13,卡牌总表!X99*参数!$B$39)+IF(卡牌总表!AE99&lt;0,卡牌总表!AE99*参数!$B$13,卡牌总表!AE99*参数!$B$12)*参数!$B$2+卡牌总表!AQ99*参数!$B$15+卡牌总表!AB99*参数!$B$11+卡牌总表!AF99*参数!$B$40*参数!$B$2+卡牌总表!AG99*参数!$B$44*参数!$B$2+卡牌总表!AH99*参数!$B$6*参数!$B$2+卡牌总表!AI99*参数!$B$39*参数!$B$2+卡牌总表!AJ99*参数!$B$6*参数!$B$2+卡牌总表!Z99*参数!$B$13-卡牌总表!T99*参数!$B$14-卡牌总表!AD99*参数!$B$13+IF(ISNUMBER(卡牌总表!AU99),卡牌总表!AU99*参数!$B$38,0)-卡牌总表!AV99*参数!$B$41-卡牌总表!AW99*参数!$B$14</f>
        <v>2</v>
      </c>
      <c r="J99">
        <f>IF(AND(卡牌总表!F99="能力",卡牌总表!AL99="能力持续"),(参数!$B$2-1)*参数!$B$3,0)</f>
        <v>0</v>
      </c>
      <c r="K99">
        <f t="shared" si="4"/>
        <v>2</v>
      </c>
      <c r="L99">
        <f>卡牌总表!N99*卡牌总表!O99*参数!$B$5*IF(AND(卡牌总表!F99="能力",卡牌总表!AL99="能力持续"),参数!$B$2,1)+卡牌总表!Q99*参数!$B$6*IF(AND(卡牌总表!F99="能力",卡牌总表!AL99="能力持续"),参数!$B$2,1)+卡牌总表!S99*参数!$B$7*IF(AND(卡牌总表!F99="能力",卡牌总表!AL99="能力持续"),参数!$B$2,1)+卡牌总表!W99*参数!$B$8+IF(卡牌总表!Y99&lt;0,卡牌总表!Y99*参数!$B$13,卡牌总表!Y99*参数!$B$39)+IF(卡牌总表!AE99&lt;0,卡牌总表!AE99*参数!$B$13,卡牌总表!AE99*参数!$B$12)*参数!$B$2+卡牌总表!AR99*参数!$B$15+卡牌总表!AC99*参数!$B$11+卡牌总表!AF99*参数!$B$40*参数!$B$2+卡牌总表!AG99*参数!$B$44*参数!$B$2+卡牌总表!AH99*参数!$B$6*参数!$B$2+卡牌总表!AI99*参数!$B$39*参数!$B$2+卡牌总表!AJ99*参数!$B$6*参数!$B$2+卡牌总表!AA99*参数!$B$13-卡牌总表!U99*参数!$B$14-卡牌总表!AD99*参数!$B$13+IF(ISNUMBER(卡牌总表!AU99),卡牌总表!AU99*参数!$B$38,0)-卡牌总表!AV99*参数!$B$41-卡牌总表!AW99*参数!$B$14</f>
        <v>0</v>
      </c>
      <c r="M99">
        <f>IF(AND(卡牌总表!F99="能力",卡牌总表!AL99="能力持续"),参数!$B$2*参数!$B$3,0)</f>
        <v>0</v>
      </c>
      <c r="N99">
        <f t="shared" si="5"/>
        <v>0</v>
      </c>
      <c r="O99">
        <f>IFERROR(MAX(IF(K99 &gt; 参数!$B$17,参数!$B$17+SQRT(K99-参数!$B$17)*参数!$B$18,K99)-MAX(G99,0)*参数!$B$10,0)/MAX(G99,0.4),0)</f>
        <v>1.9999999999999996</v>
      </c>
      <c r="P99">
        <f>IFERROR(MAX(IF(N99 &gt; 参数!$B$17,参数!$B$17+SQRT(N99-参数!$B$17)*参数!$B$18,N99)-MAX(H99,0)*参数!$B$10,0)/MAX(H99,0.4),0)</f>
        <v>0</v>
      </c>
      <c r="Q99">
        <f>卡牌总表!AO99</f>
        <v>0</v>
      </c>
    </row>
    <row r="100" spans="1:17" x14ac:dyDescent="0.3">
      <c r="A100">
        <f t="shared" si="3"/>
        <v>99</v>
      </c>
      <c r="B100" t="str">
        <f>卡牌总表!B100</f>
        <v>silent_cloak_and_dagger</v>
      </c>
      <c r="C100" t="str">
        <f>卡牌总表!D100</f>
        <v>斗篷与匕首</v>
      </c>
      <c r="D100" t="str">
        <f>卡牌总表!F100</f>
        <v>技能</v>
      </c>
      <c r="E100">
        <f>卡牌总表!AL100</f>
        <v>0</v>
      </c>
      <c r="F100">
        <f>卡牌总表!AN100</f>
        <v>0</v>
      </c>
      <c r="G100">
        <f>卡牌总表!AP100</f>
        <v>1</v>
      </c>
      <c r="H100">
        <f>IF(ISNUMBER(卡牌总表!H100),IF(AND(卡牌总表!H100=0,卡牌总表!V100=0,卡牌总表!AK100="none"),0.4,IF(卡牌总表!AK100="exhaust",MAX(卡牌总表!H100-卡牌总表!V100,0.4),IF(卡牌总表!AK100="ethereal",MAX(卡牌总表!H100-卡牌总表!V100,0.4),MAX(卡牌总表!H100-卡牌总表!V100,0.4)))),IF(OR(卡牌总表!H100="X",卡牌总表!H100="∞"),0.4,0.4))</f>
        <v>1</v>
      </c>
      <c r="I100">
        <f>卡牌总表!M100*卡牌总表!O100*参数!$B$5*IF(AND(卡牌总表!F100="能力",卡牌总表!AL100="能力持续"),参数!$B$2,1)+卡牌总表!P100*参数!$B$6*IF(AND(卡牌总表!F100="能力",卡牌总表!AL100="能力持续"),参数!$B$2,1)+卡牌总表!R100*参数!$B$7*IF(AND(卡牌总表!F100="能力",卡牌总表!AL100="能力持续"),参数!$B$2,1)+卡牌总表!V100*参数!$B$8+IF(卡牌总表!X100&lt;0,卡牌总表!X100*参数!$B$13,卡牌总表!X100*参数!$B$39)+IF(卡牌总表!AE100&lt;0,卡牌总表!AE100*参数!$B$13,卡牌总表!AE100*参数!$B$12)*参数!$B$2+卡牌总表!AQ100*参数!$B$15+卡牌总表!AB100*参数!$B$11+卡牌总表!AF100*参数!$B$40*参数!$B$2+卡牌总表!AG100*参数!$B$44*参数!$B$2+卡牌总表!AH100*参数!$B$6*参数!$B$2+卡牌总表!AI100*参数!$B$39*参数!$B$2+卡牌总表!AJ100*参数!$B$6*参数!$B$2+卡牌总表!Z100*参数!$B$13-卡牌总表!T100*参数!$B$14-卡牌总表!AD100*参数!$B$13+IF(ISNUMBER(卡牌总表!AU100),卡牌总表!AU100*参数!$B$38,0)-卡牌总表!AV100*参数!$B$41-卡牌总表!AW100*参数!$B$14</f>
        <v>10.600000000000001</v>
      </c>
      <c r="J100">
        <f>IF(AND(卡牌总表!F100="能力",卡牌总表!AL100="能力持续"),(参数!$B$2-1)*参数!$B$3,0)</f>
        <v>0</v>
      </c>
      <c r="K100">
        <f t="shared" si="4"/>
        <v>10.600000000000001</v>
      </c>
      <c r="L100">
        <f>卡牌总表!N100*卡牌总表!O100*参数!$B$5*IF(AND(卡牌总表!F100="能力",卡牌总表!AL100="能力持续"),参数!$B$2,1)+卡牌总表!Q100*参数!$B$6*IF(AND(卡牌总表!F100="能力",卡牌总表!AL100="能力持续"),参数!$B$2,1)+卡牌总表!S100*参数!$B$7*IF(AND(卡牌总表!F100="能力",卡牌总表!AL100="能力持续"),参数!$B$2,1)+卡牌总表!W100*参数!$B$8+IF(卡牌总表!Y100&lt;0,卡牌总表!Y100*参数!$B$13,卡牌总表!Y100*参数!$B$39)+IF(卡牌总表!AE100&lt;0,卡牌总表!AE100*参数!$B$13,卡牌总表!AE100*参数!$B$12)*参数!$B$2+卡牌总表!AR100*参数!$B$15+卡牌总表!AC100*参数!$B$11+卡牌总表!AF100*参数!$B$40*参数!$B$2+卡牌总表!AG100*参数!$B$44*参数!$B$2+卡牌总表!AH100*参数!$B$6*参数!$B$2+卡牌总表!AI100*参数!$B$39*参数!$B$2+卡牌总表!AJ100*参数!$B$6*参数!$B$2+卡牌总表!AA100*参数!$B$13-卡牌总表!U100*参数!$B$14-卡牌总表!AD100*参数!$B$13+IF(ISNUMBER(卡牌总表!AU100),卡牌总表!AU100*参数!$B$38,0)-卡牌总表!AV100*参数!$B$41-卡牌总表!AW100*参数!$B$14</f>
        <v>6.6000000000000005</v>
      </c>
      <c r="M100">
        <f>IF(AND(卡牌总表!F100="能力",卡牌总表!AL100="能力持续"),参数!$B$2*参数!$B$3,0)</f>
        <v>0</v>
      </c>
      <c r="N100">
        <f t="shared" si="5"/>
        <v>6.6000000000000005</v>
      </c>
      <c r="O100">
        <f>IFERROR(MAX(IF(K100 &gt; 参数!$B$17,参数!$B$17+SQRT(K100-参数!$B$17)*参数!$B$18,K100)-MAX(G100,0)*参数!$B$10,0)/MAX(G100,0.4),0)</f>
        <v>8.1618950038622273</v>
      </c>
      <c r="P100">
        <f>IFERROR(MAX(IF(N100 &gt; 参数!$B$17,参数!$B$17+SQRT(N100-参数!$B$17)*参数!$B$18,N100)-MAX(H100,0)*参数!$B$10,0)/MAX(H100,0.4),0)</f>
        <v>3.6000000000000005</v>
      </c>
      <c r="Q100">
        <f>卡牌总表!AO100</f>
        <v>0</v>
      </c>
    </row>
    <row r="101" spans="1:17" x14ac:dyDescent="0.3">
      <c r="A101">
        <f t="shared" si="3"/>
        <v>100</v>
      </c>
      <c r="B101" t="str">
        <f>卡牌总表!B101</f>
        <v>silent_corrosive_wave</v>
      </c>
      <c r="C101" t="str">
        <f>卡牌总表!D101</f>
        <v>腐蚀波</v>
      </c>
      <c r="D101" t="str">
        <f>卡牌总表!F101</f>
        <v>技能</v>
      </c>
      <c r="E101">
        <f>卡牌总表!AL101</f>
        <v>0</v>
      </c>
      <c r="F101" t="str">
        <f>卡牌总表!AN101</f>
        <v>群体攻击，本回合</v>
      </c>
      <c r="G101">
        <f>卡牌总表!AP101</f>
        <v>1</v>
      </c>
      <c r="H101">
        <f>IF(ISNUMBER(卡牌总表!H101),IF(AND(卡牌总表!H101=0,卡牌总表!V101=0,卡牌总表!AK101="none"),0.4,IF(卡牌总表!AK101="exhaust",MAX(卡牌总表!H101-卡牌总表!V101,0.4),IF(卡牌总表!AK101="ethereal",MAX(卡牌总表!H101-卡牌总表!V101,0.4),MAX(卡牌总表!H101-卡牌总表!V101,0.4)))),IF(OR(卡牌总表!H101="X",卡牌总表!H101="∞"),0.4,0.4))</f>
        <v>1</v>
      </c>
      <c r="I101">
        <f>卡牌总表!M101*卡牌总表!O101*参数!$B$5*IF(AND(卡牌总表!F101="能力",卡牌总表!AL101="能力持续"),参数!$B$2,1)+卡牌总表!P101*参数!$B$6*IF(AND(卡牌总表!F101="能力",卡牌总表!AL101="能力持续"),参数!$B$2,1)+卡牌总表!R101*参数!$B$7*IF(AND(卡牌总表!F101="能力",卡牌总表!AL101="能力持续"),参数!$B$2,1)+卡牌总表!V101*参数!$B$8+IF(卡牌总表!X101&lt;0,卡牌总表!X101*参数!$B$13,卡牌总表!X101*参数!$B$39)+IF(卡牌总表!AE101&lt;0,卡牌总表!AE101*参数!$B$13,卡牌总表!AE101*参数!$B$12)*参数!$B$2+卡牌总表!AQ101*参数!$B$15+卡牌总表!AB101*参数!$B$11+卡牌总表!AF101*参数!$B$40*参数!$B$2+卡牌总表!AG101*参数!$B$44*参数!$B$2+卡牌总表!AH101*参数!$B$6*参数!$B$2+卡牌总表!AI101*参数!$B$39*参数!$B$2+卡牌总表!AJ101*参数!$B$6*参数!$B$2+卡牌总表!Z101*参数!$B$13-卡牌总表!T101*参数!$B$14-卡牌总表!AD101*参数!$B$13+IF(ISNUMBER(卡牌总表!AU101),卡牌总表!AU101*参数!$B$38,0)-卡牌总表!AV101*参数!$B$41-卡牌总表!AW101*参数!$B$14</f>
        <v>12</v>
      </c>
      <c r="J101">
        <f>IF(AND(卡牌总表!F101="能力",卡牌总表!AL101="能力持续"),(参数!$B$2-1)*参数!$B$3,0)</f>
        <v>0</v>
      </c>
      <c r="K101">
        <f t="shared" si="4"/>
        <v>12</v>
      </c>
      <c r="L101">
        <f>卡牌总表!N101*卡牌总表!O101*参数!$B$5*IF(AND(卡牌总表!F101="能力",卡牌总表!AL101="能力持续"),参数!$B$2,1)+卡牌总表!Q101*参数!$B$6*IF(AND(卡牌总表!F101="能力",卡牌总表!AL101="能力持续"),参数!$B$2,1)+卡牌总表!S101*参数!$B$7*IF(AND(卡牌总表!F101="能力",卡牌总表!AL101="能力持续"),参数!$B$2,1)+卡牌总表!W101*参数!$B$8+IF(卡牌总表!Y101&lt;0,卡牌总表!Y101*参数!$B$13,卡牌总表!Y101*参数!$B$39)+IF(卡牌总表!AE101&lt;0,卡牌总表!AE101*参数!$B$13,卡牌总表!AE101*参数!$B$12)*参数!$B$2+卡牌总表!AR101*参数!$B$15+卡牌总表!AC101*参数!$B$11+卡牌总表!AF101*参数!$B$40*参数!$B$2+卡牌总表!AG101*参数!$B$44*参数!$B$2+卡牌总表!AH101*参数!$B$6*参数!$B$2+卡牌总表!AI101*参数!$B$39*参数!$B$2+卡牌总表!AJ101*参数!$B$6*参数!$B$2+卡牌总表!AA101*参数!$B$13-卡牌总表!U101*参数!$B$14-卡牌总表!AD101*参数!$B$13+IF(ISNUMBER(卡牌总表!AU101),卡牌总表!AU101*参数!$B$38,0)-卡牌总表!AV101*参数!$B$41-卡牌总表!AW101*参数!$B$14</f>
        <v>12</v>
      </c>
      <c r="M101">
        <f>IF(AND(卡牌总表!F101="能力",卡牌总表!AL101="能力持续"),参数!$B$2*参数!$B$3,0)</f>
        <v>0</v>
      </c>
      <c r="N101">
        <f t="shared" si="5"/>
        <v>12</v>
      </c>
      <c r="O101">
        <f>IFERROR(MAX(IF(K101 &gt; 参数!$B$17,参数!$B$17+SQRT(K101-参数!$B$17)*参数!$B$18,K101)-MAX(G101,0)*参数!$B$10,0)/MAX(G101,0.4),0)</f>
        <v>9.1213203435596419</v>
      </c>
      <c r="P101">
        <f>IFERROR(MAX(IF(N101 &gt; 参数!$B$17,参数!$B$17+SQRT(N101-参数!$B$17)*参数!$B$18,N101)-MAX(H101,0)*参数!$B$10,0)/MAX(H101,0.4),0)</f>
        <v>9.1213203435596419</v>
      </c>
      <c r="Q101">
        <f>卡牌总表!AO101</f>
        <v>0</v>
      </c>
    </row>
    <row r="102" spans="1:17" x14ac:dyDescent="0.3">
      <c r="A102">
        <f t="shared" si="3"/>
        <v>101</v>
      </c>
      <c r="B102" t="str">
        <f>卡牌总表!B102</f>
        <v>silent_dagger_spray</v>
      </c>
      <c r="C102" t="str">
        <f>卡牌总表!D102</f>
        <v>匕首雨</v>
      </c>
      <c r="D102" t="str">
        <f>卡牌总表!F102</f>
        <v>攻击</v>
      </c>
      <c r="E102">
        <f>卡牌总表!AL102</f>
        <v>0</v>
      </c>
      <c r="F102" t="str">
        <f>卡牌总表!AN102</f>
        <v>群体攻击</v>
      </c>
      <c r="G102">
        <f>卡牌总表!AP102</f>
        <v>1</v>
      </c>
      <c r="H102">
        <f>IF(ISNUMBER(卡牌总表!H102),IF(AND(卡牌总表!H102=0,卡牌总表!V102=0,卡牌总表!AK102="none"),0.4,IF(卡牌总表!AK102="exhaust",MAX(卡牌总表!H102-卡牌总表!V102,0.4),IF(卡牌总表!AK102="ethereal",MAX(卡牌总表!H102-卡牌总表!V102,0.4),MAX(卡牌总表!H102-卡牌总表!V102,0.4)))),IF(OR(卡牌总表!H102="X",卡牌总表!H102="∞"),0.4,0.4))</f>
        <v>1</v>
      </c>
      <c r="I102">
        <f>卡牌总表!M102*卡牌总表!O102*参数!$B$5*IF(AND(卡牌总表!F102="能力",卡牌总表!AL102="能力持续"),参数!$B$2,1)+卡牌总表!P102*参数!$B$6*IF(AND(卡牌总表!F102="能力",卡牌总表!AL102="能力持续"),参数!$B$2,1)+卡牌总表!R102*参数!$B$7*IF(AND(卡牌总表!F102="能力",卡牌总表!AL102="能力持续"),参数!$B$2,1)+卡牌总表!V102*参数!$B$8+IF(卡牌总表!X102&lt;0,卡牌总表!X102*参数!$B$13,卡牌总表!X102*参数!$B$39)+IF(卡牌总表!AE102&lt;0,卡牌总表!AE102*参数!$B$13,卡牌总表!AE102*参数!$B$12)*参数!$B$2+卡牌总表!AQ102*参数!$B$15+卡牌总表!AB102*参数!$B$11+卡牌总表!AF102*参数!$B$40*参数!$B$2+卡牌总表!AG102*参数!$B$44*参数!$B$2+卡牌总表!AH102*参数!$B$6*参数!$B$2+卡牌总表!AI102*参数!$B$39*参数!$B$2+卡牌总表!AJ102*参数!$B$6*参数!$B$2+卡牌总表!Z102*参数!$B$13-卡牌总表!T102*参数!$B$14-卡牌总表!AD102*参数!$B$13+IF(ISNUMBER(卡牌总表!AU102),卡牌总表!AU102*参数!$B$38,0)-卡牌总表!AV102*参数!$B$41-卡牌总表!AW102*参数!$B$14</f>
        <v>8</v>
      </c>
      <c r="J102">
        <f>IF(AND(卡牌总表!F102="能力",卡牌总表!AL102="能力持续"),(参数!$B$2-1)*参数!$B$3,0)</f>
        <v>0</v>
      </c>
      <c r="K102">
        <f t="shared" si="4"/>
        <v>8</v>
      </c>
      <c r="L102">
        <f>卡牌总表!N102*卡牌总表!O102*参数!$B$5*IF(AND(卡牌总表!F102="能力",卡牌总表!AL102="能力持续"),参数!$B$2,1)+卡牌总表!Q102*参数!$B$6*IF(AND(卡牌总表!F102="能力",卡牌总表!AL102="能力持续"),参数!$B$2,1)+卡牌总表!S102*参数!$B$7*IF(AND(卡牌总表!F102="能力",卡牌总表!AL102="能力持续"),参数!$B$2,1)+卡牌总表!W102*参数!$B$8+IF(卡牌总表!Y102&lt;0,卡牌总表!Y102*参数!$B$13,卡牌总表!Y102*参数!$B$39)+IF(卡牌总表!AE102&lt;0,卡牌总表!AE102*参数!$B$13,卡牌总表!AE102*参数!$B$12)*参数!$B$2+卡牌总表!AR102*参数!$B$15+卡牌总表!AC102*参数!$B$11+卡牌总表!AF102*参数!$B$40*参数!$B$2+卡牌总表!AG102*参数!$B$44*参数!$B$2+卡牌总表!AH102*参数!$B$6*参数!$B$2+卡牌总表!AI102*参数!$B$39*参数!$B$2+卡牌总表!AJ102*参数!$B$6*参数!$B$2+卡牌总表!AA102*参数!$B$13-卡牌总表!U102*参数!$B$14-卡牌总表!AD102*参数!$B$13+IF(ISNUMBER(卡牌总表!AU102),卡牌总表!AU102*参数!$B$38,0)-卡牌总表!AV102*参数!$B$41-卡牌总表!AW102*参数!$B$14</f>
        <v>12</v>
      </c>
      <c r="M102">
        <f>IF(AND(卡牌总表!F102="能力",卡牌总表!AL102="能力持续"),参数!$B$2*参数!$B$3,0)</f>
        <v>0</v>
      </c>
      <c r="N102">
        <f t="shared" si="5"/>
        <v>12</v>
      </c>
      <c r="O102">
        <f>IFERROR(MAX(IF(K102 &gt; 参数!$B$17,参数!$B$17+SQRT(K102-参数!$B$17)*参数!$B$18,K102)-MAX(G102,0)*参数!$B$10,0)/MAX(G102,0.4),0)</f>
        <v>5</v>
      </c>
      <c r="P102">
        <f>IFERROR(MAX(IF(N102 &gt; 参数!$B$17,参数!$B$17+SQRT(N102-参数!$B$17)*参数!$B$18,N102)-MAX(H102,0)*参数!$B$10,0)/MAX(H102,0.4),0)</f>
        <v>9.1213203435596419</v>
      </c>
      <c r="Q102">
        <f>卡牌总表!AO102</f>
        <v>0</v>
      </c>
    </row>
    <row r="103" spans="1:17" x14ac:dyDescent="0.3">
      <c r="A103">
        <f t="shared" si="3"/>
        <v>102</v>
      </c>
      <c r="B103" t="str">
        <f>卡牌总表!B103</f>
        <v>silent_dagger_throw</v>
      </c>
      <c r="C103" t="str">
        <f>卡牌总表!D103</f>
        <v>投掷匕首</v>
      </c>
      <c r="D103" t="str">
        <f>卡牌总表!F103</f>
        <v>攻击</v>
      </c>
      <c r="E103">
        <f>卡牌总表!AL103</f>
        <v>0</v>
      </c>
      <c r="F103">
        <f>卡牌总表!AN103</f>
        <v>0</v>
      </c>
      <c r="G103">
        <f>卡牌总表!AP103</f>
        <v>1</v>
      </c>
      <c r="H103">
        <f>IF(ISNUMBER(卡牌总表!H103),IF(AND(卡牌总表!H103=0,卡牌总表!V103=0,卡牌总表!AK103="none"),0.4,IF(卡牌总表!AK103="exhaust",MAX(卡牌总表!H103-卡牌总表!V103,0.4),IF(卡牌总表!AK103="ethereal",MAX(卡牌总表!H103-卡牌总表!V103,0.4),MAX(卡牌总表!H103-卡牌总表!V103,0.4)))),IF(OR(卡牌总表!H103="X",卡牌总表!H103="∞"),0.4,0.4))</f>
        <v>1</v>
      </c>
      <c r="I103">
        <f>卡牌总表!M103*卡牌总表!O103*参数!$B$5*IF(AND(卡牌总表!F103="能力",卡牌总表!AL103="能力持续"),参数!$B$2,1)+卡牌总表!P103*参数!$B$6*IF(AND(卡牌总表!F103="能力",卡牌总表!AL103="能力持续"),参数!$B$2,1)+卡牌总表!R103*参数!$B$7*IF(AND(卡牌总表!F103="能力",卡牌总表!AL103="能力持续"),参数!$B$2,1)+卡牌总表!V103*参数!$B$8+IF(卡牌总表!X103&lt;0,卡牌总表!X103*参数!$B$13,卡牌总表!X103*参数!$B$39)+IF(卡牌总表!AE103&lt;0,卡牌总表!AE103*参数!$B$13,卡牌总表!AE103*参数!$B$12)*参数!$B$2+卡牌总表!AQ103*参数!$B$15+卡牌总表!AB103*参数!$B$11+卡牌总表!AF103*参数!$B$40*参数!$B$2+卡牌总表!AG103*参数!$B$44*参数!$B$2+卡牌总表!AH103*参数!$B$6*参数!$B$2+卡牌总表!AI103*参数!$B$39*参数!$B$2+卡牌总表!AJ103*参数!$B$6*参数!$B$2+卡牌总表!Z103*参数!$B$13-卡牌总表!T103*参数!$B$14-卡牌总表!AD103*参数!$B$13+IF(ISNUMBER(卡牌总表!AU103),卡牌总表!AU103*参数!$B$38,0)-卡牌总表!AV103*参数!$B$41-卡牌总表!AW103*参数!$B$14</f>
        <v>9.3999999999999986</v>
      </c>
      <c r="J103">
        <f>IF(AND(卡牌总表!F103="能力",卡牌总表!AL103="能力持续"),(参数!$B$2-1)*参数!$B$3,0)</f>
        <v>0</v>
      </c>
      <c r="K103">
        <f t="shared" si="4"/>
        <v>9.3999999999999986</v>
      </c>
      <c r="L103">
        <f>卡牌总表!N103*卡牌总表!O103*参数!$B$5*IF(AND(卡牌总表!F103="能力",卡牌总表!AL103="能力持续"),参数!$B$2,1)+卡牌总表!Q103*参数!$B$6*IF(AND(卡牌总表!F103="能力",卡牌总表!AL103="能力持续"),参数!$B$2,1)+卡牌总表!S103*参数!$B$7*IF(AND(卡牌总表!F103="能力",卡牌总表!AL103="能力持续"),参数!$B$2,1)+卡牌总表!W103*参数!$B$8+IF(卡牌总表!Y103&lt;0,卡牌总表!Y103*参数!$B$13,卡牌总表!Y103*参数!$B$39)+IF(卡牌总表!AE103&lt;0,卡牌总表!AE103*参数!$B$13,卡牌总表!AE103*参数!$B$12)*参数!$B$2+卡牌总表!AR103*参数!$B$15+卡牌总表!AC103*参数!$B$11+卡牌总表!AF103*参数!$B$40*参数!$B$2+卡牌总表!AG103*参数!$B$44*参数!$B$2+卡牌总表!AH103*参数!$B$6*参数!$B$2+卡牌总表!AI103*参数!$B$39*参数!$B$2+卡牌总表!AJ103*参数!$B$6*参数!$B$2+卡牌总表!AA103*参数!$B$13-卡牌总表!U103*参数!$B$14-卡牌总表!AD103*参数!$B$13+IF(ISNUMBER(卡牌总表!AU103),卡牌总表!AU103*参数!$B$38,0)-卡牌总表!AV103*参数!$B$41-卡牌总表!AW103*参数!$B$14</f>
        <v>12.399999999999999</v>
      </c>
      <c r="M103">
        <f>IF(AND(卡牌总表!F103="能力",卡牌总表!AL103="能力持续"),参数!$B$2*参数!$B$3,0)</f>
        <v>0</v>
      </c>
      <c r="N103">
        <f t="shared" si="5"/>
        <v>12.399999999999999</v>
      </c>
      <c r="O103">
        <f>IFERROR(MAX(IF(K103 &gt; 参数!$B$17,参数!$B$17+SQRT(K103-参数!$B$17)*参数!$B$18,K103)-MAX(G103,0)*参数!$B$10,0)/MAX(G103,0.4),0)</f>
        <v>6.3999999999999986</v>
      </c>
      <c r="P103">
        <f>IFERROR(MAX(IF(N103 &gt; 参数!$B$17,参数!$B$17+SQRT(N103-参数!$B$17)*参数!$B$18,N103)-MAX(H103,0)*参数!$B$10,0)/MAX(H103,0.4),0)</f>
        <v>9.3237900077244493</v>
      </c>
      <c r="Q103">
        <f>卡牌总表!AO103</f>
        <v>0</v>
      </c>
    </row>
    <row r="104" spans="1:17" x14ac:dyDescent="0.3">
      <c r="A104">
        <f t="shared" si="3"/>
        <v>103</v>
      </c>
      <c r="B104" t="str">
        <f>卡牌总表!B104</f>
        <v>silent_dash</v>
      </c>
      <c r="C104" t="str">
        <f>卡牌总表!D104</f>
        <v>冲刺</v>
      </c>
      <c r="D104" t="str">
        <f>卡牌总表!F104</f>
        <v>攻击</v>
      </c>
      <c r="E104">
        <f>卡牌总表!AL104</f>
        <v>0</v>
      </c>
      <c r="F104">
        <f>卡牌总表!AN104</f>
        <v>0</v>
      </c>
      <c r="G104">
        <f>卡牌总表!AP104</f>
        <v>2</v>
      </c>
      <c r="H104">
        <f>IF(ISNUMBER(卡牌总表!H104),IF(AND(卡牌总表!H104=0,卡牌总表!V104=0,卡牌总表!AK104="none"),0.4,IF(卡牌总表!AK104="exhaust",MAX(卡牌总表!H104-卡牌总表!V104,0.4),IF(卡牌总表!AK104="ethereal",MAX(卡牌总表!H104-卡牌总表!V104,0.4),MAX(卡牌总表!H104-卡牌总表!V104,0.4)))),IF(OR(卡牌总表!H104="X",卡牌总表!H104="∞"),0.4,0.4))</f>
        <v>2</v>
      </c>
      <c r="I104">
        <f>卡牌总表!M104*卡牌总表!O104*参数!$B$5*IF(AND(卡牌总表!F104="能力",卡牌总表!AL104="能力持续"),参数!$B$2,1)+卡牌总表!P104*参数!$B$6*IF(AND(卡牌总表!F104="能力",卡牌总表!AL104="能力持续"),参数!$B$2,1)+卡牌总表!R104*参数!$B$7*IF(AND(卡牌总表!F104="能力",卡牌总表!AL104="能力持续"),参数!$B$2,1)+卡牌总表!V104*参数!$B$8+IF(卡牌总表!X104&lt;0,卡牌总表!X104*参数!$B$13,卡牌总表!X104*参数!$B$39)+IF(卡牌总表!AE104&lt;0,卡牌总表!AE104*参数!$B$13,卡牌总表!AE104*参数!$B$12)*参数!$B$2+卡牌总表!AQ104*参数!$B$15+卡牌总表!AB104*参数!$B$11+卡牌总表!AF104*参数!$B$40*参数!$B$2+卡牌总表!AG104*参数!$B$44*参数!$B$2+卡牌总表!AH104*参数!$B$6*参数!$B$2+卡牌总表!AI104*参数!$B$39*参数!$B$2+卡牌总表!AJ104*参数!$B$6*参数!$B$2+卡牌总表!Z104*参数!$B$13-卡牌总表!T104*参数!$B$14-卡牌总表!AD104*参数!$B$13+IF(ISNUMBER(卡牌总表!AU104),卡牌总表!AU104*参数!$B$38,0)-卡牌总表!AV104*参数!$B$41-卡牌总表!AW104*参数!$B$14</f>
        <v>21</v>
      </c>
      <c r="J104">
        <f>IF(AND(卡牌总表!F104="能力",卡牌总表!AL104="能力持续"),(参数!$B$2-1)*参数!$B$3,0)</f>
        <v>0</v>
      </c>
      <c r="K104">
        <f t="shared" si="4"/>
        <v>21</v>
      </c>
      <c r="L104">
        <f>卡牌总表!N104*卡牌总表!O104*参数!$B$5*IF(AND(卡牌总表!F104="能力",卡牌总表!AL104="能力持续"),参数!$B$2,1)+卡牌总表!Q104*参数!$B$6*IF(AND(卡牌总表!F104="能力",卡牌总表!AL104="能力持续"),参数!$B$2,1)+卡牌总表!S104*参数!$B$7*IF(AND(卡牌总表!F104="能力",卡牌总表!AL104="能力持续"),参数!$B$2,1)+卡牌总表!W104*参数!$B$8+IF(卡牌总表!Y104&lt;0,卡牌总表!Y104*参数!$B$13,卡牌总表!Y104*参数!$B$39)+IF(卡牌总表!AE104&lt;0,卡牌总表!AE104*参数!$B$13,卡牌总表!AE104*参数!$B$12)*参数!$B$2+卡牌总表!AR104*参数!$B$15+卡牌总表!AC104*参数!$B$11+卡牌总表!AF104*参数!$B$40*参数!$B$2+卡牌总表!AG104*参数!$B$44*参数!$B$2+卡牌总表!AH104*参数!$B$6*参数!$B$2+卡牌总表!AI104*参数!$B$39*参数!$B$2+卡牌总表!AJ104*参数!$B$6*参数!$B$2+卡牌总表!AA104*参数!$B$13-卡牌总表!U104*参数!$B$14-卡牌总表!AD104*参数!$B$13+IF(ISNUMBER(卡牌总表!AU104),卡牌总表!AU104*参数!$B$38,0)-卡牌总表!AV104*参数!$B$41-卡牌总表!AW104*参数!$B$14</f>
        <v>27.3</v>
      </c>
      <c r="M104">
        <f>IF(AND(卡牌总表!F104="能力",卡牌总表!AL104="能力持续"),参数!$B$2*参数!$B$3,0)</f>
        <v>0</v>
      </c>
      <c r="N104">
        <f t="shared" si="5"/>
        <v>27.3</v>
      </c>
      <c r="O104">
        <f>IFERROR(MAX(IF(K104 &gt; 参数!$B$17,参数!$B$17+SQRT(K104-参数!$B$17)*参数!$B$18,K104)-MAX(G104,0)*参数!$B$10,0)/MAX(G104,0.4),0)</f>
        <v>4.4874685927665503</v>
      </c>
      <c r="P104">
        <f>IFERROR(MAX(IF(N104 &gt; 参数!$B$17,参数!$B$17+SQRT(N104-参数!$B$17)*参数!$B$18,N104)-MAX(H104,0)*参数!$B$10,0)/MAX(H104,0.4),0)</f>
        <v>5.1194951514628126</v>
      </c>
      <c r="Q104">
        <f>卡牌总表!AO104</f>
        <v>0</v>
      </c>
    </row>
    <row r="105" spans="1:17" x14ac:dyDescent="0.3">
      <c r="A105">
        <f t="shared" si="3"/>
        <v>104</v>
      </c>
      <c r="B105" t="str">
        <f>卡牌总表!B105</f>
        <v>silent_deadly_poison</v>
      </c>
      <c r="C105" t="str">
        <f>卡牌总表!D105</f>
        <v>致命毒药</v>
      </c>
      <c r="D105" t="str">
        <f>卡牌总表!F105</f>
        <v>技能</v>
      </c>
      <c r="E105">
        <f>卡牌总表!AL105</f>
        <v>0</v>
      </c>
      <c r="F105">
        <f>卡牌总表!AN105</f>
        <v>0</v>
      </c>
      <c r="G105">
        <f>卡牌总表!AP105</f>
        <v>1</v>
      </c>
      <c r="H105">
        <f>IF(ISNUMBER(卡牌总表!H105),IF(AND(卡牌总表!H105=0,卡牌总表!V105=0,卡牌总表!AK105="none"),0.4,IF(卡牌总表!AK105="exhaust",MAX(卡牌总表!H105-卡牌总表!V105,0.4),IF(卡牌总表!AK105="ethereal",MAX(卡牌总表!H105-卡牌总表!V105,0.4),MAX(卡牌总表!H105-卡牌总表!V105,0.4)))),IF(OR(卡牌总表!H105="X",卡牌总表!H105="∞"),0.4,0.4))</f>
        <v>1</v>
      </c>
      <c r="I105">
        <f>卡牌总表!M105*卡牌总表!O105*参数!$B$5*IF(AND(卡牌总表!F105="能力",卡牌总表!AL105="能力持续"),参数!$B$2,1)+卡牌总表!P105*参数!$B$6*IF(AND(卡牌总表!F105="能力",卡牌总表!AL105="能力持续"),参数!$B$2,1)+卡牌总表!R105*参数!$B$7*IF(AND(卡牌总表!F105="能力",卡牌总表!AL105="能力持续"),参数!$B$2,1)+卡牌总表!V105*参数!$B$8+IF(卡牌总表!X105&lt;0,卡牌总表!X105*参数!$B$13,卡牌总表!X105*参数!$B$39)+IF(卡牌总表!AE105&lt;0,卡牌总表!AE105*参数!$B$13,卡牌总表!AE105*参数!$B$12)*参数!$B$2+卡牌总表!AQ105*参数!$B$15+卡牌总表!AB105*参数!$B$11+卡牌总表!AF105*参数!$B$40*参数!$B$2+卡牌总表!AG105*参数!$B$44*参数!$B$2+卡牌总表!AH105*参数!$B$6*参数!$B$2+卡牌总表!AI105*参数!$B$39*参数!$B$2+卡牌总表!AJ105*参数!$B$6*参数!$B$2+卡牌总表!Z105*参数!$B$13-卡牌总表!T105*参数!$B$14-卡牌总表!AD105*参数!$B$13+IF(ISNUMBER(卡牌总表!AU105),卡牌总表!AU105*参数!$B$38,0)-卡牌总表!AV105*参数!$B$41-卡牌总表!AW105*参数!$B$14</f>
        <v>20</v>
      </c>
      <c r="J105">
        <f>IF(AND(卡牌总表!F105="能力",卡牌总表!AL105="能力持续"),(参数!$B$2-1)*参数!$B$3,0)</f>
        <v>0</v>
      </c>
      <c r="K105">
        <f t="shared" si="4"/>
        <v>20</v>
      </c>
      <c r="L105">
        <f>卡牌总表!N105*卡牌总表!O105*参数!$B$5*IF(AND(卡牌总表!F105="能力",卡牌总表!AL105="能力持续"),参数!$B$2,1)+卡牌总表!Q105*参数!$B$6*IF(AND(卡牌总表!F105="能力",卡牌总表!AL105="能力持续"),参数!$B$2,1)+卡牌总表!S105*参数!$B$7*IF(AND(卡牌总表!F105="能力",卡牌总表!AL105="能力持续"),参数!$B$2,1)+卡牌总表!W105*参数!$B$8+IF(卡牌总表!Y105&lt;0,卡牌总表!Y105*参数!$B$13,卡牌总表!Y105*参数!$B$39)+IF(卡牌总表!AE105&lt;0,卡牌总表!AE105*参数!$B$13,卡牌总表!AE105*参数!$B$12)*参数!$B$2+卡牌总表!AR105*参数!$B$15+卡牌总表!AC105*参数!$B$11+卡牌总表!AF105*参数!$B$40*参数!$B$2+卡牌总表!AG105*参数!$B$44*参数!$B$2+卡牌总表!AH105*参数!$B$6*参数!$B$2+卡牌总表!AI105*参数!$B$39*参数!$B$2+卡牌总表!AJ105*参数!$B$6*参数!$B$2+卡牌总表!AA105*参数!$B$13-卡牌总表!U105*参数!$B$14-卡牌总表!AD105*参数!$B$13+IF(ISNUMBER(卡牌总表!AU105),卡牌总表!AU105*参数!$B$38,0)-卡牌总表!AV105*参数!$B$41-卡牌总表!AW105*参数!$B$14</f>
        <v>20</v>
      </c>
      <c r="M105">
        <f>IF(AND(卡牌总表!F105="能力",卡牌总表!AL105="能力持续"),参数!$B$2*参数!$B$3,0)</f>
        <v>0</v>
      </c>
      <c r="N105">
        <f t="shared" si="5"/>
        <v>20</v>
      </c>
      <c r="O105">
        <f>IFERROR(MAX(IF(K105 &gt; 参数!$B$17,参数!$B$17+SQRT(K105-参数!$B$17)*参数!$B$18,K105)-MAX(G105,0)*参数!$B$10,0)/MAX(G105,0.4),0)</f>
        <v>11.743416490252569</v>
      </c>
      <c r="P105">
        <f>IFERROR(MAX(IF(N105 &gt; 参数!$B$17,参数!$B$17+SQRT(N105-参数!$B$17)*参数!$B$18,N105)-MAX(H105,0)*参数!$B$10,0)/MAX(H105,0.4),0)</f>
        <v>11.743416490252569</v>
      </c>
      <c r="Q105">
        <f>卡牌总表!AO105</f>
        <v>0</v>
      </c>
    </row>
    <row r="106" spans="1:17" x14ac:dyDescent="0.3">
      <c r="A106">
        <f t="shared" si="3"/>
        <v>105</v>
      </c>
      <c r="B106" t="str">
        <f>卡牌总表!B106</f>
        <v>silent_defend</v>
      </c>
      <c r="C106" t="str">
        <f>卡牌总表!D106</f>
        <v>防御</v>
      </c>
      <c r="D106" t="str">
        <f>卡牌总表!F106</f>
        <v>技能</v>
      </c>
      <c r="E106">
        <f>卡牌总表!AL106</f>
        <v>0</v>
      </c>
      <c r="F106">
        <f>卡牌总表!AN106</f>
        <v>0</v>
      </c>
      <c r="G106">
        <f>卡牌总表!AP106</f>
        <v>1</v>
      </c>
      <c r="H106">
        <f>IF(ISNUMBER(卡牌总表!H106),IF(AND(卡牌总表!H106=0,卡牌总表!V106=0,卡牌总表!AK106="none"),0.4,IF(卡牌总表!AK106="exhaust",MAX(卡牌总表!H106-卡牌总表!V106,0.4),IF(卡牌总表!AK106="ethereal",MAX(卡牌总表!H106-卡牌总表!V106,0.4),MAX(卡牌总表!H106-卡牌总表!V106,0.4)))),IF(OR(卡牌总表!H106="X",卡牌总表!H106="∞"),0.4,0.4))</f>
        <v>1</v>
      </c>
      <c r="I106">
        <f>卡牌总表!M106*卡牌总表!O106*参数!$B$5*IF(AND(卡牌总表!F106="能力",卡牌总表!AL106="能力持续"),参数!$B$2,1)+卡牌总表!P106*参数!$B$6*IF(AND(卡牌总表!F106="能力",卡牌总表!AL106="能力持续"),参数!$B$2,1)+卡牌总表!R106*参数!$B$7*IF(AND(卡牌总表!F106="能力",卡牌总表!AL106="能力持续"),参数!$B$2,1)+卡牌总表!V106*参数!$B$8+IF(卡牌总表!X106&lt;0,卡牌总表!X106*参数!$B$13,卡牌总表!X106*参数!$B$39)+IF(卡牌总表!AE106&lt;0,卡牌总表!AE106*参数!$B$13,卡牌总表!AE106*参数!$B$12)*参数!$B$2+卡牌总表!AQ106*参数!$B$15+卡牌总表!AB106*参数!$B$11+卡牌总表!AF106*参数!$B$40*参数!$B$2+卡牌总表!AG106*参数!$B$44*参数!$B$2+卡牌总表!AH106*参数!$B$6*参数!$B$2+卡牌总表!AI106*参数!$B$39*参数!$B$2+卡牌总表!AJ106*参数!$B$6*参数!$B$2+卡牌总表!Z106*参数!$B$13-卡牌总表!T106*参数!$B$14-卡牌总表!AD106*参数!$B$13+IF(ISNUMBER(卡牌总表!AU106),卡牌总表!AU106*参数!$B$38,0)-卡牌总表!AV106*参数!$B$41-卡牌总表!AW106*参数!$B$14</f>
        <v>5.5</v>
      </c>
      <c r="J106">
        <f>IF(AND(卡牌总表!F106="能力",卡牌总表!AL106="能力持续"),(参数!$B$2-1)*参数!$B$3,0)</f>
        <v>0</v>
      </c>
      <c r="K106">
        <f t="shared" si="4"/>
        <v>5.5</v>
      </c>
      <c r="L106">
        <f>卡牌总表!N106*卡牌总表!O106*参数!$B$5*IF(AND(卡牌总表!F106="能力",卡牌总表!AL106="能力持续"),参数!$B$2,1)+卡牌总表!Q106*参数!$B$6*IF(AND(卡牌总表!F106="能力",卡牌总表!AL106="能力持续"),参数!$B$2,1)+卡牌总表!S106*参数!$B$7*IF(AND(卡牌总表!F106="能力",卡牌总表!AL106="能力持续"),参数!$B$2,1)+卡牌总表!W106*参数!$B$8+IF(卡牌总表!Y106&lt;0,卡牌总表!Y106*参数!$B$13,卡牌总表!Y106*参数!$B$39)+IF(卡牌总表!AE106&lt;0,卡牌总表!AE106*参数!$B$13,卡牌总表!AE106*参数!$B$12)*参数!$B$2+卡牌总表!AR106*参数!$B$15+卡牌总表!AC106*参数!$B$11+卡牌总表!AF106*参数!$B$40*参数!$B$2+卡牌总表!AG106*参数!$B$44*参数!$B$2+卡牌总表!AH106*参数!$B$6*参数!$B$2+卡牌总表!AI106*参数!$B$39*参数!$B$2+卡牌总表!AJ106*参数!$B$6*参数!$B$2+卡牌总表!AA106*参数!$B$13-卡牌总表!U106*参数!$B$14-卡牌总表!AD106*参数!$B$13+IF(ISNUMBER(卡牌总表!AU106),卡牌总表!AU106*参数!$B$38,0)-卡牌总表!AV106*参数!$B$41-卡牌总表!AW106*参数!$B$14</f>
        <v>8.8000000000000007</v>
      </c>
      <c r="M106">
        <f>IF(AND(卡牌总表!F106="能力",卡牌总表!AL106="能力持续"),参数!$B$2*参数!$B$3,0)</f>
        <v>0</v>
      </c>
      <c r="N106">
        <f t="shared" si="5"/>
        <v>8.8000000000000007</v>
      </c>
      <c r="O106">
        <f>IFERROR(MAX(IF(K106 &gt; 参数!$B$17,参数!$B$17+SQRT(K106-参数!$B$17)*参数!$B$18,K106)-MAX(G106,0)*参数!$B$10,0)/MAX(G106,0.4),0)</f>
        <v>2.5</v>
      </c>
      <c r="P106">
        <f>IFERROR(MAX(IF(N106 &gt; 参数!$B$17,参数!$B$17+SQRT(N106-参数!$B$17)*参数!$B$18,N106)-MAX(H106,0)*参数!$B$10,0)/MAX(H106,0.4),0)</f>
        <v>5.8000000000000007</v>
      </c>
      <c r="Q106">
        <f>卡牌总表!AO106</f>
        <v>0</v>
      </c>
    </row>
    <row r="107" spans="1:17" x14ac:dyDescent="0.3">
      <c r="A107">
        <f t="shared" si="3"/>
        <v>106</v>
      </c>
      <c r="B107" t="str">
        <f>卡牌总表!B107</f>
        <v>silent_deflect</v>
      </c>
      <c r="C107" t="str">
        <f>卡牌总表!D107</f>
        <v>偏转</v>
      </c>
      <c r="D107" t="str">
        <f>卡牌总表!F107</f>
        <v>技能</v>
      </c>
      <c r="E107">
        <f>卡牌总表!AL107</f>
        <v>0</v>
      </c>
      <c r="F107">
        <f>卡牌总表!AN107</f>
        <v>0</v>
      </c>
      <c r="G107">
        <f>卡牌总表!AP107</f>
        <v>0.4</v>
      </c>
      <c r="H107">
        <f>IF(ISNUMBER(卡牌总表!H107),IF(AND(卡牌总表!H107=0,卡牌总表!V107=0,卡牌总表!AK107="none"),0.4,IF(卡牌总表!AK107="exhaust",MAX(卡牌总表!H107-卡牌总表!V107,0.4),IF(卡牌总表!AK107="ethereal",MAX(卡牌总表!H107-卡牌总表!V107,0.4),MAX(卡牌总表!H107-卡牌总表!V107,0.4)))),IF(OR(卡牌总表!H107="X",卡牌总表!H107="∞"),0.4,0.4))</f>
        <v>0.4</v>
      </c>
      <c r="I107">
        <f>卡牌总表!M107*卡牌总表!O107*参数!$B$5*IF(AND(卡牌总表!F107="能力",卡牌总表!AL107="能力持续"),参数!$B$2,1)+卡牌总表!P107*参数!$B$6*IF(AND(卡牌总表!F107="能力",卡牌总表!AL107="能力持续"),参数!$B$2,1)+卡牌总表!R107*参数!$B$7*IF(AND(卡牌总表!F107="能力",卡牌总表!AL107="能力持续"),参数!$B$2,1)+卡牌总表!V107*参数!$B$8+IF(卡牌总表!X107&lt;0,卡牌总表!X107*参数!$B$13,卡牌总表!X107*参数!$B$39)+IF(卡牌总表!AE107&lt;0,卡牌总表!AE107*参数!$B$13,卡牌总表!AE107*参数!$B$12)*参数!$B$2+卡牌总表!AQ107*参数!$B$15+卡牌总表!AB107*参数!$B$11+卡牌总表!AF107*参数!$B$40*参数!$B$2+卡牌总表!AG107*参数!$B$44*参数!$B$2+卡牌总表!AH107*参数!$B$6*参数!$B$2+卡牌总表!AI107*参数!$B$39*参数!$B$2+卡牌总表!AJ107*参数!$B$6*参数!$B$2+卡牌总表!Z107*参数!$B$13-卡牌总表!T107*参数!$B$14-卡牌总表!AD107*参数!$B$13+IF(ISNUMBER(卡牌总表!AU107),卡牌总表!AU107*参数!$B$38,0)-卡牌总表!AV107*参数!$B$41-卡牌总表!AW107*参数!$B$14</f>
        <v>4.4000000000000004</v>
      </c>
      <c r="J107">
        <f>IF(AND(卡牌总表!F107="能力",卡牌总表!AL107="能力持续"),(参数!$B$2-1)*参数!$B$3,0)</f>
        <v>0</v>
      </c>
      <c r="K107">
        <f t="shared" si="4"/>
        <v>4.4000000000000004</v>
      </c>
      <c r="L107">
        <f>卡牌总表!N107*卡牌总表!O107*参数!$B$5*IF(AND(卡牌总表!F107="能力",卡牌总表!AL107="能力持续"),参数!$B$2,1)+卡牌总表!Q107*参数!$B$6*IF(AND(卡牌总表!F107="能力",卡牌总表!AL107="能力持续"),参数!$B$2,1)+卡牌总表!S107*参数!$B$7*IF(AND(卡牌总表!F107="能力",卡牌总表!AL107="能力持续"),参数!$B$2,1)+卡牌总表!W107*参数!$B$8+IF(卡牌总表!Y107&lt;0,卡牌总表!Y107*参数!$B$13,卡牌总表!Y107*参数!$B$39)+IF(卡牌总表!AE107&lt;0,卡牌总表!AE107*参数!$B$13,卡牌总表!AE107*参数!$B$12)*参数!$B$2+卡牌总表!AR107*参数!$B$15+卡牌总表!AC107*参数!$B$11+卡牌总表!AF107*参数!$B$40*参数!$B$2+卡牌总表!AG107*参数!$B$44*参数!$B$2+卡牌总表!AH107*参数!$B$6*参数!$B$2+卡牌总表!AI107*参数!$B$39*参数!$B$2+卡牌总表!AJ107*参数!$B$6*参数!$B$2+卡牌总表!AA107*参数!$B$13-卡牌总表!U107*参数!$B$14-卡牌总表!AD107*参数!$B$13+IF(ISNUMBER(卡牌总表!AU107),卡牌总表!AU107*参数!$B$38,0)-卡牌总表!AV107*参数!$B$41-卡牌总表!AW107*参数!$B$14</f>
        <v>7.7000000000000011</v>
      </c>
      <c r="M107">
        <f>IF(AND(卡牌总表!F107="能力",卡牌总表!AL107="能力持续"),参数!$B$2*参数!$B$3,0)</f>
        <v>0</v>
      </c>
      <c r="N107">
        <f t="shared" si="5"/>
        <v>7.7000000000000011</v>
      </c>
      <c r="O107">
        <f>IFERROR(MAX(IF(K107 &gt; 参数!$B$17,参数!$B$17+SQRT(K107-参数!$B$17)*参数!$B$18,K107)-MAX(G107,0)*参数!$B$10,0)/MAX(G107,0.4),0)</f>
        <v>8</v>
      </c>
      <c r="P107">
        <f>IFERROR(MAX(IF(N107 &gt; 参数!$B$17,参数!$B$17+SQRT(N107-参数!$B$17)*参数!$B$18,N107)-MAX(H107,0)*参数!$B$10,0)/MAX(H107,0.4),0)</f>
        <v>16.25</v>
      </c>
      <c r="Q107">
        <f>卡牌总表!AO107</f>
        <v>0</v>
      </c>
    </row>
    <row r="108" spans="1:17" x14ac:dyDescent="0.3">
      <c r="A108">
        <f t="shared" si="3"/>
        <v>107</v>
      </c>
      <c r="B108" t="str">
        <f>卡牌总表!B108</f>
        <v>silent_dodge_and_roll</v>
      </c>
      <c r="C108" t="str">
        <f>卡牌总表!D108</f>
        <v>闪躲翻滚</v>
      </c>
      <c r="D108" t="str">
        <f>卡牌总表!F108</f>
        <v>技能</v>
      </c>
      <c r="E108">
        <f>卡牌总表!AL108</f>
        <v>0</v>
      </c>
      <c r="F108">
        <f>卡牌总表!AN108</f>
        <v>0</v>
      </c>
      <c r="G108">
        <f>卡牌总表!AP108</f>
        <v>1</v>
      </c>
      <c r="H108">
        <f>IF(ISNUMBER(卡牌总表!H108),IF(AND(卡牌总表!H108=0,卡牌总表!V108=0,卡牌总表!AK108="none"),0.4,IF(卡牌总表!AK108="exhaust",MAX(卡牌总表!H108-卡牌总表!V108,0.4),IF(卡牌总表!AK108="ethereal",MAX(卡牌总表!H108-卡牌总表!V108,0.4),MAX(卡牌总表!H108-卡牌总表!V108,0.4)))),IF(OR(卡牌总表!H108="X",卡牌总表!H108="∞"),0.4,0.4))</f>
        <v>1</v>
      </c>
      <c r="I108">
        <f>卡牌总表!M108*卡牌总表!O108*参数!$B$5*IF(AND(卡牌总表!F108="能力",卡牌总表!AL108="能力持续"),参数!$B$2,1)+卡牌总表!P108*参数!$B$6*IF(AND(卡牌总表!F108="能力",卡牌总表!AL108="能力持续"),参数!$B$2,1)+卡牌总表!R108*参数!$B$7*IF(AND(卡牌总表!F108="能力",卡牌总表!AL108="能力持续"),参数!$B$2,1)+卡牌总表!V108*参数!$B$8+IF(卡牌总表!X108&lt;0,卡牌总表!X108*参数!$B$13,卡牌总表!X108*参数!$B$39)+IF(卡牌总表!AE108&lt;0,卡牌总表!AE108*参数!$B$13,卡牌总表!AE108*参数!$B$12)*参数!$B$2+卡牌总表!AQ108*参数!$B$15+卡牌总表!AB108*参数!$B$11+卡牌总表!AF108*参数!$B$40*参数!$B$2+卡牌总表!AG108*参数!$B$44*参数!$B$2+卡牌总表!AH108*参数!$B$6*参数!$B$2+卡牌总表!AI108*参数!$B$39*参数!$B$2+卡牌总表!AJ108*参数!$B$6*参数!$B$2+卡牌总表!Z108*参数!$B$13-卡牌总表!T108*参数!$B$14-卡牌总表!AD108*参数!$B$13+IF(ISNUMBER(卡牌总表!AU108),卡牌总表!AU108*参数!$B$38,0)-卡牌总表!AV108*参数!$B$41-卡牌总表!AW108*参数!$B$14</f>
        <v>4.4000000000000004</v>
      </c>
      <c r="J108">
        <f>IF(AND(卡牌总表!F108="能力",卡牌总表!AL108="能力持续"),(参数!$B$2-1)*参数!$B$3,0)</f>
        <v>0</v>
      </c>
      <c r="K108">
        <f t="shared" si="4"/>
        <v>4.4000000000000004</v>
      </c>
      <c r="L108">
        <f>卡牌总表!N108*卡牌总表!O108*参数!$B$5*IF(AND(卡牌总表!F108="能力",卡牌总表!AL108="能力持续"),参数!$B$2,1)+卡牌总表!Q108*参数!$B$6*IF(AND(卡牌总表!F108="能力",卡牌总表!AL108="能力持续"),参数!$B$2,1)+卡牌总表!S108*参数!$B$7*IF(AND(卡牌总表!F108="能力",卡牌总表!AL108="能力持续"),参数!$B$2,1)+卡牌总表!W108*参数!$B$8+IF(卡牌总表!Y108&lt;0,卡牌总表!Y108*参数!$B$13,卡牌总表!Y108*参数!$B$39)+IF(卡牌总表!AE108&lt;0,卡牌总表!AE108*参数!$B$13,卡牌总表!AE108*参数!$B$12)*参数!$B$2+卡牌总表!AR108*参数!$B$15+卡牌总表!AC108*参数!$B$11+卡牌总表!AF108*参数!$B$40*参数!$B$2+卡牌总表!AG108*参数!$B$44*参数!$B$2+卡牌总表!AH108*参数!$B$6*参数!$B$2+卡牌总表!AI108*参数!$B$39*参数!$B$2+卡牌总表!AJ108*参数!$B$6*参数!$B$2+卡牌总表!AA108*参数!$B$13-卡牌总表!U108*参数!$B$14-卡牌总表!AD108*参数!$B$13+IF(ISNUMBER(卡牌总表!AU108),卡牌总表!AU108*参数!$B$38,0)-卡牌总表!AV108*参数!$B$41-卡牌总表!AW108*参数!$B$14</f>
        <v>4.4000000000000004</v>
      </c>
      <c r="M108">
        <f>IF(AND(卡牌总表!F108="能力",卡牌总表!AL108="能力持续"),参数!$B$2*参数!$B$3,0)</f>
        <v>0</v>
      </c>
      <c r="N108">
        <f t="shared" si="5"/>
        <v>4.4000000000000004</v>
      </c>
      <c r="O108">
        <f>IFERROR(MAX(IF(K108 &gt; 参数!$B$17,参数!$B$17+SQRT(K108-参数!$B$17)*参数!$B$18,K108)-MAX(G108,0)*参数!$B$10,0)/MAX(G108,0.4),0)</f>
        <v>1.4000000000000004</v>
      </c>
      <c r="P108">
        <f>IFERROR(MAX(IF(N108 &gt; 参数!$B$17,参数!$B$17+SQRT(N108-参数!$B$17)*参数!$B$18,N108)-MAX(H108,0)*参数!$B$10,0)/MAX(H108,0.4),0)</f>
        <v>1.4000000000000004</v>
      </c>
      <c r="Q108">
        <f>卡牌总表!AO108</f>
        <v>0</v>
      </c>
    </row>
    <row r="109" spans="1:17" x14ac:dyDescent="0.3">
      <c r="A109">
        <f t="shared" si="3"/>
        <v>108</v>
      </c>
      <c r="B109" t="str">
        <f>卡牌总表!B109</f>
        <v>silent_echoing_slash</v>
      </c>
      <c r="C109" t="str">
        <f>卡牌总表!D109</f>
        <v>回响斩击</v>
      </c>
      <c r="D109" t="str">
        <f>卡牌总表!F109</f>
        <v>攻击</v>
      </c>
      <c r="E109">
        <f>卡牌总表!AL109</f>
        <v>0</v>
      </c>
      <c r="F109" t="str">
        <f>卡牌总表!AN109</f>
        <v>群体攻击</v>
      </c>
      <c r="G109">
        <f>卡牌总表!AP109</f>
        <v>1</v>
      </c>
      <c r="H109">
        <f>IF(ISNUMBER(卡牌总表!H109),IF(AND(卡牌总表!H109=0,卡牌总表!V109=0,卡牌总表!AK109="none"),0.4,IF(卡牌总表!AK109="exhaust",MAX(卡牌总表!H109-卡牌总表!V109,0.4),IF(卡牌总表!AK109="ethereal",MAX(卡牌总表!H109-卡牌总表!V109,0.4),MAX(卡牌总表!H109-卡牌总表!V109,0.4)))),IF(OR(卡牌总表!H109="X",卡牌总表!H109="∞"),0.4,0.4))</f>
        <v>1</v>
      </c>
      <c r="I109">
        <f>卡牌总表!M109*卡牌总表!O109*参数!$B$5*IF(AND(卡牌总表!F109="能力",卡牌总表!AL109="能力持续"),参数!$B$2,1)+卡牌总表!P109*参数!$B$6*IF(AND(卡牌总表!F109="能力",卡牌总表!AL109="能力持续"),参数!$B$2,1)+卡牌总表!R109*参数!$B$7*IF(AND(卡牌总表!F109="能力",卡牌总表!AL109="能力持续"),参数!$B$2,1)+卡牌总表!V109*参数!$B$8+IF(卡牌总表!X109&lt;0,卡牌总表!X109*参数!$B$13,卡牌总表!X109*参数!$B$39)+IF(卡牌总表!AE109&lt;0,卡牌总表!AE109*参数!$B$13,卡牌总表!AE109*参数!$B$12)*参数!$B$2+卡牌总表!AQ109*参数!$B$15+卡牌总表!AB109*参数!$B$11+卡牌总表!AF109*参数!$B$40*参数!$B$2+卡牌总表!AG109*参数!$B$44*参数!$B$2+卡牌总表!AH109*参数!$B$6*参数!$B$2+卡牌总表!AI109*参数!$B$39*参数!$B$2+卡牌总表!AJ109*参数!$B$6*参数!$B$2+卡牌总表!Z109*参数!$B$13-卡牌总表!T109*参数!$B$14-卡牌总表!AD109*参数!$B$13+IF(ISNUMBER(卡牌总表!AU109),卡牌总表!AU109*参数!$B$38,0)-卡牌总表!AV109*参数!$B$41-卡牌总表!AW109*参数!$B$14</f>
        <v>10</v>
      </c>
      <c r="J109">
        <f>IF(AND(卡牌总表!F109="能力",卡牌总表!AL109="能力持续"),(参数!$B$2-1)*参数!$B$3,0)</f>
        <v>0</v>
      </c>
      <c r="K109">
        <f t="shared" si="4"/>
        <v>10</v>
      </c>
      <c r="L109">
        <f>卡牌总表!N109*卡牌总表!O109*参数!$B$5*IF(AND(卡牌总表!F109="能力",卡牌总表!AL109="能力持续"),参数!$B$2,1)+卡牌总表!Q109*参数!$B$6*IF(AND(卡牌总表!F109="能力",卡牌总表!AL109="能力持续"),参数!$B$2,1)+卡牌总表!S109*参数!$B$7*IF(AND(卡牌总表!F109="能力",卡牌总表!AL109="能力持续"),参数!$B$2,1)+卡牌总表!W109*参数!$B$8+IF(卡牌总表!Y109&lt;0,卡牌总表!Y109*参数!$B$13,卡牌总表!Y109*参数!$B$39)+IF(卡牌总表!AE109&lt;0,卡牌总表!AE109*参数!$B$13,卡牌总表!AE109*参数!$B$12)*参数!$B$2+卡牌总表!AR109*参数!$B$15+卡牌总表!AC109*参数!$B$11+卡牌总表!AF109*参数!$B$40*参数!$B$2+卡牌总表!AG109*参数!$B$44*参数!$B$2+卡牌总表!AH109*参数!$B$6*参数!$B$2+卡牌总表!AI109*参数!$B$39*参数!$B$2+卡牌总表!AJ109*参数!$B$6*参数!$B$2+卡牌总表!AA109*参数!$B$13-卡牌总表!U109*参数!$B$14-卡牌总表!AD109*参数!$B$13+IF(ISNUMBER(卡牌总表!AU109),卡牌总表!AU109*参数!$B$38,0)-卡牌总表!AV109*参数!$B$41-卡牌总表!AW109*参数!$B$14</f>
        <v>13</v>
      </c>
      <c r="M109">
        <f>IF(AND(卡牌总表!F109="能力",卡牌总表!AL109="能力持续"),参数!$B$2*参数!$B$3,0)</f>
        <v>0</v>
      </c>
      <c r="N109">
        <f t="shared" si="5"/>
        <v>13</v>
      </c>
      <c r="O109">
        <f>IFERROR(MAX(IF(K109 &gt; 参数!$B$17,参数!$B$17+SQRT(K109-参数!$B$17)*参数!$B$18,K109)-MAX(G109,0)*参数!$B$10,0)/MAX(G109,0.4),0)</f>
        <v>7</v>
      </c>
      <c r="P109">
        <f>IFERROR(MAX(IF(N109 &gt; 参数!$B$17,参数!$B$17+SQRT(N109-参数!$B$17)*参数!$B$18,N109)-MAX(H109,0)*参数!$B$10,0)/MAX(H109,0.4),0)</f>
        <v>9.598076211353316</v>
      </c>
      <c r="Q109">
        <f>卡牌总表!AO109</f>
        <v>0</v>
      </c>
    </row>
    <row r="110" spans="1:17" x14ac:dyDescent="0.3">
      <c r="A110">
        <f t="shared" si="3"/>
        <v>109</v>
      </c>
      <c r="B110" t="str">
        <f>卡牌总表!B110</f>
        <v>silent_envenom</v>
      </c>
      <c r="C110" t="str">
        <f>卡牌总表!D110</f>
        <v>涂毒</v>
      </c>
      <c r="D110" t="str">
        <f>卡牌总表!F110</f>
        <v>能力</v>
      </c>
      <c r="E110">
        <f>卡牌总表!AL110</f>
        <v>0</v>
      </c>
      <c r="F110" t="str">
        <f>卡牌总表!AN110</f>
        <v>能力</v>
      </c>
      <c r="G110">
        <f>卡牌总表!AP110</f>
        <v>2</v>
      </c>
      <c r="H110">
        <f>IF(ISNUMBER(卡牌总表!H110),IF(AND(卡牌总表!H110=0,卡牌总表!V110=0,卡牌总表!AK110="none"),0.4,IF(卡牌总表!AK110="exhaust",MAX(卡牌总表!H110-卡牌总表!V110,0.4),IF(卡牌总表!AK110="ethereal",MAX(卡牌总表!H110-卡牌总表!V110,0.4),MAX(卡牌总表!H110-卡牌总表!V110,0.4)))),IF(OR(卡牌总表!H110="X",卡牌总表!H110="∞"),0.4,0.4))</f>
        <v>2</v>
      </c>
      <c r="I110">
        <f>卡牌总表!M110*卡牌总表!O110*参数!$B$5*IF(AND(卡牌总表!F110="能力",卡牌总表!AL110="能力持续"),参数!$B$2,1)+卡牌总表!P110*参数!$B$6*IF(AND(卡牌总表!F110="能力",卡牌总表!AL110="能力持续"),参数!$B$2,1)+卡牌总表!R110*参数!$B$7*IF(AND(卡牌总表!F110="能力",卡牌总表!AL110="能力持续"),参数!$B$2,1)+卡牌总表!V110*参数!$B$8+IF(卡牌总表!X110&lt;0,卡牌总表!X110*参数!$B$13,卡牌总表!X110*参数!$B$39)+IF(卡牌总表!AE110&lt;0,卡牌总表!AE110*参数!$B$13,卡牌总表!AE110*参数!$B$12)*参数!$B$2+卡牌总表!AQ110*参数!$B$15+卡牌总表!AB110*参数!$B$11+卡牌总表!AF110*参数!$B$40*参数!$B$2+卡牌总表!AG110*参数!$B$44*参数!$B$2+卡牌总表!AH110*参数!$B$6*参数!$B$2+卡牌总表!AI110*参数!$B$39*参数!$B$2+卡牌总表!AJ110*参数!$B$6*参数!$B$2+卡牌总表!Z110*参数!$B$13-卡牌总表!T110*参数!$B$14-卡牌总表!AD110*参数!$B$13+IF(ISNUMBER(卡牌总表!AU110),卡牌总表!AU110*参数!$B$38,0)-卡牌总表!AV110*参数!$B$41-卡牌总表!AW110*参数!$B$14</f>
        <v>4</v>
      </c>
      <c r="J110">
        <f>IF(AND(卡牌总表!F110="能力",卡牌总表!AL110="能力持续"),(参数!$B$2-1)*参数!$B$3,0)</f>
        <v>0</v>
      </c>
      <c r="K110">
        <f t="shared" si="4"/>
        <v>4</v>
      </c>
      <c r="L110">
        <f>卡牌总表!N110*卡牌总表!O110*参数!$B$5*IF(AND(卡牌总表!F110="能力",卡牌总表!AL110="能力持续"),参数!$B$2,1)+卡牌总表!Q110*参数!$B$6*IF(AND(卡牌总表!F110="能力",卡牌总表!AL110="能力持续"),参数!$B$2,1)+卡牌总表!S110*参数!$B$7*IF(AND(卡牌总表!F110="能力",卡牌总表!AL110="能力持续"),参数!$B$2,1)+卡牌总表!W110*参数!$B$8+IF(卡牌总表!Y110&lt;0,卡牌总表!Y110*参数!$B$13,卡牌总表!Y110*参数!$B$39)+IF(卡牌总表!AE110&lt;0,卡牌总表!AE110*参数!$B$13,卡牌总表!AE110*参数!$B$12)*参数!$B$2+卡牌总表!AR110*参数!$B$15+卡牌总表!AC110*参数!$B$11+卡牌总表!AF110*参数!$B$40*参数!$B$2+卡牌总表!AG110*参数!$B$44*参数!$B$2+卡牌总表!AH110*参数!$B$6*参数!$B$2+卡牌总表!AI110*参数!$B$39*参数!$B$2+卡牌总表!AJ110*参数!$B$6*参数!$B$2+卡牌总表!AA110*参数!$B$13-卡牌总表!U110*参数!$B$14-卡牌总表!AD110*参数!$B$13+IF(ISNUMBER(卡牌总表!AU110),卡牌总表!AU110*参数!$B$38,0)-卡牌总表!AV110*参数!$B$41-卡牌总表!AW110*参数!$B$14</f>
        <v>4</v>
      </c>
      <c r="M110">
        <f>IF(AND(卡牌总表!F110="能力",卡牌总表!AL110="能力持续"),参数!$B$2*参数!$B$3,0)</f>
        <v>0</v>
      </c>
      <c r="N110">
        <f t="shared" si="5"/>
        <v>4</v>
      </c>
      <c r="O110">
        <f>IFERROR(MAX(IF(K110 &gt; 参数!$B$17,参数!$B$17+SQRT(K110-参数!$B$17)*参数!$B$18,K110)-MAX(G110,0)*参数!$B$10,0)/MAX(G110,0.4),0)</f>
        <v>0</v>
      </c>
      <c r="P110">
        <f>IFERROR(MAX(IF(N110 &gt; 参数!$B$17,参数!$B$17+SQRT(N110-参数!$B$17)*参数!$B$18,N110)-MAX(H110,0)*参数!$B$10,0)/MAX(H110,0.4),0)</f>
        <v>0</v>
      </c>
      <c r="Q110">
        <f>卡牌总表!AO110</f>
        <v>0</v>
      </c>
    </row>
    <row r="111" spans="1:17" x14ac:dyDescent="0.3">
      <c r="A111">
        <f t="shared" si="3"/>
        <v>110</v>
      </c>
      <c r="B111" t="str">
        <f>卡牌总表!B111</f>
        <v>silent_escape_plan</v>
      </c>
      <c r="C111" t="str">
        <f>卡牌总表!D111</f>
        <v>逃脱计划</v>
      </c>
      <c r="D111" t="str">
        <f>卡牌总表!F111</f>
        <v>技能</v>
      </c>
      <c r="E111">
        <f>卡牌总表!AL111</f>
        <v>0</v>
      </c>
      <c r="F111">
        <f>卡牌总表!AN111</f>
        <v>0</v>
      </c>
      <c r="G111">
        <f>卡牌总表!AP111</f>
        <v>0.4</v>
      </c>
      <c r="H111">
        <f>IF(ISNUMBER(卡牌总表!H111),IF(AND(卡牌总表!H111=0,卡牌总表!V111=0,卡牌总表!AK111="none"),0.4,IF(卡牌总表!AK111="exhaust",MAX(卡牌总表!H111-卡牌总表!V111,0.4),IF(卡牌总表!AK111="ethereal",MAX(卡牌总表!H111-卡牌总表!V111,0.4),MAX(卡牌总表!H111-卡牌总表!V111,0.4)))),IF(OR(卡牌总表!H111="X",卡牌总表!H111="∞"),0.4,0.4))</f>
        <v>0.4</v>
      </c>
      <c r="I111">
        <f>卡牌总表!M111*卡牌总表!O111*参数!$B$5*IF(AND(卡牌总表!F111="能力",卡牌总表!AL111="能力持续"),参数!$B$2,1)+卡牌总表!P111*参数!$B$6*IF(AND(卡牌总表!F111="能力",卡牌总表!AL111="能力持续"),参数!$B$2,1)+卡牌总表!R111*参数!$B$7*IF(AND(卡牌总表!F111="能力",卡牌总表!AL111="能力持续"),参数!$B$2,1)+卡牌总表!V111*参数!$B$8+IF(卡牌总表!X111&lt;0,卡牌总表!X111*参数!$B$13,卡牌总表!X111*参数!$B$39)+IF(卡牌总表!AE111&lt;0,卡牌总表!AE111*参数!$B$13,卡牌总表!AE111*参数!$B$12)*参数!$B$2+卡牌总表!AQ111*参数!$B$15+卡牌总表!AB111*参数!$B$11+卡牌总表!AF111*参数!$B$40*参数!$B$2+卡牌总表!AG111*参数!$B$44*参数!$B$2+卡牌总表!AH111*参数!$B$6*参数!$B$2+卡牌总表!AI111*参数!$B$39*参数!$B$2+卡牌总表!AJ111*参数!$B$6*参数!$B$2+卡牌总表!Z111*参数!$B$13-卡牌总表!T111*参数!$B$14-卡牌总表!AD111*参数!$B$13+IF(ISNUMBER(卡牌总表!AU111),卡牌总表!AU111*参数!$B$38,0)-卡牌总表!AV111*参数!$B$41-卡牌总表!AW111*参数!$B$14</f>
        <v>4</v>
      </c>
      <c r="J111">
        <f>IF(AND(卡牌总表!F111="能力",卡牌总表!AL111="能力持续"),(参数!$B$2-1)*参数!$B$3,0)</f>
        <v>0</v>
      </c>
      <c r="K111">
        <f t="shared" si="4"/>
        <v>4</v>
      </c>
      <c r="L111">
        <f>卡牌总表!N111*卡牌总表!O111*参数!$B$5*IF(AND(卡牌总表!F111="能力",卡牌总表!AL111="能力持续"),参数!$B$2,1)+卡牌总表!Q111*参数!$B$6*IF(AND(卡牌总表!F111="能力",卡牌总表!AL111="能力持续"),参数!$B$2,1)+卡牌总表!S111*参数!$B$7*IF(AND(卡牌总表!F111="能力",卡牌总表!AL111="能力持续"),参数!$B$2,1)+卡牌总表!W111*参数!$B$8+IF(卡牌总表!Y111&lt;0,卡牌总表!Y111*参数!$B$13,卡牌总表!Y111*参数!$B$39)+IF(卡牌总表!AE111&lt;0,卡牌总表!AE111*参数!$B$13,卡牌总表!AE111*参数!$B$12)*参数!$B$2+卡牌总表!AR111*参数!$B$15+卡牌总表!AC111*参数!$B$11+卡牌总表!AF111*参数!$B$40*参数!$B$2+卡牌总表!AG111*参数!$B$44*参数!$B$2+卡牌总表!AH111*参数!$B$6*参数!$B$2+卡牌总表!AI111*参数!$B$39*参数!$B$2+卡牌总表!AJ111*参数!$B$6*参数!$B$2+卡牌总表!AA111*参数!$B$13-卡牌总表!U111*参数!$B$14-卡牌总表!AD111*参数!$B$13+IF(ISNUMBER(卡牌总表!AU111),卡牌总表!AU111*参数!$B$38,0)-卡牌总表!AV111*参数!$B$41-卡牌总表!AW111*参数!$B$14</f>
        <v>6.2</v>
      </c>
      <c r="M111">
        <f>IF(AND(卡牌总表!F111="能力",卡牌总表!AL111="能力持续"),参数!$B$2*参数!$B$3,0)</f>
        <v>0</v>
      </c>
      <c r="N111">
        <f t="shared" si="5"/>
        <v>6.2</v>
      </c>
      <c r="O111">
        <f>IFERROR(MAX(IF(K111 &gt; 参数!$B$17,参数!$B$17+SQRT(K111-参数!$B$17)*参数!$B$18,K111)-MAX(G111,0)*参数!$B$10,0)/MAX(G111,0.4),0)</f>
        <v>6.9999999999999991</v>
      </c>
      <c r="P111">
        <f>IFERROR(MAX(IF(N111 &gt; 参数!$B$17,参数!$B$17+SQRT(N111-参数!$B$17)*参数!$B$18,N111)-MAX(H111,0)*参数!$B$10,0)/MAX(H111,0.4),0)</f>
        <v>12.5</v>
      </c>
      <c r="Q111">
        <f>卡牌总表!AO111</f>
        <v>0</v>
      </c>
    </row>
    <row r="112" spans="1:17" x14ac:dyDescent="0.3">
      <c r="A112">
        <f t="shared" si="3"/>
        <v>111</v>
      </c>
      <c r="B112" t="str">
        <f>卡牌总表!B112</f>
        <v>silent_expertise</v>
      </c>
      <c r="C112" t="str">
        <f>卡牌总表!D112</f>
        <v>专长</v>
      </c>
      <c r="D112" t="str">
        <f>卡牌总表!F112</f>
        <v>技能</v>
      </c>
      <c r="E112">
        <f>卡牌总表!AL112</f>
        <v>0</v>
      </c>
      <c r="F112">
        <f>卡牌总表!AN112</f>
        <v>0</v>
      </c>
      <c r="G112">
        <f>卡牌总表!AP112</f>
        <v>1</v>
      </c>
      <c r="H112">
        <f>IF(ISNUMBER(卡牌总表!H112),IF(AND(卡牌总表!H112=0,卡牌总表!V112=0,卡牌总表!AK112="none"),0.4,IF(卡牌总表!AK112="exhaust",MAX(卡牌总表!H112-卡牌总表!V112,0.4),IF(卡牌总表!AK112="ethereal",MAX(卡牌总表!H112-卡牌总表!V112,0.4),MAX(卡牌总表!H112-卡牌总表!V112,0.4)))),IF(OR(卡牌总表!H112="X",卡牌总表!H112="∞"),0.4,0.4))</f>
        <v>1</v>
      </c>
      <c r="I112">
        <f>卡牌总表!M112*卡牌总表!O112*参数!$B$5*IF(AND(卡牌总表!F112="能力",卡牌总表!AL112="能力持续"),参数!$B$2,1)+卡牌总表!P112*参数!$B$6*IF(AND(卡牌总表!F112="能力",卡牌总表!AL112="能力持续"),参数!$B$2,1)+卡牌总表!R112*参数!$B$7*IF(AND(卡牌总表!F112="能力",卡牌总表!AL112="能力持续"),参数!$B$2,1)+卡牌总表!V112*参数!$B$8+IF(卡牌总表!X112&lt;0,卡牌总表!X112*参数!$B$13,卡牌总表!X112*参数!$B$39)+IF(卡牌总表!AE112&lt;0,卡牌总表!AE112*参数!$B$13,卡牌总表!AE112*参数!$B$12)*参数!$B$2+卡牌总表!AQ112*参数!$B$15+卡牌总表!AB112*参数!$B$11+卡牌总表!AF112*参数!$B$40*参数!$B$2+卡牌总表!AG112*参数!$B$44*参数!$B$2+卡牌总表!AH112*参数!$B$6*参数!$B$2+卡牌总表!AI112*参数!$B$39*参数!$B$2+卡牌总表!AJ112*参数!$B$6*参数!$B$2+卡牌总表!Z112*参数!$B$13-卡牌总表!T112*参数!$B$14-卡牌总表!AD112*参数!$B$13+IF(ISNUMBER(卡牌总表!AU112),卡牌总表!AU112*参数!$B$38,0)-卡牌总表!AV112*参数!$B$41-卡牌总表!AW112*参数!$B$14</f>
        <v>2.0999999999999996</v>
      </c>
      <c r="J112">
        <f>IF(AND(卡牌总表!F112="能力",卡牌总表!AL112="能力持续"),(参数!$B$2-1)*参数!$B$3,0)</f>
        <v>0</v>
      </c>
      <c r="K112">
        <f t="shared" si="4"/>
        <v>2.0999999999999996</v>
      </c>
      <c r="L112">
        <f>卡牌总表!N112*卡牌总表!O112*参数!$B$5*IF(AND(卡牌总表!F112="能力",卡牌总表!AL112="能力持续"),参数!$B$2,1)+卡牌总表!Q112*参数!$B$6*IF(AND(卡牌总表!F112="能力",卡牌总表!AL112="能力持续"),参数!$B$2,1)+卡牌总表!S112*参数!$B$7*IF(AND(卡牌总表!F112="能力",卡牌总表!AL112="能力持续"),参数!$B$2,1)+卡牌总表!W112*参数!$B$8+IF(卡牌总表!Y112&lt;0,卡牌总表!Y112*参数!$B$13,卡牌总表!Y112*参数!$B$39)+IF(卡牌总表!AE112&lt;0,卡牌总表!AE112*参数!$B$13,卡牌总表!AE112*参数!$B$12)*参数!$B$2+卡牌总表!AR112*参数!$B$15+卡牌总表!AC112*参数!$B$11+卡牌总表!AF112*参数!$B$40*参数!$B$2+卡牌总表!AG112*参数!$B$44*参数!$B$2+卡牌总表!AH112*参数!$B$6*参数!$B$2+卡牌总表!AI112*参数!$B$39*参数!$B$2+卡牌总表!AJ112*参数!$B$6*参数!$B$2+卡牌总表!AA112*参数!$B$13-卡牌总表!U112*参数!$B$14-卡牌总表!AD112*参数!$B$13+IF(ISNUMBER(卡牌总表!AU112),卡牌总表!AU112*参数!$B$38,0)-卡牌总表!AV112*参数!$B$41-卡牌总表!AW112*参数!$B$14</f>
        <v>0</v>
      </c>
      <c r="M112">
        <f>IF(AND(卡牌总表!F112="能力",卡牌总表!AL112="能力持续"),参数!$B$2*参数!$B$3,0)</f>
        <v>0</v>
      </c>
      <c r="N112">
        <f t="shared" si="5"/>
        <v>0</v>
      </c>
      <c r="O112">
        <f>IFERROR(MAX(IF(K112 &gt; 参数!$B$17,参数!$B$17+SQRT(K112-参数!$B$17)*参数!$B$18,K112)-MAX(G112,0)*参数!$B$10,0)/MAX(G112,0.4),0)</f>
        <v>0</v>
      </c>
      <c r="P112">
        <f>IFERROR(MAX(IF(N112 &gt; 参数!$B$17,参数!$B$17+SQRT(N112-参数!$B$17)*参数!$B$18,N112)-MAX(H112,0)*参数!$B$10,0)/MAX(H112,0.4),0)</f>
        <v>0</v>
      </c>
      <c r="Q112">
        <f>卡牌总表!AO112</f>
        <v>0</v>
      </c>
    </row>
    <row r="113" spans="1:17" x14ac:dyDescent="0.3">
      <c r="A113">
        <f t="shared" si="3"/>
        <v>112</v>
      </c>
      <c r="B113" t="str">
        <f>卡牌总表!B113</f>
        <v>silent_expose</v>
      </c>
      <c r="C113" t="str">
        <f>卡牌总表!D113</f>
        <v>暴露</v>
      </c>
      <c r="D113" t="str">
        <f>卡牌总表!F113</f>
        <v>技能</v>
      </c>
      <c r="E113">
        <f>卡牌总表!AL113</f>
        <v>0</v>
      </c>
      <c r="F113">
        <f>卡牌总表!AN113</f>
        <v>0</v>
      </c>
      <c r="G113">
        <f>卡牌总表!AP113</f>
        <v>0.4</v>
      </c>
      <c r="H113">
        <f>IF(ISNUMBER(卡牌总表!H113),IF(AND(卡牌总表!H113=0,卡牌总表!V113=0,卡牌总表!AK113="none"),0.4,IF(卡牌总表!AK113="exhaust",MAX(卡牌总表!H113-卡牌总表!V113,0.4),IF(卡牌总表!AK113="ethereal",MAX(卡牌总表!H113-卡牌总表!V113,0.4),MAX(卡牌总表!H113-卡牌总表!V113,0.4)))),IF(OR(卡牌总表!H113="X",卡牌总表!H113="∞"),0.4,0.4))</f>
        <v>0.4</v>
      </c>
      <c r="I113">
        <f>卡牌总表!M113*卡牌总表!O113*参数!$B$5*IF(AND(卡牌总表!F113="能力",卡牌总表!AL113="能力持续"),参数!$B$2,1)+卡牌总表!P113*参数!$B$6*IF(AND(卡牌总表!F113="能力",卡牌总表!AL113="能力持续"),参数!$B$2,1)+卡牌总表!R113*参数!$B$7*IF(AND(卡牌总表!F113="能力",卡牌总表!AL113="能力持续"),参数!$B$2,1)+卡牌总表!V113*参数!$B$8+IF(卡牌总表!X113&lt;0,卡牌总表!X113*参数!$B$13,卡牌总表!X113*参数!$B$39)+IF(卡牌总表!AE113&lt;0,卡牌总表!AE113*参数!$B$13,卡牌总表!AE113*参数!$B$12)*参数!$B$2+卡牌总表!AQ113*参数!$B$15+卡牌总表!AB113*参数!$B$11+卡牌总表!AF113*参数!$B$40*参数!$B$2+卡牌总表!AG113*参数!$B$44*参数!$B$2+卡牌总表!AH113*参数!$B$6*参数!$B$2+卡牌总表!AI113*参数!$B$39*参数!$B$2+卡牌总表!AJ113*参数!$B$6*参数!$B$2+卡牌总表!Z113*参数!$B$13-卡牌总表!T113*参数!$B$14-卡牌总表!AD113*参数!$B$13+IF(ISNUMBER(卡牌总表!AU113),卡牌总表!AU113*参数!$B$38,0)-卡牌总表!AV113*参数!$B$41-卡牌总表!AW113*参数!$B$14</f>
        <v>2.6</v>
      </c>
      <c r="J113">
        <f>IF(AND(卡牌总表!F113="能力",卡牌总表!AL113="能力持续"),(参数!$B$2-1)*参数!$B$3,0)</f>
        <v>0</v>
      </c>
      <c r="K113">
        <f t="shared" si="4"/>
        <v>2.6</v>
      </c>
      <c r="L113">
        <f>卡牌总表!N113*卡牌总表!O113*参数!$B$5*IF(AND(卡牌总表!F113="能力",卡牌总表!AL113="能力持续"),参数!$B$2,1)+卡牌总表!Q113*参数!$B$6*IF(AND(卡牌总表!F113="能力",卡牌总表!AL113="能力持续"),参数!$B$2,1)+卡牌总表!S113*参数!$B$7*IF(AND(卡牌总表!F113="能力",卡牌总表!AL113="能力持续"),参数!$B$2,1)+卡牌总表!W113*参数!$B$8+IF(卡牌总表!Y113&lt;0,卡牌总表!Y113*参数!$B$13,卡牌总表!Y113*参数!$B$39)+IF(卡牌总表!AE113&lt;0,卡牌总表!AE113*参数!$B$13,卡牌总表!AE113*参数!$B$12)*参数!$B$2+卡牌总表!AR113*参数!$B$15+卡牌总表!AC113*参数!$B$11+卡牌总表!AF113*参数!$B$40*参数!$B$2+卡牌总表!AG113*参数!$B$44*参数!$B$2+卡牌总表!AH113*参数!$B$6*参数!$B$2+卡牌总表!AI113*参数!$B$39*参数!$B$2+卡牌总表!AJ113*参数!$B$6*参数!$B$2+卡牌总表!AA113*参数!$B$13-卡牌总表!U113*参数!$B$14-卡牌总表!AD113*参数!$B$13+IF(ISNUMBER(卡牌总表!AU113),卡牌总表!AU113*参数!$B$38,0)-卡牌总表!AV113*参数!$B$41-卡牌总表!AW113*参数!$B$14</f>
        <v>3.9000000000000004</v>
      </c>
      <c r="M113">
        <f>IF(AND(卡牌总表!F113="能力",卡牌总表!AL113="能力持续"),参数!$B$2*参数!$B$3,0)</f>
        <v>0</v>
      </c>
      <c r="N113">
        <f t="shared" si="5"/>
        <v>3.9000000000000004</v>
      </c>
      <c r="O113">
        <f>IFERROR(MAX(IF(K113 &gt; 参数!$B$17,参数!$B$17+SQRT(K113-参数!$B$17)*参数!$B$18,K113)-MAX(G113,0)*参数!$B$10,0)/MAX(G113,0.4),0)</f>
        <v>3.4999999999999996</v>
      </c>
      <c r="P113">
        <f>IFERROR(MAX(IF(N113 &gt; 参数!$B$17,参数!$B$17+SQRT(N113-参数!$B$17)*参数!$B$18,N113)-MAX(H113,0)*参数!$B$10,0)/MAX(H113,0.4),0)</f>
        <v>6.75</v>
      </c>
      <c r="Q113">
        <f>卡牌总表!AO113</f>
        <v>0</v>
      </c>
    </row>
    <row r="114" spans="1:17" x14ac:dyDescent="0.3">
      <c r="A114">
        <f t="shared" si="3"/>
        <v>113</v>
      </c>
      <c r="B114" t="str">
        <f>卡牌总表!B114</f>
        <v>silent_fan_of_knives</v>
      </c>
      <c r="C114" t="str">
        <f>卡牌总表!D114</f>
        <v>刀扇</v>
      </c>
      <c r="D114" t="str">
        <f>卡牌总表!F114</f>
        <v>能力</v>
      </c>
      <c r="E114">
        <f>卡牌总表!AL114</f>
        <v>0</v>
      </c>
      <c r="F114" t="str">
        <f>卡牌总表!AN114</f>
        <v>群体攻击，能力</v>
      </c>
      <c r="G114">
        <f>卡牌总表!AP114</f>
        <v>2</v>
      </c>
      <c r="H114">
        <f>IF(ISNUMBER(卡牌总表!H114),IF(AND(卡牌总表!H114=0,卡牌总表!V114=0,卡牌总表!AK114="none"),0.4,IF(卡牌总表!AK114="exhaust",MAX(卡牌总表!H114-卡牌总表!V114,0.4),IF(卡牌总表!AK114="ethereal",MAX(卡牌总表!H114-卡牌总表!V114,0.4),MAX(卡牌总表!H114-卡牌总表!V114,0.4)))),IF(OR(卡牌总表!H114="X",卡牌总表!H114="∞"),0.4,0.4))</f>
        <v>2</v>
      </c>
      <c r="I114">
        <f>卡牌总表!M114*卡牌总表!O114*参数!$B$5*IF(AND(卡牌总表!F114="能力",卡牌总表!AL114="能力持续"),参数!$B$2,1)+卡牌总表!P114*参数!$B$6*IF(AND(卡牌总表!F114="能力",卡牌总表!AL114="能力持续"),参数!$B$2,1)+卡牌总表!R114*参数!$B$7*IF(AND(卡牌总表!F114="能力",卡牌总表!AL114="能力持续"),参数!$B$2,1)+卡牌总表!V114*参数!$B$8+IF(卡牌总表!X114&lt;0,卡牌总表!X114*参数!$B$13,卡牌总表!X114*参数!$B$39)+IF(卡牌总表!AE114&lt;0,卡牌总表!AE114*参数!$B$13,卡牌总表!AE114*参数!$B$12)*参数!$B$2+卡牌总表!AQ114*参数!$B$15+卡牌总表!AB114*参数!$B$11+卡牌总表!AF114*参数!$B$40*参数!$B$2+卡牌总表!AG114*参数!$B$44*参数!$B$2+卡牌总表!AH114*参数!$B$6*参数!$B$2+卡牌总表!AI114*参数!$B$39*参数!$B$2+卡牌总表!AJ114*参数!$B$6*参数!$B$2+卡牌总表!Z114*参数!$B$13-卡牌总表!T114*参数!$B$14-卡牌总表!AD114*参数!$B$13+IF(ISNUMBER(卡牌总表!AU114),卡牌总表!AU114*参数!$B$38,0)-卡牌总表!AV114*参数!$B$41-卡牌总表!AW114*参数!$B$14</f>
        <v>16</v>
      </c>
      <c r="J114">
        <f>IF(AND(卡牌总表!F114="能力",卡牌总表!AL114="能力持续"),(参数!$B$2-1)*参数!$B$3,0)</f>
        <v>0</v>
      </c>
      <c r="K114">
        <f t="shared" si="4"/>
        <v>16</v>
      </c>
      <c r="L114">
        <f>卡牌总表!N114*卡牌总表!O114*参数!$B$5*IF(AND(卡牌总表!F114="能力",卡牌总表!AL114="能力持续"),参数!$B$2,1)+卡牌总表!Q114*参数!$B$6*IF(AND(卡牌总表!F114="能力",卡牌总表!AL114="能力持续"),参数!$B$2,1)+卡牌总表!S114*参数!$B$7*IF(AND(卡牌总表!F114="能力",卡牌总表!AL114="能力持续"),参数!$B$2,1)+卡牌总表!W114*参数!$B$8+IF(卡牌总表!Y114&lt;0,卡牌总表!Y114*参数!$B$13,卡牌总表!Y114*参数!$B$39)+IF(卡牌总表!AE114&lt;0,卡牌总表!AE114*参数!$B$13,卡牌总表!AE114*参数!$B$12)*参数!$B$2+卡牌总表!AR114*参数!$B$15+卡牌总表!AC114*参数!$B$11+卡牌总表!AF114*参数!$B$40*参数!$B$2+卡牌总表!AG114*参数!$B$44*参数!$B$2+卡牌总表!AH114*参数!$B$6*参数!$B$2+卡牌总表!AI114*参数!$B$39*参数!$B$2+卡牌总表!AJ114*参数!$B$6*参数!$B$2+卡牌总表!AA114*参数!$B$13-卡牌总表!U114*参数!$B$14-卡牌总表!AD114*参数!$B$13+IF(ISNUMBER(卡牌总表!AU114),卡牌总表!AU114*参数!$B$38,0)-卡牌总表!AV114*参数!$B$41-卡牌总表!AW114*参数!$B$14</f>
        <v>0</v>
      </c>
      <c r="M114">
        <f>IF(AND(卡牌总表!F114="能力",卡牌总表!AL114="能力持续"),参数!$B$2*参数!$B$3,0)</f>
        <v>0</v>
      </c>
      <c r="N114">
        <f t="shared" si="5"/>
        <v>0</v>
      </c>
      <c r="O114">
        <f>IFERROR(MAX(IF(K114 &gt; 参数!$B$17,参数!$B$17+SQRT(K114-参数!$B$17)*参数!$B$18,K114)-MAX(G114,0)*参数!$B$10,0)/MAX(G114,0.4),0)</f>
        <v>3.8371173070873832</v>
      </c>
      <c r="P114">
        <f>IFERROR(MAX(IF(N114 &gt; 参数!$B$17,参数!$B$17+SQRT(N114-参数!$B$17)*参数!$B$18,N114)-MAX(H114,0)*参数!$B$10,0)/MAX(H114,0.4),0)</f>
        <v>0</v>
      </c>
      <c r="Q114">
        <f>卡牌总表!AO114</f>
        <v>0</v>
      </c>
    </row>
    <row r="115" spans="1:17" x14ac:dyDescent="0.3">
      <c r="A115">
        <f t="shared" si="3"/>
        <v>114</v>
      </c>
      <c r="B115" t="str">
        <f>卡牌总表!B115</f>
        <v>silent_finisher</v>
      </c>
      <c r="C115" t="str">
        <f>卡牌总表!D115</f>
        <v>终结技</v>
      </c>
      <c r="D115" t="str">
        <f>卡牌总表!F115</f>
        <v>攻击</v>
      </c>
      <c r="E115">
        <f>卡牌总表!AL115</f>
        <v>0</v>
      </c>
      <c r="F115" t="str">
        <f>卡牌总表!AN115</f>
        <v>本回合</v>
      </c>
      <c r="G115">
        <f>卡牌总表!AP115</f>
        <v>1</v>
      </c>
      <c r="H115">
        <f>IF(ISNUMBER(卡牌总表!H115),IF(AND(卡牌总表!H115=0,卡牌总表!V115=0,卡牌总表!AK115="none"),0.4,IF(卡牌总表!AK115="exhaust",MAX(卡牌总表!H115-卡牌总表!V115,0.4),IF(卡牌总表!AK115="ethereal",MAX(卡牌总表!H115-卡牌总表!V115,0.4),MAX(卡牌总表!H115-卡牌总表!V115,0.4)))),IF(OR(卡牌总表!H115="X",卡牌总表!H115="∞"),0.4,0.4))</f>
        <v>1</v>
      </c>
      <c r="I115">
        <f>卡牌总表!M115*卡牌总表!O115*参数!$B$5*IF(AND(卡牌总表!F115="能力",卡牌总表!AL115="能力持续"),参数!$B$2,1)+卡牌总表!P115*参数!$B$6*IF(AND(卡牌总表!F115="能力",卡牌总表!AL115="能力持续"),参数!$B$2,1)+卡牌总表!R115*参数!$B$7*IF(AND(卡牌总表!F115="能力",卡牌总表!AL115="能力持续"),参数!$B$2,1)+卡牌总表!V115*参数!$B$8+IF(卡牌总表!X115&lt;0,卡牌总表!X115*参数!$B$13,卡牌总表!X115*参数!$B$39)+IF(卡牌总表!AE115&lt;0,卡牌总表!AE115*参数!$B$13,卡牌总表!AE115*参数!$B$12)*参数!$B$2+卡牌总表!AQ115*参数!$B$15+卡牌总表!AB115*参数!$B$11+卡牌总表!AF115*参数!$B$40*参数!$B$2+卡牌总表!AG115*参数!$B$44*参数!$B$2+卡牌总表!AH115*参数!$B$6*参数!$B$2+卡牌总表!AI115*参数!$B$39*参数!$B$2+卡牌总表!AJ115*参数!$B$6*参数!$B$2+卡牌总表!Z115*参数!$B$13-卡牌总表!T115*参数!$B$14-卡牌总表!AD115*参数!$B$13+IF(ISNUMBER(卡牌总表!AU115),卡牌总表!AU115*参数!$B$38,0)-卡牌总表!AV115*参数!$B$41-卡牌总表!AW115*参数!$B$14</f>
        <v>12</v>
      </c>
      <c r="J115">
        <f>IF(AND(卡牌总表!F115="能力",卡牌总表!AL115="能力持续"),(参数!$B$2-1)*参数!$B$3,0)</f>
        <v>0</v>
      </c>
      <c r="K115">
        <f t="shared" si="4"/>
        <v>12</v>
      </c>
      <c r="L115">
        <f>卡牌总表!N115*卡牌总表!O115*参数!$B$5*IF(AND(卡牌总表!F115="能力",卡牌总表!AL115="能力持续"),参数!$B$2,1)+卡牌总表!Q115*参数!$B$6*IF(AND(卡牌总表!F115="能力",卡牌总表!AL115="能力持续"),参数!$B$2,1)+卡牌总表!S115*参数!$B$7*IF(AND(卡牌总表!F115="能力",卡牌总表!AL115="能力持续"),参数!$B$2,1)+卡牌总表!W115*参数!$B$8+IF(卡牌总表!Y115&lt;0,卡牌总表!Y115*参数!$B$13,卡牌总表!Y115*参数!$B$39)+IF(卡牌总表!AE115&lt;0,卡牌总表!AE115*参数!$B$13,卡牌总表!AE115*参数!$B$12)*参数!$B$2+卡牌总表!AR115*参数!$B$15+卡牌总表!AC115*参数!$B$11+卡牌总表!AF115*参数!$B$40*参数!$B$2+卡牌总表!AG115*参数!$B$44*参数!$B$2+卡牌总表!AH115*参数!$B$6*参数!$B$2+卡牌总表!AI115*参数!$B$39*参数!$B$2+卡牌总表!AJ115*参数!$B$6*参数!$B$2+卡牌总表!AA115*参数!$B$13-卡牌总表!U115*参数!$B$14-卡牌总表!AD115*参数!$B$13+IF(ISNUMBER(卡牌总表!AU115),卡牌总表!AU115*参数!$B$38,0)-卡牌总表!AV115*参数!$B$41-卡牌总表!AW115*参数!$B$14</f>
        <v>12</v>
      </c>
      <c r="M115">
        <f>IF(AND(卡牌总表!F115="能力",卡牌总表!AL115="能力持续"),参数!$B$2*参数!$B$3,0)</f>
        <v>0</v>
      </c>
      <c r="N115">
        <f t="shared" si="5"/>
        <v>12</v>
      </c>
      <c r="O115">
        <f>IFERROR(MAX(IF(K115 &gt; 参数!$B$17,参数!$B$17+SQRT(K115-参数!$B$17)*参数!$B$18,K115)-MAX(G115,0)*参数!$B$10,0)/MAX(G115,0.4),0)</f>
        <v>9.1213203435596419</v>
      </c>
      <c r="P115">
        <f>IFERROR(MAX(IF(N115 &gt; 参数!$B$17,参数!$B$17+SQRT(N115-参数!$B$17)*参数!$B$18,N115)-MAX(H115,0)*参数!$B$10,0)/MAX(H115,0.4),0)</f>
        <v>9.1213203435596419</v>
      </c>
      <c r="Q115">
        <f>卡牌总表!AO115</f>
        <v>0</v>
      </c>
    </row>
    <row r="116" spans="1:17" x14ac:dyDescent="0.3">
      <c r="A116">
        <f t="shared" si="3"/>
        <v>115</v>
      </c>
      <c r="B116" t="str">
        <f>卡牌总表!B116</f>
        <v>silent_flanking</v>
      </c>
      <c r="C116" t="str">
        <f>卡牌总表!D116</f>
        <v>夹击</v>
      </c>
      <c r="D116" t="str">
        <f>卡牌总表!F116</f>
        <v>技能</v>
      </c>
      <c r="E116">
        <f>卡牌总表!AL116</f>
        <v>0</v>
      </c>
      <c r="F116" t="str">
        <f>卡牌总表!AN116</f>
        <v>本回合</v>
      </c>
      <c r="G116">
        <f>卡牌总表!AP116</f>
        <v>2</v>
      </c>
      <c r="H116">
        <f>IF(ISNUMBER(卡牌总表!H116),IF(AND(卡牌总表!H116=0,卡牌总表!V116=0,卡牌总表!AK116="none"),0.4,IF(卡牌总表!AK116="exhaust",MAX(卡牌总表!H116-卡牌总表!V116,0.4),IF(卡牌总表!AK116="ethereal",MAX(卡牌总表!H116-卡牌总表!V116,0.4),MAX(卡牌总表!H116-卡牌总表!V116,0.4)))),IF(OR(卡牌总表!H116="X",卡牌总表!H116="∞"),0.4,0.4))</f>
        <v>2</v>
      </c>
      <c r="I116">
        <f>卡牌总表!M116*卡牌总表!O116*参数!$B$5*IF(AND(卡牌总表!F116="能力",卡牌总表!AL116="能力持续"),参数!$B$2,1)+卡牌总表!P116*参数!$B$6*IF(AND(卡牌总表!F116="能力",卡牌总表!AL116="能力持续"),参数!$B$2,1)+卡牌总表!R116*参数!$B$7*IF(AND(卡牌总表!F116="能力",卡牌总表!AL116="能力持续"),参数!$B$2,1)+卡牌总表!V116*参数!$B$8+IF(卡牌总表!X116&lt;0,卡牌总表!X116*参数!$B$13,卡牌总表!X116*参数!$B$39)+IF(卡牌总表!AE116&lt;0,卡牌总表!AE116*参数!$B$13,卡牌总表!AE116*参数!$B$12)*参数!$B$2+卡牌总表!AQ116*参数!$B$15+卡牌总表!AB116*参数!$B$11+卡牌总表!AF116*参数!$B$40*参数!$B$2+卡牌总表!AG116*参数!$B$44*参数!$B$2+卡牌总表!AH116*参数!$B$6*参数!$B$2+卡牌总表!AI116*参数!$B$39*参数!$B$2+卡牌总表!AJ116*参数!$B$6*参数!$B$2+卡牌总表!Z116*参数!$B$13-卡牌总表!T116*参数!$B$14-卡牌总表!AD116*参数!$B$13+IF(ISNUMBER(卡牌总表!AU116),卡牌总表!AU116*参数!$B$38,0)-卡牌总表!AV116*参数!$B$41-卡牌总表!AW116*参数!$B$14</f>
        <v>45</v>
      </c>
      <c r="J116">
        <f>IF(AND(卡牌总表!F116="能力",卡牌总表!AL116="能力持续"),(参数!$B$2-1)*参数!$B$3,0)</f>
        <v>0</v>
      </c>
      <c r="K116">
        <f t="shared" si="4"/>
        <v>45</v>
      </c>
      <c r="L116">
        <f>卡牌总表!N116*卡牌总表!O116*参数!$B$5*IF(AND(卡牌总表!F116="能力",卡牌总表!AL116="能力持续"),参数!$B$2,1)+卡牌总表!Q116*参数!$B$6*IF(AND(卡牌总表!F116="能力",卡牌总表!AL116="能力持续"),参数!$B$2,1)+卡牌总表!S116*参数!$B$7*IF(AND(卡牌总表!F116="能力",卡牌总表!AL116="能力持续"),参数!$B$2,1)+卡牌总表!W116*参数!$B$8+IF(卡牌总表!Y116&lt;0,卡牌总表!Y116*参数!$B$13,卡牌总表!Y116*参数!$B$39)+IF(卡牌总表!AE116&lt;0,卡牌总表!AE116*参数!$B$13,卡牌总表!AE116*参数!$B$12)*参数!$B$2+卡牌总表!AR116*参数!$B$15+卡牌总表!AC116*参数!$B$11+卡牌总表!AF116*参数!$B$40*参数!$B$2+卡牌总表!AG116*参数!$B$44*参数!$B$2+卡牌总表!AH116*参数!$B$6*参数!$B$2+卡牌总表!AI116*参数!$B$39*参数!$B$2+卡牌总表!AJ116*参数!$B$6*参数!$B$2+卡牌总表!AA116*参数!$B$13-卡牌总表!U116*参数!$B$14-卡牌总表!AD116*参数!$B$13+IF(ISNUMBER(卡牌总表!AU116),卡牌总表!AU116*参数!$B$38,0)-卡牌总表!AV116*参数!$B$41-卡牌总表!AW116*参数!$B$14</f>
        <v>0</v>
      </c>
      <c r="M116">
        <f>IF(AND(卡牌总表!F116="能力",卡牌总表!AL116="能力持续"),参数!$B$2*参数!$B$3,0)</f>
        <v>0</v>
      </c>
      <c r="N116">
        <f t="shared" si="5"/>
        <v>0</v>
      </c>
      <c r="O116">
        <f>IFERROR(MAX(IF(K116 &gt; 参数!$B$17,参数!$B$17+SQRT(K116-参数!$B$17)*参数!$B$18,K116)-MAX(G116,0)*参数!$B$10,0)/MAX(G116,0.4),0)</f>
        <v>6.4370598373247123</v>
      </c>
      <c r="P116">
        <f>IFERROR(MAX(IF(N116 &gt; 参数!$B$17,参数!$B$17+SQRT(N116-参数!$B$17)*参数!$B$18,N116)-MAX(H116,0)*参数!$B$10,0)/MAX(H116,0.4),0)</f>
        <v>0</v>
      </c>
      <c r="Q116">
        <f>卡牌总表!AO116</f>
        <v>0</v>
      </c>
    </row>
    <row r="117" spans="1:17" x14ac:dyDescent="0.3">
      <c r="A117">
        <f t="shared" si="3"/>
        <v>116</v>
      </c>
      <c r="B117" t="str">
        <f>卡牌总表!B117</f>
        <v>silent_flechettes</v>
      </c>
      <c r="C117" t="str">
        <f>卡牌总表!D117</f>
        <v>飞镖</v>
      </c>
      <c r="D117" t="str">
        <f>卡牌总表!F117</f>
        <v>攻击</v>
      </c>
      <c r="E117">
        <f>卡牌总表!AL117</f>
        <v>0</v>
      </c>
      <c r="F117">
        <f>卡牌总表!AN117</f>
        <v>0</v>
      </c>
      <c r="G117">
        <f>卡牌总表!AP117</f>
        <v>1</v>
      </c>
      <c r="H117">
        <f>IF(ISNUMBER(卡牌总表!H117),IF(AND(卡牌总表!H117=0,卡牌总表!V117=0,卡牌总表!AK117="none"),0.4,IF(卡牌总表!AK117="exhaust",MAX(卡牌总表!H117-卡牌总表!V117,0.4),IF(卡牌总表!AK117="ethereal",MAX(卡牌总表!H117-卡牌总表!V117,0.4),MAX(卡牌总表!H117-卡牌总表!V117,0.4)))),IF(OR(卡牌总表!H117="X",卡牌总表!H117="∞"),0.4,0.4))</f>
        <v>1</v>
      </c>
      <c r="I117">
        <f>卡牌总表!M117*卡牌总表!O117*参数!$B$5*IF(AND(卡牌总表!F117="能力",卡牌总表!AL117="能力持续"),参数!$B$2,1)+卡牌总表!P117*参数!$B$6*IF(AND(卡牌总表!F117="能力",卡牌总表!AL117="能力持续"),参数!$B$2,1)+卡牌总表!R117*参数!$B$7*IF(AND(卡牌总表!F117="能力",卡牌总表!AL117="能力持续"),参数!$B$2,1)+卡牌总表!V117*参数!$B$8+IF(卡牌总表!X117&lt;0,卡牌总表!X117*参数!$B$13,卡牌总表!X117*参数!$B$39)+IF(卡牌总表!AE117&lt;0,卡牌总表!AE117*参数!$B$13,卡牌总表!AE117*参数!$B$12)*参数!$B$2+卡牌总表!AQ117*参数!$B$15+卡牌总表!AB117*参数!$B$11+卡牌总表!AF117*参数!$B$40*参数!$B$2+卡牌总表!AG117*参数!$B$44*参数!$B$2+卡牌总表!AH117*参数!$B$6*参数!$B$2+卡牌总表!AI117*参数!$B$39*参数!$B$2+卡牌总表!AJ117*参数!$B$6*参数!$B$2+卡牌总表!Z117*参数!$B$13-卡牌总表!T117*参数!$B$14-卡牌总表!AD117*参数!$B$13+IF(ISNUMBER(卡牌总表!AU117),卡牌总表!AU117*参数!$B$38,0)-卡牌总表!AV117*参数!$B$41-卡牌总表!AW117*参数!$B$14</f>
        <v>10</v>
      </c>
      <c r="J117">
        <f>IF(AND(卡牌总表!F117="能力",卡牌总表!AL117="能力持续"),(参数!$B$2-1)*参数!$B$3,0)</f>
        <v>0</v>
      </c>
      <c r="K117">
        <f t="shared" si="4"/>
        <v>10</v>
      </c>
      <c r="L117">
        <f>卡牌总表!N117*卡牌总表!O117*参数!$B$5*IF(AND(卡牌总表!F117="能力",卡牌总表!AL117="能力持续"),参数!$B$2,1)+卡牌总表!Q117*参数!$B$6*IF(AND(卡牌总表!F117="能力",卡牌总表!AL117="能力持续"),参数!$B$2,1)+卡牌总表!S117*参数!$B$7*IF(AND(卡牌总表!F117="能力",卡牌总表!AL117="能力持续"),参数!$B$2,1)+卡牌总表!W117*参数!$B$8+IF(卡牌总表!Y117&lt;0,卡牌总表!Y117*参数!$B$13,卡牌总表!Y117*参数!$B$39)+IF(卡牌总表!AE117&lt;0,卡牌总表!AE117*参数!$B$13,卡牌总表!AE117*参数!$B$12)*参数!$B$2+卡牌总表!AR117*参数!$B$15+卡牌总表!AC117*参数!$B$11+卡牌总表!AF117*参数!$B$40*参数!$B$2+卡牌总表!AG117*参数!$B$44*参数!$B$2+卡牌总表!AH117*参数!$B$6*参数!$B$2+卡牌总表!AI117*参数!$B$39*参数!$B$2+卡牌总表!AJ117*参数!$B$6*参数!$B$2+卡牌总表!AA117*参数!$B$13-卡牌总表!U117*参数!$B$14-卡牌总表!AD117*参数!$B$13+IF(ISNUMBER(卡牌总表!AU117),卡牌总表!AU117*参数!$B$38,0)-卡牌总表!AV117*参数!$B$41-卡牌总表!AW117*参数!$B$14</f>
        <v>10</v>
      </c>
      <c r="M117">
        <f>IF(AND(卡牌总表!F117="能力",卡牌总表!AL117="能力持续"),参数!$B$2*参数!$B$3,0)</f>
        <v>0</v>
      </c>
      <c r="N117">
        <f t="shared" si="5"/>
        <v>10</v>
      </c>
      <c r="O117">
        <f>IFERROR(MAX(IF(K117 &gt; 参数!$B$17,参数!$B$17+SQRT(K117-参数!$B$17)*参数!$B$18,K117)-MAX(G117,0)*参数!$B$10,0)/MAX(G117,0.4),0)</f>
        <v>7</v>
      </c>
      <c r="P117">
        <f>IFERROR(MAX(IF(N117 &gt; 参数!$B$17,参数!$B$17+SQRT(N117-参数!$B$17)*参数!$B$18,N117)-MAX(H117,0)*参数!$B$10,0)/MAX(H117,0.4),0)</f>
        <v>7</v>
      </c>
      <c r="Q117">
        <f>卡牌总表!AO117</f>
        <v>0</v>
      </c>
    </row>
    <row r="118" spans="1:17" x14ac:dyDescent="0.3">
      <c r="A118">
        <f t="shared" si="3"/>
        <v>117</v>
      </c>
      <c r="B118" t="str">
        <f>卡牌总表!B118</f>
        <v>silent_flick_flack</v>
      </c>
      <c r="C118" t="str">
        <f>卡牌总表!D118</f>
        <v>翻越撑击</v>
      </c>
      <c r="D118" t="str">
        <f>卡牌总表!F118</f>
        <v>攻击</v>
      </c>
      <c r="E118">
        <f>卡牌总表!AL118</f>
        <v>0</v>
      </c>
      <c r="F118" t="str">
        <f>卡牌总表!AN118</f>
        <v>群体攻击</v>
      </c>
      <c r="G118">
        <f>卡牌总表!AP118</f>
        <v>1</v>
      </c>
      <c r="H118">
        <f>IF(ISNUMBER(卡牌总表!H118),IF(AND(卡牌总表!H118=0,卡牌总表!V118=0,卡牌总表!AK118="none"),0.4,IF(卡牌总表!AK118="exhaust",MAX(卡牌总表!H118-卡牌总表!V118,0.4),IF(卡牌总表!AK118="ethereal",MAX(卡牌总表!H118-卡牌总表!V118,0.4),MAX(卡牌总表!H118-卡牌总表!V118,0.4)))),IF(OR(卡牌总表!H118="X",卡牌总表!H118="∞"),0.4,0.4))</f>
        <v>1</v>
      </c>
      <c r="I118">
        <f>卡牌总表!M118*卡牌总表!O118*参数!$B$5*IF(AND(卡牌总表!F118="能力",卡牌总表!AL118="能力持续"),参数!$B$2,1)+卡牌总表!P118*参数!$B$6*IF(AND(卡牌总表!F118="能力",卡牌总表!AL118="能力持续"),参数!$B$2,1)+卡牌总表!R118*参数!$B$7*IF(AND(卡牌总表!F118="能力",卡牌总表!AL118="能力持续"),参数!$B$2,1)+卡牌总表!V118*参数!$B$8+IF(卡牌总表!X118&lt;0,卡牌总表!X118*参数!$B$13,卡牌总表!X118*参数!$B$39)+IF(卡牌总表!AE118&lt;0,卡牌总表!AE118*参数!$B$13,卡牌总表!AE118*参数!$B$12)*参数!$B$2+卡牌总表!AQ118*参数!$B$15+卡牌总表!AB118*参数!$B$11+卡牌总表!AF118*参数!$B$40*参数!$B$2+卡牌总表!AG118*参数!$B$44*参数!$B$2+卡牌总表!AH118*参数!$B$6*参数!$B$2+卡牌总表!AI118*参数!$B$39*参数!$B$2+卡牌总表!AJ118*参数!$B$6*参数!$B$2+卡牌总表!Z118*参数!$B$13-卡牌总表!T118*参数!$B$14-卡牌总表!AD118*参数!$B$13+IF(ISNUMBER(卡牌总表!AU118),卡牌总表!AU118*参数!$B$38,0)-卡牌总表!AV118*参数!$B$41-卡牌总表!AW118*参数!$B$14</f>
        <v>6</v>
      </c>
      <c r="J118">
        <f>IF(AND(卡牌总表!F118="能力",卡牌总表!AL118="能力持续"),(参数!$B$2-1)*参数!$B$3,0)</f>
        <v>0</v>
      </c>
      <c r="K118">
        <f t="shared" si="4"/>
        <v>6</v>
      </c>
      <c r="L118">
        <f>卡牌总表!N118*卡牌总表!O118*参数!$B$5*IF(AND(卡牌总表!F118="能力",卡牌总表!AL118="能力持续"),参数!$B$2,1)+卡牌总表!Q118*参数!$B$6*IF(AND(卡牌总表!F118="能力",卡牌总表!AL118="能力持续"),参数!$B$2,1)+卡牌总表!S118*参数!$B$7*IF(AND(卡牌总表!F118="能力",卡牌总表!AL118="能力持续"),参数!$B$2,1)+卡牌总表!W118*参数!$B$8+IF(卡牌总表!Y118&lt;0,卡牌总表!Y118*参数!$B$13,卡牌总表!Y118*参数!$B$39)+IF(卡牌总表!AE118&lt;0,卡牌总表!AE118*参数!$B$13,卡牌总表!AE118*参数!$B$12)*参数!$B$2+卡牌总表!AR118*参数!$B$15+卡牌总表!AC118*参数!$B$11+卡牌总表!AF118*参数!$B$40*参数!$B$2+卡牌总表!AG118*参数!$B$44*参数!$B$2+卡牌总表!AH118*参数!$B$6*参数!$B$2+卡牌总表!AI118*参数!$B$39*参数!$B$2+卡牌总表!AJ118*参数!$B$6*参数!$B$2+卡牌总表!AA118*参数!$B$13-卡牌总表!U118*参数!$B$14-卡牌总表!AD118*参数!$B$13+IF(ISNUMBER(卡牌总表!AU118),卡牌总表!AU118*参数!$B$38,0)-卡牌总表!AV118*参数!$B$41-卡牌总表!AW118*参数!$B$14</f>
        <v>8</v>
      </c>
      <c r="M118">
        <f>IF(AND(卡牌总表!F118="能力",卡牌总表!AL118="能力持续"),参数!$B$2*参数!$B$3,0)</f>
        <v>0</v>
      </c>
      <c r="N118">
        <f t="shared" si="5"/>
        <v>8</v>
      </c>
      <c r="O118">
        <f>IFERROR(MAX(IF(K118 &gt; 参数!$B$17,参数!$B$17+SQRT(K118-参数!$B$17)*参数!$B$18,K118)-MAX(G118,0)*参数!$B$10,0)/MAX(G118,0.4),0)</f>
        <v>3</v>
      </c>
      <c r="P118">
        <f>IFERROR(MAX(IF(N118 &gt; 参数!$B$17,参数!$B$17+SQRT(N118-参数!$B$17)*参数!$B$18,N118)-MAX(H118,0)*参数!$B$10,0)/MAX(H118,0.4),0)</f>
        <v>5</v>
      </c>
      <c r="Q118">
        <f>卡牌总表!AO118</f>
        <v>0</v>
      </c>
    </row>
    <row r="119" spans="1:17" x14ac:dyDescent="0.3">
      <c r="A119">
        <f t="shared" si="3"/>
        <v>118</v>
      </c>
      <c r="B119" t="str">
        <f>卡牌总表!B119</f>
        <v>silent_follow_through</v>
      </c>
      <c r="C119" t="str">
        <f>卡牌总表!D119</f>
        <v>跟进</v>
      </c>
      <c r="D119" t="str">
        <f>卡牌总表!F119</f>
        <v>攻击</v>
      </c>
      <c r="E119">
        <f>卡牌总表!AL119</f>
        <v>0</v>
      </c>
      <c r="F119" t="str">
        <f>卡牌总表!AN119</f>
        <v>群体攻击，本回合</v>
      </c>
      <c r="G119">
        <f>卡牌总表!AP119</f>
        <v>1</v>
      </c>
      <c r="H119">
        <f>IF(ISNUMBER(卡牌总表!H119),IF(AND(卡牌总表!H119=0,卡牌总表!V119=0,卡牌总表!AK119="none"),0.4,IF(卡牌总表!AK119="exhaust",MAX(卡牌总表!H119-卡牌总表!V119,0.4),IF(卡牌总表!AK119="ethereal",MAX(卡牌总表!H119-卡牌总表!V119,0.4),MAX(卡牌总表!H119-卡牌总表!V119,0.4)))),IF(OR(卡牌总表!H119="X",卡牌总表!H119="∞"),0.4,0.4))</f>
        <v>1</v>
      </c>
      <c r="I119">
        <f>卡牌总表!M119*卡牌总表!O119*参数!$B$5*IF(AND(卡牌总表!F119="能力",卡牌总表!AL119="能力持续"),参数!$B$2,1)+卡牌总表!P119*参数!$B$6*IF(AND(卡牌总表!F119="能力",卡牌总表!AL119="能力持续"),参数!$B$2,1)+卡牌总表!R119*参数!$B$7*IF(AND(卡牌总表!F119="能力",卡牌总表!AL119="能力持续"),参数!$B$2,1)+卡牌总表!V119*参数!$B$8+IF(卡牌总表!X119&lt;0,卡牌总表!X119*参数!$B$13,卡牌总表!X119*参数!$B$39)+IF(卡牌总表!AE119&lt;0,卡牌总表!AE119*参数!$B$13,卡牌总表!AE119*参数!$B$12)*参数!$B$2+卡牌总表!AQ119*参数!$B$15+卡牌总表!AB119*参数!$B$11+卡牌总表!AF119*参数!$B$40*参数!$B$2+卡牌总表!AG119*参数!$B$44*参数!$B$2+卡牌总表!AH119*参数!$B$6*参数!$B$2+卡牌总表!AI119*参数!$B$39*参数!$B$2+卡牌总表!AJ119*参数!$B$6*参数!$B$2+卡牌总表!Z119*参数!$B$13-卡牌总表!T119*参数!$B$14-卡牌总表!AD119*参数!$B$13+IF(ISNUMBER(卡牌总表!AU119),卡牌总表!AU119*参数!$B$38,0)-卡牌总表!AV119*参数!$B$41-卡牌总表!AW119*参数!$B$14</f>
        <v>15.5</v>
      </c>
      <c r="J119">
        <f>IF(AND(卡牌总表!F119="能力",卡牌总表!AL119="能力持续"),(参数!$B$2-1)*参数!$B$3,0)</f>
        <v>0</v>
      </c>
      <c r="K119">
        <f t="shared" si="4"/>
        <v>15.5</v>
      </c>
      <c r="L119">
        <f>卡牌总表!N119*卡牌总表!O119*参数!$B$5*IF(AND(卡牌总表!F119="能力",卡牌总表!AL119="能力持续"),参数!$B$2,1)+卡牌总表!Q119*参数!$B$6*IF(AND(卡牌总表!F119="能力",卡牌总表!AL119="能力持续"),参数!$B$2,1)+卡牌总表!S119*参数!$B$7*IF(AND(卡牌总表!F119="能力",卡牌总表!AL119="能力持续"),参数!$B$2,1)+卡牌总表!W119*参数!$B$8+IF(卡牌总表!Y119&lt;0,卡牌总表!Y119*参数!$B$13,卡牌总表!Y119*参数!$B$39)+IF(卡牌总表!AE119&lt;0,卡牌总表!AE119*参数!$B$13,卡牌总表!AE119*参数!$B$12)*参数!$B$2+卡牌总表!AR119*参数!$B$15+卡牌总表!AC119*参数!$B$11+卡牌总表!AF119*参数!$B$40*参数!$B$2+卡牌总表!AG119*参数!$B$44*参数!$B$2+卡牌总表!AH119*参数!$B$6*参数!$B$2+卡牌总表!AI119*参数!$B$39*参数!$B$2+卡牌总表!AJ119*参数!$B$6*参数!$B$2+卡牌总表!AA119*参数!$B$13-卡牌总表!U119*参数!$B$14-卡牌总表!AD119*参数!$B$13+IF(ISNUMBER(卡牌总表!AU119),卡牌总表!AU119*参数!$B$38,0)-卡牌总表!AV119*参数!$B$41-卡牌总表!AW119*参数!$B$14</f>
        <v>22.3</v>
      </c>
      <c r="M119">
        <f>IF(AND(卡牌总表!F119="能力",卡牌总表!AL119="能力持续"),参数!$B$2*参数!$B$3,0)</f>
        <v>0</v>
      </c>
      <c r="N119">
        <f t="shared" si="5"/>
        <v>22.3</v>
      </c>
      <c r="O119">
        <f>IFERROR(MAX(IF(K119 &gt; 参数!$B$17,参数!$B$17+SQRT(K119-参数!$B$17)*参数!$B$18,K119)-MAX(G119,0)*参数!$B$10,0)/MAX(G119,0.4),0)</f>
        <v>10.517811819867571</v>
      </c>
      <c r="P119">
        <f>IFERROR(MAX(IF(N119 &gt; 参数!$B$17,参数!$B$17+SQRT(N119-参数!$B$17)*参数!$B$18,N119)-MAX(H119,0)*参数!$B$10,0)/MAX(H119,0.4),0)</f>
        <v>12.260703375025056</v>
      </c>
      <c r="Q119">
        <f>卡牌总表!AO119</f>
        <v>0</v>
      </c>
    </row>
    <row r="120" spans="1:17" x14ac:dyDescent="0.3">
      <c r="A120">
        <f t="shared" si="3"/>
        <v>119</v>
      </c>
      <c r="B120" t="str">
        <f>卡牌总表!B120</f>
        <v>silent_footwork</v>
      </c>
      <c r="C120" t="str">
        <f>卡牌总表!D120</f>
        <v>灵动步法</v>
      </c>
      <c r="D120" t="str">
        <f>卡牌总表!F120</f>
        <v>能力</v>
      </c>
      <c r="E120">
        <f>卡牌总表!AL120</f>
        <v>0</v>
      </c>
      <c r="F120" t="str">
        <f>卡牌总表!AN120</f>
        <v>能力</v>
      </c>
      <c r="G120">
        <f>卡牌总表!AP120</f>
        <v>1</v>
      </c>
      <c r="H120">
        <f>IF(ISNUMBER(卡牌总表!H120),IF(AND(卡牌总表!H120=0,卡牌总表!V120=0,卡牌总表!AK120="none"),0.4,IF(卡牌总表!AK120="exhaust",MAX(卡牌总表!H120-卡牌总表!V120,0.4),IF(卡牌总表!AK120="ethereal",MAX(卡牌总表!H120-卡牌总表!V120,0.4),MAX(卡牌总表!H120-卡牌总表!V120,0.4)))),IF(OR(卡牌总表!H120="X",卡牌总表!H120="∞"),0.4,0.4))</f>
        <v>1</v>
      </c>
      <c r="I120">
        <f>卡牌总表!M120*卡牌总表!O120*参数!$B$5*IF(AND(卡牌总表!F120="能力",卡牌总表!AL120="能力持续"),参数!$B$2,1)+卡牌总表!P120*参数!$B$6*IF(AND(卡牌总表!F120="能力",卡牌总表!AL120="能力持续"),参数!$B$2,1)+卡牌总表!R120*参数!$B$7*IF(AND(卡牌总表!F120="能力",卡牌总表!AL120="能力持续"),参数!$B$2,1)+卡牌总表!V120*参数!$B$8+IF(卡牌总表!X120&lt;0,卡牌总表!X120*参数!$B$13,卡牌总表!X120*参数!$B$39)+IF(卡牌总表!AE120&lt;0,卡牌总表!AE120*参数!$B$13,卡牌总表!AE120*参数!$B$12)*参数!$B$2+卡牌总表!AQ120*参数!$B$15+卡牌总表!AB120*参数!$B$11+卡牌总表!AF120*参数!$B$40*参数!$B$2+卡牌总表!AG120*参数!$B$44*参数!$B$2+卡牌总表!AH120*参数!$B$6*参数!$B$2+卡牌总表!AI120*参数!$B$39*参数!$B$2+卡牌总表!AJ120*参数!$B$6*参数!$B$2+卡牌总表!Z120*参数!$B$13-卡牌总表!T120*参数!$B$14-卡牌总表!AD120*参数!$B$13+IF(ISNUMBER(卡牌总表!AU120),卡牌总表!AU120*参数!$B$38,0)-卡牌总表!AV120*参数!$B$41-卡牌总表!AW120*参数!$B$14</f>
        <v>8.8000000000000007</v>
      </c>
      <c r="J120">
        <f>IF(AND(卡牌总表!F120="能力",卡牌总表!AL120="能力持续"),(参数!$B$2-1)*参数!$B$3,0)</f>
        <v>0</v>
      </c>
      <c r="K120">
        <f t="shared" si="4"/>
        <v>8.8000000000000007</v>
      </c>
      <c r="L120">
        <f>卡牌总表!N120*卡牌总表!O120*参数!$B$5*IF(AND(卡牌总表!F120="能力",卡牌总表!AL120="能力持续"),参数!$B$2,1)+卡牌总表!Q120*参数!$B$6*IF(AND(卡牌总表!F120="能力",卡牌总表!AL120="能力持续"),参数!$B$2,1)+卡牌总表!S120*参数!$B$7*IF(AND(卡牌总表!F120="能力",卡牌总表!AL120="能力持续"),参数!$B$2,1)+卡牌总表!W120*参数!$B$8+IF(卡牌总表!Y120&lt;0,卡牌总表!Y120*参数!$B$13,卡牌总表!Y120*参数!$B$39)+IF(卡牌总表!AE120&lt;0,卡牌总表!AE120*参数!$B$13,卡牌总表!AE120*参数!$B$12)*参数!$B$2+卡牌总表!AR120*参数!$B$15+卡牌总表!AC120*参数!$B$11+卡牌总表!AF120*参数!$B$40*参数!$B$2+卡牌总表!AG120*参数!$B$44*参数!$B$2+卡牌总表!AH120*参数!$B$6*参数!$B$2+卡牌总表!AI120*参数!$B$39*参数!$B$2+卡牌总表!AJ120*参数!$B$6*参数!$B$2+卡牌总表!AA120*参数!$B$13-卡牌总表!U120*参数!$B$14-卡牌总表!AD120*参数!$B$13+IF(ISNUMBER(卡牌总表!AU120),卡牌总表!AU120*参数!$B$38,0)-卡牌总表!AV120*参数!$B$41-卡牌总表!AW120*参数!$B$14</f>
        <v>8.8000000000000007</v>
      </c>
      <c r="M120">
        <f>IF(AND(卡牌总表!F120="能力",卡牌总表!AL120="能力持续"),参数!$B$2*参数!$B$3,0)</f>
        <v>0</v>
      </c>
      <c r="N120">
        <f t="shared" si="5"/>
        <v>8.8000000000000007</v>
      </c>
      <c r="O120">
        <f>IFERROR(MAX(IF(K120 &gt; 参数!$B$17,参数!$B$17+SQRT(K120-参数!$B$17)*参数!$B$18,K120)-MAX(G120,0)*参数!$B$10,0)/MAX(G120,0.4),0)</f>
        <v>5.8000000000000007</v>
      </c>
      <c r="P120">
        <f>IFERROR(MAX(IF(N120 &gt; 参数!$B$17,参数!$B$17+SQRT(N120-参数!$B$17)*参数!$B$18,N120)-MAX(H120,0)*参数!$B$10,0)/MAX(H120,0.4),0)</f>
        <v>5.8000000000000007</v>
      </c>
      <c r="Q120">
        <f>卡牌总表!AO120</f>
        <v>0</v>
      </c>
    </row>
    <row r="121" spans="1:17" x14ac:dyDescent="0.3">
      <c r="A121">
        <f t="shared" si="3"/>
        <v>120</v>
      </c>
      <c r="B121" t="str">
        <f>卡牌总表!B121</f>
        <v>silent_grand_finale</v>
      </c>
      <c r="C121" t="str">
        <f>卡牌总表!D121</f>
        <v>华丽收场</v>
      </c>
      <c r="D121" t="str">
        <f>卡牌总表!F121</f>
        <v>攻击</v>
      </c>
      <c r="E121">
        <f>卡牌总表!AL121</f>
        <v>0</v>
      </c>
      <c r="F121" t="str">
        <f>卡牌总表!AN121</f>
        <v>群体攻击</v>
      </c>
      <c r="G121">
        <f>卡牌总表!AP121</f>
        <v>0.4</v>
      </c>
      <c r="H121">
        <f>IF(ISNUMBER(卡牌总表!H121),IF(AND(卡牌总表!H121=0,卡牌总表!V121=0,卡牌总表!AK121="none"),0.4,IF(卡牌总表!AK121="exhaust",MAX(卡牌总表!H121-卡牌总表!V121,0.4),IF(卡牌总表!AK121="ethereal",MAX(卡牌总表!H121-卡牌总表!V121,0.4),MAX(卡牌总表!H121-卡牌总表!V121,0.4)))),IF(OR(卡牌总表!H121="X",卡牌总表!H121="∞"),0.4,0.4))</f>
        <v>0.4</v>
      </c>
      <c r="I121">
        <f>卡牌总表!M121*卡牌总表!O121*参数!$B$5*IF(AND(卡牌总表!F121="能力",卡牌总表!AL121="能力持续"),参数!$B$2,1)+卡牌总表!P121*参数!$B$6*IF(AND(卡牌总表!F121="能力",卡牌总表!AL121="能力持续"),参数!$B$2,1)+卡牌总表!R121*参数!$B$7*IF(AND(卡牌总表!F121="能力",卡牌总表!AL121="能力持续"),参数!$B$2,1)+卡牌总表!V121*参数!$B$8+IF(卡牌总表!X121&lt;0,卡牌总表!X121*参数!$B$13,卡牌总表!X121*参数!$B$39)+IF(卡牌总表!AE121&lt;0,卡牌总表!AE121*参数!$B$13,卡牌总表!AE121*参数!$B$12)*参数!$B$2+卡牌总表!AQ121*参数!$B$15+卡牌总表!AB121*参数!$B$11+卡牌总表!AF121*参数!$B$40*参数!$B$2+卡牌总表!AG121*参数!$B$44*参数!$B$2+卡牌总表!AH121*参数!$B$6*参数!$B$2+卡牌总表!AI121*参数!$B$39*参数!$B$2+卡牌总表!AJ121*参数!$B$6*参数!$B$2+卡牌总表!Z121*参数!$B$13-卡牌总表!T121*参数!$B$14-卡牌总表!AD121*参数!$B$13+IF(ISNUMBER(卡牌总表!AU121),卡牌总表!AU121*参数!$B$38,0)-卡牌总表!AV121*参数!$B$41-卡牌总表!AW121*参数!$B$14</f>
        <v>60</v>
      </c>
      <c r="J121">
        <f>IF(AND(卡牌总表!F121="能力",卡牌总表!AL121="能力持续"),(参数!$B$2-1)*参数!$B$3,0)</f>
        <v>0</v>
      </c>
      <c r="K121">
        <f t="shared" si="4"/>
        <v>60</v>
      </c>
      <c r="L121">
        <f>卡牌总表!N121*卡牌总表!O121*参数!$B$5*IF(AND(卡牌总表!F121="能力",卡牌总表!AL121="能力持续"),参数!$B$2,1)+卡牌总表!Q121*参数!$B$6*IF(AND(卡牌总表!F121="能力",卡牌总表!AL121="能力持续"),参数!$B$2,1)+卡牌总表!S121*参数!$B$7*IF(AND(卡牌总表!F121="能力",卡牌总表!AL121="能力持续"),参数!$B$2,1)+卡牌总表!W121*参数!$B$8+IF(卡牌总表!Y121&lt;0,卡牌总表!Y121*参数!$B$13,卡牌总表!Y121*参数!$B$39)+IF(卡牌总表!AE121&lt;0,卡牌总表!AE121*参数!$B$13,卡牌总表!AE121*参数!$B$12)*参数!$B$2+卡牌总表!AR121*参数!$B$15+卡牌总表!AC121*参数!$B$11+卡牌总表!AF121*参数!$B$40*参数!$B$2+卡牌总表!AG121*参数!$B$44*参数!$B$2+卡牌总表!AH121*参数!$B$6*参数!$B$2+卡牌总表!AI121*参数!$B$39*参数!$B$2+卡牌总表!AJ121*参数!$B$6*参数!$B$2+卡牌总表!AA121*参数!$B$13-卡牌总表!U121*参数!$B$14-卡牌总表!AD121*参数!$B$13+IF(ISNUMBER(卡牌总表!AU121),卡牌总表!AU121*参数!$B$38,0)-卡牌总表!AV121*参数!$B$41-卡牌总表!AW121*参数!$B$14</f>
        <v>75</v>
      </c>
      <c r="M121">
        <f>IF(AND(卡牌总表!F121="能力",卡牌总表!AL121="能力持续"),参数!$B$2*参数!$B$3,0)</f>
        <v>0</v>
      </c>
      <c r="N121">
        <f t="shared" si="5"/>
        <v>75</v>
      </c>
      <c r="O121">
        <f>IFERROR(MAX(IF(K121 &gt; 参数!$B$17,参数!$B$17+SQRT(K121-参数!$B$17)*参数!$B$18,K121)-MAX(G121,0)*参数!$B$10,0)/MAX(G121,0.4),0)</f>
        <v>48.516504294495533</v>
      </c>
      <c r="P121">
        <f>IFERROR(MAX(IF(N121 &gt; 参数!$B$17,参数!$B$17+SQRT(N121-参数!$B$17)*参数!$B$18,N121)-MAX(H121,0)*参数!$B$10,0)/MAX(H121,0.4),0)</f>
        <v>52.233466556119559</v>
      </c>
      <c r="Q121">
        <f>卡牌总表!AO121</f>
        <v>0</v>
      </c>
    </row>
    <row r="122" spans="1:17" x14ac:dyDescent="0.3">
      <c r="A122">
        <f t="shared" si="3"/>
        <v>121</v>
      </c>
      <c r="B122" t="str">
        <f>卡牌总表!B122</f>
        <v>silent_hand_trick</v>
      </c>
      <c r="C122" t="str">
        <f>卡牌总表!D122</f>
        <v>手上技法</v>
      </c>
      <c r="D122" t="str">
        <f>卡牌总表!F122</f>
        <v>技能</v>
      </c>
      <c r="E122">
        <f>卡牌总表!AL122</f>
        <v>0</v>
      </c>
      <c r="F122" t="str">
        <f>卡牌总表!AN122</f>
        <v>本回合</v>
      </c>
      <c r="G122">
        <f>卡牌总表!AP122</f>
        <v>1</v>
      </c>
      <c r="H122">
        <f>IF(ISNUMBER(卡牌总表!H122),IF(AND(卡牌总表!H122=0,卡牌总表!V122=0,卡牌总表!AK122="none"),0.4,IF(卡牌总表!AK122="exhaust",MAX(卡牌总表!H122-卡牌总表!V122,0.4),IF(卡牌总表!AK122="ethereal",MAX(卡牌总表!H122-卡牌总表!V122,0.4),MAX(卡牌总表!H122-卡牌总表!V122,0.4)))),IF(OR(卡牌总表!H122="X",卡牌总表!H122="∞"),0.4,0.4))</f>
        <v>1</v>
      </c>
      <c r="I122">
        <f>卡牌总表!M122*卡牌总表!O122*参数!$B$5*IF(AND(卡牌总表!F122="能力",卡牌总表!AL122="能力持续"),参数!$B$2,1)+卡牌总表!P122*参数!$B$6*IF(AND(卡牌总表!F122="能力",卡牌总表!AL122="能力持续"),参数!$B$2,1)+卡牌总表!R122*参数!$B$7*IF(AND(卡牌总表!F122="能力",卡牌总表!AL122="能力持续"),参数!$B$2,1)+卡牌总表!V122*参数!$B$8+IF(卡牌总表!X122&lt;0,卡牌总表!X122*参数!$B$13,卡牌总表!X122*参数!$B$39)+IF(卡牌总表!AE122&lt;0,卡牌总表!AE122*参数!$B$13,卡牌总表!AE122*参数!$B$12)*参数!$B$2+卡牌总表!AQ122*参数!$B$15+卡牌总表!AB122*参数!$B$11+卡牌总表!AF122*参数!$B$40*参数!$B$2+卡牌总表!AG122*参数!$B$44*参数!$B$2+卡牌总表!AH122*参数!$B$6*参数!$B$2+卡牌总表!AI122*参数!$B$39*参数!$B$2+卡牌总表!AJ122*参数!$B$6*参数!$B$2+卡牌总表!Z122*参数!$B$13-卡牌总表!T122*参数!$B$14-卡牌总表!AD122*参数!$B$13+IF(ISNUMBER(卡牌总表!AU122),卡牌总表!AU122*参数!$B$38,0)-卡牌总表!AV122*参数!$B$41-卡牌总表!AW122*参数!$B$14</f>
        <v>7.7000000000000011</v>
      </c>
      <c r="J122">
        <f>IF(AND(卡牌总表!F122="能力",卡牌总表!AL122="能力持续"),(参数!$B$2-1)*参数!$B$3,0)</f>
        <v>0</v>
      </c>
      <c r="K122">
        <f t="shared" si="4"/>
        <v>7.7000000000000011</v>
      </c>
      <c r="L122">
        <f>卡牌总表!N122*卡牌总表!O122*参数!$B$5*IF(AND(卡牌总表!F122="能力",卡牌总表!AL122="能力持续"),参数!$B$2,1)+卡牌总表!Q122*参数!$B$6*IF(AND(卡牌总表!F122="能力",卡牌总表!AL122="能力持续"),参数!$B$2,1)+卡牌总表!S122*参数!$B$7*IF(AND(卡牌总表!F122="能力",卡牌总表!AL122="能力持续"),参数!$B$2,1)+卡牌总表!W122*参数!$B$8+IF(卡牌总表!Y122&lt;0,卡牌总表!Y122*参数!$B$13,卡牌总表!Y122*参数!$B$39)+IF(卡牌总表!AE122&lt;0,卡牌总表!AE122*参数!$B$13,卡牌总表!AE122*参数!$B$12)*参数!$B$2+卡牌总表!AR122*参数!$B$15+卡牌总表!AC122*参数!$B$11+卡牌总表!AF122*参数!$B$40*参数!$B$2+卡牌总表!AG122*参数!$B$44*参数!$B$2+卡牌总表!AH122*参数!$B$6*参数!$B$2+卡牌总表!AI122*参数!$B$39*参数!$B$2+卡牌总表!AJ122*参数!$B$6*参数!$B$2+卡牌总表!AA122*参数!$B$13-卡牌总表!U122*参数!$B$14-卡牌总表!AD122*参数!$B$13+IF(ISNUMBER(卡牌总表!AU122),卡牌总表!AU122*参数!$B$38,0)-卡牌总表!AV122*参数!$B$41-卡牌总表!AW122*参数!$B$14</f>
        <v>11</v>
      </c>
      <c r="M122">
        <f>IF(AND(卡牌总表!F122="能力",卡牌总表!AL122="能力持续"),参数!$B$2*参数!$B$3,0)</f>
        <v>0</v>
      </c>
      <c r="N122">
        <f t="shared" si="5"/>
        <v>11</v>
      </c>
      <c r="O122">
        <f>IFERROR(MAX(IF(K122 &gt; 参数!$B$17,参数!$B$17+SQRT(K122-参数!$B$17)*参数!$B$18,K122)-MAX(G122,0)*参数!$B$10,0)/MAX(G122,0.4),0)</f>
        <v>4.7000000000000011</v>
      </c>
      <c r="P122">
        <f>IFERROR(MAX(IF(N122 &gt; 参数!$B$17,参数!$B$17+SQRT(N122-参数!$B$17)*参数!$B$18,N122)-MAX(H122,0)*参数!$B$10,0)/MAX(H122,0.4),0)</f>
        <v>8.5</v>
      </c>
      <c r="Q122">
        <f>卡牌总表!AO122</f>
        <v>0</v>
      </c>
    </row>
    <row r="123" spans="1:17" x14ac:dyDescent="0.3">
      <c r="A123">
        <f t="shared" si="3"/>
        <v>122</v>
      </c>
      <c r="B123" t="str">
        <f>卡牌总表!B123</f>
        <v>silent_haze</v>
      </c>
      <c r="C123" t="str">
        <f>卡牌总表!D123</f>
        <v>迷雾</v>
      </c>
      <c r="D123" t="str">
        <f>卡牌总表!F123</f>
        <v>技能</v>
      </c>
      <c r="E123">
        <f>卡牌总表!AL123</f>
        <v>0</v>
      </c>
      <c r="F123" t="str">
        <f>卡牌总表!AN123</f>
        <v>群体攻击</v>
      </c>
      <c r="G123">
        <f>卡牌总表!AP123</f>
        <v>3</v>
      </c>
      <c r="H123">
        <f>IF(ISNUMBER(卡牌总表!H123),IF(AND(卡牌总表!H123=0,卡牌总表!V123=0,卡牌总表!AK123="none"),0.4,IF(卡牌总表!AK123="exhaust",MAX(卡牌总表!H123-卡牌总表!V123,0.4),IF(卡牌总表!AK123="ethereal",MAX(卡牌总表!H123-卡牌总表!V123,0.4),MAX(卡牌总表!H123-卡牌总表!V123,0.4)))),IF(OR(卡牌总表!H123="X",卡牌总表!H123="∞"),0.4,0.4))</f>
        <v>3</v>
      </c>
      <c r="I123">
        <f>卡牌总表!M123*卡牌总表!O123*参数!$B$5*IF(AND(卡牌总表!F123="能力",卡牌总表!AL123="能力持续"),参数!$B$2,1)+卡牌总表!P123*参数!$B$6*IF(AND(卡牌总表!F123="能力",卡牌总表!AL123="能力持续"),参数!$B$2,1)+卡牌总表!R123*参数!$B$7*IF(AND(卡牌总表!F123="能力",卡牌总表!AL123="能力持续"),参数!$B$2,1)+卡牌总表!V123*参数!$B$8+IF(卡牌总表!X123&lt;0,卡牌总表!X123*参数!$B$13,卡牌总表!X123*参数!$B$39)+IF(卡牌总表!AE123&lt;0,卡牌总表!AE123*参数!$B$13,卡牌总表!AE123*参数!$B$12)*参数!$B$2+卡牌总表!AQ123*参数!$B$15+卡牌总表!AB123*参数!$B$11+卡牌总表!AF123*参数!$B$40*参数!$B$2+卡牌总表!AG123*参数!$B$44*参数!$B$2+卡牌总表!AH123*参数!$B$6*参数!$B$2+卡牌总表!AI123*参数!$B$39*参数!$B$2+卡牌总表!AJ123*参数!$B$6*参数!$B$2+卡牌总表!Z123*参数!$B$13-卡牌总表!T123*参数!$B$14-卡牌总表!AD123*参数!$B$13+IF(ISNUMBER(卡牌总表!AU123),卡牌总表!AU123*参数!$B$38,0)-卡牌总表!AV123*参数!$B$41-卡牌总表!AW123*参数!$B$14</f>
        <v>17.5</v>
      </c>
      <c r="J123">
        <f>IF(AND(卡牌总表!F123="能力",卡牌总表!AL123="能力持续"),(参数!$B$2-1)*参数!$B$3,0)</f>
        <v>0</v>
      </c>
      <c r="K123">
        <f t="shared" si="4"/>
        <v>17.5</v>
      </c>
      <c r="L123">
        <f>卡牌总表!N123*卡牌总表!O123*参数!$B$5*IF(AND(卡牌总表!F123="能力",卡牌总表!AL123="能力持续"),参数!$B$2,1)+卡牌总表!Q123*参数!$B$6*IF(AND(卡牌总表!F123="能力",卡牌总表!AL123="能力持续"),参数!$B$2,1)+卡牌总表!S123*参数!$B$7*IF(AND(卡牌总表!F123="能力",卡牌总表!AL123="能力持续"),参数!$B$2,1)+卡牌总表!W123*参数!$B$8+IF(卡牌总表!Y123&lt;0,卡牌总表!Y123*参数!$B$13,卡牌总表!Y123*参数!$B$39)+IF(卡牌总表!AE123&lt;0,卡牌总表!AE123*参数!$B$13,卡牌总表!AE123*参数!$B$12)*参数!$B$2+卡牌总表!AR123*参数!$B$15+卡牌总表!AC123*参数!$B$11+卡牌总表!AF123*参数!$B$40*参数!$B$2+卡牌总表!AG123*参数!$B$44*参数!$B$2+卡牌总表!AH123*参数!$B$6*参数!$B$2+卡牌总表!AI123*参数!$B$39*参数!$B$2+卡牌总表!AJ123*参数!$B$6*参数!$B$2+卡牌总表!AA123*参数!$B$13-卡牌总表!U123*参数!$B$14-卡牌总表!AD123*参数!$B$13+IF(ISNUMBER(卡牌总表!AU123),卡牌总表!AU123*参数!$B$38,0)-卡牌总表!AV123*参数!$B$41-卡牌总表!AW123*参数!$B$14</f>
        <v>17.5</v>
      </c>
      <c r="M123">
        <f>IF(AND(卡牌总表!F123="能力",卡牌总表!AL123="能力持续"),参数!$B$2*参数!$B$3,0)</f>
        <v>0</v>
      </c>
      <c r="N123">
        <f t="shared" si="5"/>
        <v>17.5</v>
      </c>
      <c r="O123">
        <f>IFERROR(MAX(IF(K123 &gt; 参数!$B$17,参数!$B$17+SQRT(K123-参数!$B$17)*参数!$B$18,K123)-MAX(G123,0)*参数!$B$10,0)/MAX(G123,0.4),0)</f>
        <v>1.7026397270962488</v>
      </c>
      <c r="P123">
        <f>IFERROR(MAX(IF(N123 &gt; 参数!$B$17,参数!$B$17+SQRT(N123-参数!$B$17)*参数!$B$18,N123)-MAX(H123,0)*参数!$B$10,0)/MAX(H123,0.4),0)</f>
        <v>1.7026397270962488</v>
      </c>
      <c r="Q123">
        <f>卡牌总表!AO123</f>
        <v>0</v>
      </c>
    </row>
    <row r="124" spans="1:17" x14ac:dyDescent="0.3">
      <c r="A124">
        <f t="shared" si="3"/>
        <v>123</v>
      </c>
      <c r="B124" t="str">
        <f>卡牌总表!B124</f>
        <v>silent_hidden_daggers</v>
      </c>
      <c r="C124" t="str">
        <f>卡牌总表!D124</f>
        <v>隐秘匕首</v>
      </c>
      <c r="D124" t="str">
        <f>卡牌总表!F124</f>
        <v>技能</v>
      </c>
      <c r="E124">
        <f>卡牌总表!AL124</f>
        <v>0</v>
      </c>
      <c r="F124">
        <f>卡牌总表!AN124</f>
        <v>0</v>
      </c>
      <c r="G124">
        <f>卡牌总表!AP124</f>
        <v>0.4</v>
      </c>
      <c r="H124">
        <f>IF(ISNUMBER(卡牌总表!H124),IF(AND(卡牌总表!H124=0,卡牌总表!V124=0,卡牌总表!AK124="none"),0.4,IF(卡牌总表!AK124="exhaust",MAX(卡牌总表!H124-卡牌总表!V124,0.4),IF(卡牌总表!AK124="ethereal",MAX(卡牌总表!H124-卡牌总表!V124,0.4),MAX(卡牌总表!H124-卡牌总表!V124,0.4)))),IF(OR(卡牌总表!H124="X",卡牌总表!H124="∞"),0.4,0.4))</f>
        <v>0.4</v>
      </c>
      <c r="I124">
        <f>卡牌总表!M124*卡牌总表!O124*参数!$B$5*IF(AND(卡牌总表!F124="能力",卡牌总表!AL124="能力持续"),参数!$B$2,1)+卡牌总表!P124*参数!$B$6*IF(AND(卡牌总表!F124="能力",卡牌总表!AL124="能力持续"),参数!$B$2,1)+卡牌总表!R124*参数!$B$7*IF(AND(卡牌总表!F124="能力",卡牌总表!AL124="能力持续"),参数!$B$2,1)+卡牌总表!V124*参数!$B$8+IF(卡牌总表!X124&lt;0,卡牌总表!X124*参数!$B$13,卡牌总表!X124*参数!$B$39)+IF(卡牌总表!AE124&lt;0,卡牌总表!AE124*参数!$B$13,卡牌总表!AE124*参数!$B$12)*参数!$B$2+卡牌总表!AQ124*参数!$B$15+卡牌总表!AB124*参数!$B$11+卡牌总表!AF124*参数!$B$40*参数!$B$2+卡牌总表!AG124*参数!$B$44*参数!$B$2+卡牌总表!AH124*参数!$B$6*参数!$B$2+卡牌总表!AI124*参数!$B$39*参数!$B$2+卡牌总表!AJ124*参数!$B$6*参数!$B$2+卡牌总表!Z124*参数!$B$13-卡牌总表!T124*参数!$B$14-卡牌总表!AD124*参数!$B$13+IF(ISNUMBER(卡牌总表!AU124),卡牌总表!AU124*参数!$B$38,0)-卡牌总表!AV124*参数!$B$41-卡牌总表!AW124*参数!$B$14</f>
        <v>7.4</v>
      </c>
      <c r="J124">
        <f>IF(AND(卡牌总表!F124="能力",卡牌总表!AL124="能力持续"),(参数!$B$2-1)*参数!$B$3,0)</f>
        <v>0</v>
      </c>
      <c r="K124">
        <f t="shared" si="4"/>
        <v>7.4</v>
      </c>
      <c r="L124">
        <f>卡牌总表!N124*卡牌总表!O124*参数!$B$5*IF(AND(卡牌总表!F124="能力",卡牌总表!AL124="能力持续"),参数!$B$2,1)+卡牌总表!Q124*参数!$B$6*IF(AND(卡牌总表!F124="能力",卡牌总表!AL124="能力持续"),参数!$B$2,1)+卡牌总表!S124*参数!$B$7*IF(AND(卡牌总表!F124="能力",卡牌总表!AL124="能力持续"),参数!$B$2,1)+卡牌总表!W124*参数!$B$8+IF(卡牌总表!Y124&lt;0,卡牌总表!Y124*参数!$B$13,卡牌总表!Y124*参数!$B$39)+IF(卡牌总表!AE124&lt;0,卡牌总表!AE124*参数!$B$13,卡牌总表!AE124*参数!$B$12)*参数!$B$2+卡牌总表!AR124*参数!$B$15+卡牌总表!AC124*参数!$B$11+卡牌总表!AF124*参数!$B$40*参数!$B$2+卡牌总表!AG124*参数!$B$44*参数!$B$2+卡牌总表!AH124*参数!$B$6*参数!$B$2+卡牌总表!AI124*参数!$B$39*参数!$B$2+卡牌总表!AJ124*参数!$B$6*参数!$B$2+卡牌总表!AA124*参数!$B$13-卡牌总表!U124*参数!$B$14-卡牌总表!AD124*参数!$B$13+IF(ISNUMBER(卡牌总表!AU124),卡牌总表!AU124*参数!$B$38,0)-卡牌总表!AV124*参数!$B$41-卡牌总表!AW124*参数!$B$14</f>
        <v>-0.6</v>
      </c>
      <c r="M124">
        <f>IF(AND(卡牌总表!F124="能力",卡牌总表!AL124="能力持续"),参数!$B$2*参数!$B$3,0)</f>
        <v>0</v>
      </c>
      <c r="N124">
        <f t="shared" si="5"/>
        <v>-0.6</v>
      </c>
      <c r="O124">
        <f>IFERROR(MAX(IF(K124 &gt; 参数!$B$17,参数!$B$17+SQRT(K124-参数!$B$17)*参数!$B$18,K124)-MAX(G124,0)*参数!$B$10,0)/MAX(G124,0.4),0)</f>
        <v>15.5</v>
      </c>
      <c r="P124">
        <f>IFERROR(MAX(IF(N124 &gt; 参数!$B$17,参数!$B$17+SQRT(N124-参数!$B$17)*参数!$B$18,N124)-MAX(H124,0)*参数!$B$10,0)/MAX(H124,0.4),0)</f>
        <v>0</v>
      </c>
      <c r="Q124">
        <f>卡牌总表!AO124</f>
        <v>0</v>
      </c>
    </row>
    <row r="125" spans="1:17" x14ac:dyDescent="0.3">
      <c r="A125">
        <f t="shared" si="3"/>
        <v>124</v>
      </c>
      <c r="B125" t="str">
        <f>卡牌总表!B125</f>
        <v>silent_infinite_blades</v>
      </c>
      <c r="C125" t="str">
        <f>卡牌总表!D125</f>
        <v>无尽刀刃</v>
      </c>
      <c r="D125" t="str">
        <f>卡牌总表!F125</f>
        <v>能力</v>
      </c>
      <c r="E125" t="str">
        <f>卡牌总表!AL125</f>
        <v>能力持续</v>
      </c>
      <c r="F125" t="str">
        <f>卡牌总表!AN125</f>
        <v>能力</v>
      </c>
      <c r="G125">
        <f>卡牌总表!AP125</f>
        <v>1</v>
      </c>
      <c r="H125">
        <f>IF(ISNUMBER(卡牌总表!H125),IF(AND(卡牌总表!H125=0,卡牌总表!V125=0,卡牌总表!AK125="none"),0.4,IF(卡牌总表!AK125="exhaust",MAX(卡牌总表!H125-卡牌总表!V125,0.4),IF(卡牌总表!AK125="ethereal",MAX(卡牌总表!H125-卡牌总表!V125,0.4),MAX(卡牌总表!H125-卡牌总表!V125,0.4)))),IF(OR(卡牌总表!H125="X",卡牌总表!H125="∞"),0.4,0.4))</f>
        <v>1</v>
      </c>
      <c r="I125">
        <f>卡牌总表!M125*卡牌总表!O125*参数!$B$5*IF(AND(卡牌总表!F125="能力",卡牌总表!AL125="能力持续"),参数!$B$2,1)+卡牌总表!P125*参数!$B$6*IF(AND(卡牌总表!F125="能力",卡牌总表!AL125="能力持续"),参数!$B$2,1)+卡牌总表!R125*参数!$B$7*IF(AND(卡牌总表!F125="能力",卡牌总表!AL125="能力持续"),参数!$B$2,1)+卡牌总表!V125*参数!$B$8+IF(卡牌总表!X125&lt;0,卡牌总表!X125*参数!$B$13,卡牌总表!X125*参数!$B$39)+IF(卡牌总表!AE125&lt;0,卡牌总表!AE125*参数!$B$13,卡牌总表!AE125*参数!$B$12)*参数!$B$2+卡牌总表!AQ125*参数!$B$15+卡牌总表!AB125*参数!$B$11+卡牌总表!AF125*参数!$B$40*参数!$B$2+卡牌总表!AG125*参数!$B$44*参数!$B$2+卡牌总表!AH125*参数!$B$6*参数!$B$2+卡牌总表!AI125*参数!$B$39*参数!$B$2+卡牌总表!AJ125*参数!$B$6*参数!$B$2+卡牌总表!Z125*参数!$B$13-卡牌总表!T125*参数!$B$14-卡牌总表!AD125*参数!$B$13+IF(ISNUMBER(卡牌总表!AU125),卡牌总表!AU125*参数!$B$38,0)-卡牌总表!AV125*参数!$B$41-卡牌总表!AW125*参数!$B$14</f>
        <v>64</v>
      </c>
      <c r="J125">
        <f>IF(AND(卡牌总表!F125="能力",卡牌总表!AL125="能力持续"),(参数!$B$2-1)*参数!$B$3,0)</f>
        <v>3.5999999999999996</v>
      </c>
      <c r="K125">
        <f t="shared" si="4"/>
        <v>67.599999999999994</v>
      </c>
      <c r="L125">
        <f>卡牌总表!N125*卡牌总表!O125*参数!$B$5*IF(AND(卡牌总表!F125="能力",卡牌总表!AL125="能力持续"),参数!$B$2,1)+卡牌总表!Q125*参数!$B$6*IF(AND(卡牌总表!F125="能力",卡牌总表!AL125="能力持续"),参数!$B$2,1)+卡牌总表!S125*参数!$B$7*IF(AND(卡牌总表!F125="能力",卡牌总表!AL125="能力持续"),参数!$B$2,1)+卡牌总表!W125*参数!$B$8+IF(卡牌总表!Y125&lt;0,卡牌总表!Y125*参数!$B$13,卡牌总表!Y125*参数!$B$39)+IF(卡牌总表!AE125&lt;0,卡牌总表!AE125*参数!$B$13,卡牌总表!AE125*参数!$B$12)*参数!$B$2+卡牌总表!AR125*参数!$B$15+卡牌总表!AC125*参数!$B$11+卡牌总表!AF125*参数!$B$40*参数!$B$2+卡牌总表!AG125*参数!$B$44*参数!$B$2+卡牌总表!AH125*参数!$B$6*参数!$B$2+卡牌总表!AI125*参数!$B$39*参数!$B$2+卡牌总表!AJ125*参数!$B$6*参数!$B$2+卡牌总表!AA125*参数!$B$13-卡牌总表!U125*参数!$B$14-卡牌总表!AD125*参数!$B$13+IF(ISNUMBER(卡牌总表!AU125),卡牌总表!AU125*参数!$B$38,0)-卡牌总表!AV125*参数!$B$41-卡牌总表!AW125*参数!$B$14</f>
        <v>0</v>
      </c>
      <c r="M125">
        <f>IF(AND(卡牌总表!F125="能力",卡牌总表!AL125="能力持续"),参数!$B$2*参数!$B$3,0)</f>
        <v>4.8</v>
      </c>
      <c r="N125">
        <f t="shared" si="5"/>
        <v>4.8</v>
      </c>
      <c r="O125">
        <f>IFERROR(MAX(IF(K125 &gt; 参数!$B$17,参数!$B$17+SQRT(K125-参数!$B$17)*参数!$B$18,K125)-MAX(G125,0)*参数!$B$10,0)/MAX(G125,0.4),0)</f>
        <v>18.384199576606164</v>
      </c>
      <c r="P125">
        <f>IFERROR(MAX(IF(N125 &gt; 参数!$B$17,参数!$B$17+SQRT(N125-参数!$B$17)*参数!$B$18,N125)-MAX(H125,0)*参数!$B$10,0)/MAX(H125,0.4),0)</f>
        <v>1.7999999999999998</v>
      </c>
      <c r="Q125">
        <f>卡牌总表!AO125</f>
        <v>0</v>
      </c>
    </row>
    <row r="126" spans="1:17" x14ac:dyDescent="0.3">
      <c r="A126">
        <f t="shared" si="3"/>
        <v>125</v>
      </c>
      <c r="B126" t="str">
        <f>卡牌总表!B126</f>
        <v>silent_knife_trap</v>
      </c>
      <c r="C126" t="str">
        <f>卡牌总表!D126</f>
        <v>刀刃陷阱</v>
      </c>
      <c r="D126" t="str">
        <f>卡牌总表!F126</f>
        <v>技能</v>
      </c>
      <c r="E126">
        <f>卡牌总表!AL126</f>
        <v>0</v>
      </c>
      <c r="F126">
        <f>卡牌总表!AN126</f>
        <v>0</v>
      </c>
      <c r="G126">
        <f>卡牌总表!AP126</f>
        <v>2</v>
      </c>
      <c r="H126">
        <f>IF(ISNUMBER(卡牌总表!H126),IF(AND(卡牌总表!H126=0,卡牌总表!V126=0,卡牌总表!AK126="none"),0.4,IF(卡牌总表!AK126="exhaust",MAX(卡牌总表!H126-卡牌总表!V126,0.4),IF(卡牌总表!AK126="ethereal",MAX(卡牌总表!H126-卡牌总表!V126,0.4),MAX(卡牌总表!H126-卡牌总表!V126,0.4)))),IF(OR(卡牌总表!H126="X",卡牌总表!H126="∞"),0.4,0.4))</f>
        <v>2</v>
      </c>
      <c r="I126">
        <f>卡牌总表!M126*卡牌总表!O126*参数!$B$5*IF(AND(卡牌总表!F126="能力",卡牌总表!AL126="能力持续"),参数!$B$2,1)+卡牌总表!P126*参数!$B$6*IF(AND(卡牌总表!F126="能力",卡牌总表!AL126="能力持续"),参数!$B$2,1)+卡牌总表!R126*参数!$B$7*IF(AND(卡牌总表!F126="能力",卡牌总表!AL126="能力持续"),参数!$B$2,1)+卡牌总表!V126*参数!$B$8+IF(卡牌总表!X126&lt;0,卡牌总表!X126*参数!$B$13,卡牌总表!X126*参数!$B$39)+IF(卡牌总表!AE126&lt;0,卡牌总表!AE126*参数!$B$13,卡牌总表!AE126*参数!$B$12)*参数!$B$2+卡牌总表!AQ126*参数!$B$15+卡牌总表!AB126*参数!$B$11+卡牌总表!AF126*参数!$B$40*参数!$B$2+卡牌总表!AG126*参数!$B$44*参数!$B$2+卡牌总表!AH126*参数!$B$6*参数!$B$2+卡牌总表!AI126*参数!$B$39*参数!$B$2+卡牌总表!AJ126*参数!$B$6*参数!$B$2+卡牌总表!Z126*参数!$B$13-卡牌总表!T126*参数!$B$14-卡牌总表!AD126*参数!$B$13+IF(ISNUMBER(卡牌总表!AU126),卡牌总表!AU126*参数!$B$38,0)-卡牌总表!AV126*参数!$B$41-卡牌总表!AW126*参数!$B$14</f>
        <v>20</v>
      </c>
      <c r="J126">
        <f>IF(AND(卡牌总表!F126="能力",卡牌总表!AL126="能力持续"),(参数!$B$2-1)*参数!$B$3,0)</f>
        <v>0</v>
      </c>
      <c r="K126">
        <f t="shared" si="4"/>
        <v>20</v>
      </c>
      <c r="L126">
        <f>卡牌总表!N126*卡牌总表!O126*参数!$B$5*IF(AND(卡牌总表!F126="能力",卡牌总表!AL126="能力持续"),参数!$B$2,1)+卡牌总表!Q126*参数!$B$6*IF(AND(卡牌总表!F126="能力",卡牌总表!AL126="能力持续"),参数!$B$2,1)+卡牌总表!S126*参数!$B$7*IF(AND(卡牌总表!F126="能力",卡牌总表!AL126="能力持续"),参数!$B$2,1)+卡牌总表!W126*参数!$B$8+IF(卡牌总表!Y126&lt;0,卡牌总表!Y126*参数!$B$13,卡牌总表!Y126*参数!$B$39)+IF(卡牌总表!AE126&lt;0,卡牌总表!AE126*参数!$B$13,卡牌总表!AE126*参数!$B$12)*参数!$B$2+卡牌总表!AR126*参数!$B$15+卡牌总表!AC126*参数!$B$11+卡牌总表!AF126*参数!$B$40*参数!$B$2+卡牌总表!AG126*参数!$B$44*参数!$B$2+卡牌总表!AH126*参数!$B$6*参数!$B$2+卡牌总表!AI126*参数!$B$39*参数!$B$2+卡牌总表!AJ126*参数!$B$6*参数!$B$2+卡牌总表!AA126*参数!$B$13-卡牌总表!U126*参数!$B$14-卡牌总表!AD126*参数!$B$13+IF(ISNUMBER(卡牌总表!AU126),卡牌总表!AU126*参数!$B$38,0)-卡牌总表!AV126*参数!$B$41-卡牌总表!AW126*参数!$B$14</f>
        <v>0</v>
      </c>
      <c r="M126">
        <f>IF(AND(卡牌总表!F126="能力",卡牌总表!AL126="能力持续"),参数!$B$2*参数!$B$3,0)</f>
        <v>0</v>
      </c>
      <c r="N126">
        <f t="shared" si="5"/>
        <v>0</v>
      </c>
      <c r="O126">
        <f>IFERROR(MAX(IF(K126 &gt; 参数!$B$17,参数!$B$17+SQRT(K126-参数!$B$17)*参数!$B$18,K126)-MAX(G126,0)*参数!$B$10,0)/MAX(G126,0.4),0)</f>
        <v>4.3717082451262845</v>
      </c>
      <c r="P126">
        <f>IFERROR(MAX(IF(N126 &gt; 参数!$B$17,参数!$B$17+SQRT(N126-参数!$B$17)*参数!$B$18,N126)-MAX(H126,0)*参数!$B$10,0)/MAX(H126,0.4),0)</f>
        <v>0</v>
      </c>
      <c r="Q126" t="str">
        <f>卡牌总表!AO126</f>
        <v>含消耗其他牌效果</v>
      </c>
    </row>
    <row r="127" spans="1:17" x14ac:dyDescent="0.3">
      <c r="A127">
        <f t="shared" si="3"/>
        <v>126</v>
      </c>
      <c r="B127" t="str">
        <f>卡牌总表!B127</f>
        <v>silent_leading_strike</v>
      </c>
      <c r="C127" t="str">
        <f>卡牌总表!D127</f>
        <v>先制打击</v>
      </c>
      <c r="D127" t="str">
        <f>卡牌总表!F127</f>
        <v>攻击</v>
      </c>
      <c r="E127">
        <f>卡牌总表!AL127</f>
        <v>0</v>
      </c>
      <c r="F127">
        <f>卡牌总表!AN127</f>
        <v>0</v>
      </c>
      <c r="G127">
        <f>卡牌总表!AP127</f>
        <v>1</v>
      </c>
      <c r="H127">
        <f>IF(ISNUMBER(卡牌总表!H127),IF(AND(卡牌总表!H127=0,卡牌总表!V127=0,卡牌总表!AK127="none"),0.4,IF(卡牌总表!AK127="exhaust",MAX(卡牌总表!H127-卡牌总表!V127,0.4),IF(卡牌总表!AK127="ethereal",MAX(卡牌总表!H127-卡牌总表!V127,0.4),MAX(卡牌总表!H127-卡牌总表!V127,0.4)))),IF(OR(卡牌总表!H127="X",卡牌总表!H127="∞"),0.4,0.4))</f>
        <v>1</v>
      </c>
      <c r="I127">
        <f>卡牌总表!M127*卡牌总表!O127*参数!$B$5*IF(AND(卡牌总表!F127="能力",卡牌总表!AL127="能力持续"),参数!$B$2,1)+卡牌总表!P127*参数!$B$6*IF(AND(卡牌总表!F127="能力",卡牌总表!AL127="能力持续"),参数!$B$2,1)+卡牌总表!R127*参数!$B$7*IF(AND(卡牌总表!F127="能力",卡牌总表!AL127="能力持续"),参数!$B$2,1)+卡牌总表!V127*参数!$B$8+IF(卡牌总表!X127&lt;0,卡牌总表!X127*参数!$B$13,卡牌总表!X127*参数!$B$39)+IF(卡牌总表!AE127&lt;0,卡牌总表!AE127*参数!$B$13,卡牌总表!AE127*参数!$B$12)*参数!$B$2+卡牌总表!AQ127*参数!$B$15+卡牌总表!AB127*参数!$B$11+卡牌总表!AF127*参数!$B$40*参数!$B$2+卡牌总表!AG127*参数!$B$44*参数!$B$2+卡牌总表!AH127*参数!$B$6*参数!$B$2+卡牌总表!AI127*参数!$B$39*参数!$B$2+卡牌总表!AJ127*参数!$B$6*参数!$B$2+卡牌总表!Z127*参数!$B$13-卡牌总表!T127*参数!$B$14-卡牌总表!AD127*参数!$B$13+IF(ISNUMBER(卡牌总表!AU127),卡牌总表!AU127*参数!$B$38,0)-卡牌总表!AV127*参数!$B$41-卡牌总表!AW127*参数!$B$14</f>
        <v>11</v>
      </c>
      <c r="J127">
        <f>IF(AND(卡牌总表!F127="能力",卡牌总表!AL127="能力持续"),(参数!$B$2-1)*参数!$B$3,0)</f>
        <v>0</v>
      </c>
      <c r="K127">
        <f t="shared" si="4"/>
        <v>11</v>
      </c>
      <c r="L127">
        <f>卡牌总表!N127*卡牌总表!O127*参数!$B$5*IF(AND(卡牌总表!F127="能力",卡牌总表!AL127="能力持续"),参数!$B$2,1)+卡牌总表!Q127*参数!$B$6*IF(AND(卡牌总表!F127="能力",卡牌总表!AL127="能力持续"),参数!$B$2,1)+卡牌总表!S127*参数!$B$7*IF(AND(卡牌总表!F127="能力",卡牌总表!AL127="能力持续"),参数!$B$2,1)+卡牌总表!W127*参数!$B$8+IF(卡牌总表!Y127&lt;0,卡牌总表!Y127*参数!$B$13,卡牌总表!Y127*参数!$B$39)+IF(卡牌总表!AE127&lt;0,卡牌总表!AE127*参数!$B$13,卡牌总表!AE127*参数!$B$12)*参数!$B$2+卡牌总表!AR127*参数!$B$15+卡牌总表!AC127*参数!$B$11+卡牌总表!AF127*参数!$B$40*参数!$B$2+卡牌总表!AG127*参数!$B$44*参数!$B$2+卡牌总表!AH127*参数!$B$6*参数!$B$2+卡牌总表!AI127*参数!$B$39*参数!$B$2+卡牌总表!AJ127*参数!$B$6*参数!$B$2+卡牌总表!AA127*参数!$B$13-卡牌总表!U127*参数!$B$14-卡牌总表!AD127*参数!$B$13+IF(ISNUMBER(卡牌总表!AU127),卡牌总表!AU127*参数!$B$38,0)-卡牌总表!AV127*参数!$B$41-卡牌总表!AW127*参数!$B$14</f>
        <v>6</v>
      </c>
      <c r="M127">
        <f>IF(AND(卡牌总表!F127="能力",卡牌总表!AL127="能力持续"),参数!$B$2*参数!$B$3,0)</f>
        <v>0</v>
      </c>
      <c r="N127">
        <f t="shared" si="5"/>
        <v>6</v>
      </c>
      <c r="O127">
        <f>IFERROR(MAX(IF(K127 &gt; 参数!$B$17,参数!$B$17+SQRT(K127-参数!$B$17)*参数!$B$18,K127)-MAX(G127,0)*参数!$B$10,0)/MAX(G127,0.4),0)</f>
        <v>8.5</v>
      </c>
      <c r="P127">
        <f>IFERROR(MAX(IF(N127 &gt; 参数!$B$17,参数!$B$17+SQRT(N127-参数!$B$17)*参数!$B$18,N127)-MAX(H127,0)*参数!$B$10,0)/MAX(H127,0.4),0)</f>
        <v>3</v>
      </c>
      <c r="Q127">
        <f>卡牌总表!AO127</f>
        <v>0</v>
      </c>
    </row>
    <row r="128" spans="1:17" x14ac:dyDescent="0.3">
      <c r="A128">
        <f t="shared" si="3"/>
        <v>127</v>
      </c>
      <c r="B128" t="str">
        <f>卡牌总表!B128</f>
        <v>silent_leg_sweep</v>
      </c>
      <c r="C128" t="str">
        <f>卡牌总表!D128</f>
        <v>扫腿</v>
      </c>
      <c r="D128" t="str">
        <f>卡牌总表!F128</f>
        <v>技能</v>
      </c>
      <c r="E128">
        <f>卡牌总表!AL128</f>
        <v>0</v>
      </c>
      <c r="F128">
        <f>卡牌总表!AN128</f>
        <v>0</v>
      </c>
      <c r="G128">
        <f>卡牌总表!AP128</f>
        <v>2</v>
      </c>
      <c r="H128">
        <f>IF(ISNUMBER(卡牌总表!H128),IF(AND(卡牌总表!H128=0,卡牌总表!V128=0,卡牌总表!AK128="none"),0.4,IF(卡牌总表!AK128="exhaust",MAX(卡牌总表!H128-卡牌总表!V128,0.4),IF(卡牌总表!AK128="ethereal",MAX(卡牌总表!H128-卡牌总表!V128,0.4),MAX(卡牌总表!H128-卡牌总表!V128,0.4)))),IF(OR(卡牌总表!H128="X",卡牌总表!H128="∞"),0.4,0.4))</f>
        <v>2</v>
      </c>
      <c r="I128">
        <f>卡牌总表!M128*卡牌总表!O128*参数!$B$5*IF(AND(卡牌总表!F128="能力",卡牌总表!AL128="能力持续"),参数!$B$2,1)+卡牌总表!P128*参数!$B$6*IF(AND(卡牌总表!F128="能力",卡牌总表!AL128="能力持续"),参数!$B$2,1)+卡牌总表!R128*参数!$B$7*IF(AND(卡牌总表!F128="能力",卡牌总表!AL128="能力持续"),参数!$B$2,1)+卡牌总表!V128*参数!$B$8+IF(卡牌总表!X128&lt;0,卡牌总表!X128*参数!$B$13,卡牌总表!X128*参数!$B$39)+IF(卡牌总表!AE128&lt;0,卡牌总表!AE128*参数!$B$13,卡牌总表!AE128*参数!$B$12)*参数!$B$2+卡牌总表!AQ128*参数!$B$15+卡牌总表!AB128*参数!$B$11+卡牌总表!AF128*参数!$B$40*参数!$B$2+卡牌总表!AG128*参数!$B$44*参数!$B$2+卡牌总表!AH128*参数!$B$6*参数!$B$2+卡牌总表!AI128*参数!$B$39*参数!$B$2+卡牌总表!AJ128*参数!$B$6*参数!$B$2+卡牌总表!Z128*参数!$B$13-卡牌总表!T128*参数!$B$14-卡牌总表!AD128*参数!$B$13+IF(ISNUMBER(卡牌总表!AU128),卡牌总表!AU128*参数!$B$38,0)-卡牌总表!AV128*参数!$B$41-卡牌总表!AW128*参数!$B$14</f>
        <v>15.100000000000001</v>
      </c>
      <c r="J128">
        <f>IF(AND(卡牌总表!F128="能力",卡牌总表!AL128="能力持续"),(参数!$B$2-1)*参数!$B$3,0)</f>
        <v>0</v>
      </c>
      <c r="K128">
        <f t="shared" si="4"/>
        <v>15.100000000000001</v>
      </c>
      <c r="L128">
        <f>卡牌总表!N128*卡牌总表!O128*参数!$B$5*IF(AND(卡牌总表!F128="能力",卡牌总表!AL128="能力持续"),参数!$B$2,1)+卡牌总表!Q128*参数!$B$6*IF(AND(卡牌总表!F128="能力",卡牌总表!AL128="能力持续"),参数!$B$2,1)+卡牌总表!S128*参数!$B$7*IF(AND(卡牌总表!F128="能力",卡牌总表!AL128="能力持续"),参数!$B$2,1)+卡牌总表!W128*参数!$B$8+IF(卡牌总表!Y128&lt;0,卡牌总表!Y128*参数!$B$13,卡牌总表!Y128*参数!$B$39)+IF(卡牌总表!AE128&lt;0,卡牌总表!AE128*参数!$B$13,卡牌总表!AE128*参数!$B$12)*参数!$B$2+卡牌总表!AR128*参数!$B$15+卡牌总表!AC128*参数!$B$11+卡牌总表!AF128*参数!$B$40*参数!$B$2+卡牌总表!AG128*参数!$B$44*参数!$B$2+卡牌总表!AH128*参数!$B$6*参数!$B$2+卡牌总表!AI128*参数!$B$39*参数!$B$2+卡牌总表!AJ128*参数!$B$6*参数!$B$2+卡牌总表!AA128*参数!$B$13-卡牌总表!U128*参数!$B$14-卡牌总表!AD128*参数!$B$13+IF(ISNUMBER(卡牌总表!AU128),卡牌总表!AU128*参数!$B$38,0)-卡牌总表!AV128*参数!$B$41-卡牌总表!AW128*参数!$B$14</f>
        <v>18.400000000000002</v>
      </c>
      <c r="M128">
        <f>IF(AND(卡牌总表!F128="能力",卡牌总表!AL128="能力持续"),参数!$B$2*参数!$B$3,0)</f>
        <v>0</v>
      </c>
      <c r="N128">
        <f t="shared" si="5"/>
        <v>18.400000000000002</v>
      </c>
      <c r="O128">
        <f>IFERROR(MAX(IF(K128 &gt; 参数!$B$17,参数!$B$17+SQRT(K128-参数!$B$17)*参数!$B$18,K128)-MAX(G128,0)*参数!$B$10,0)/MAX(G128,0.4),0)</f>
        <v>3.6937384685954324</v>
      </c>
      <c r="P128">
        <f>IFERROR(MAX(IF(N128 &gt; 参数!$B$17,参数!$B$17+SQRT(N128-参数!$B$17)*参数!$B$18,N128)-MAX(H128,0)*参数!$B$10,0)/MAX(H128,0.4),0)</f>
        <v>4.1737065119284154</v>
      </c>
      <c r="Q128">
        <f>卡牌总表!AO128</f>
        <v>0</v>
      </c>
    </row>
    <row r="129" spans="1:17" x14ac:dyDescent="0.3">
      <c r="A129">
        <f t="shared" si="3"/>
        <v>128</v>
      </c>
      <c r="B129" t="str">
        <f>卡牌总表!B129</f>
        <v>silent_malaise</v>
      </c>
      <c r="C129" t="str">
        <f>卡牌总表!D129</f>
        <v>萎靡</v>
      </c>
      <c r="D129" t="str">
        <f>卡牌总表!F129</f>
        <v>技能</v>
      </c>
      <c r="E129">
        <f>卡牌总表!AL129</f>
        <v>0</v>
      </c>
      <c r="F129">
        <f>卡牌总表!AN129</f>
        <v>0</v>
      </c>
      <c r="G129">
        <f>卡牌总表!AP129</f>
        <v>0.4</v>
      </c>
      <c r="H129">
        <f>IF(ISNUMBER(卡牌总表!H129),IF(AND(卡牌总表!H129=0,卡牌总表!V129=0,卡牌总表!AK129="none"),0.4,IF(卡牌总表!AK129="exhaust",MAX(卡牌总表!H129-卡牌总表!V129,0.4),IF(卡牌总表!AK129="ethereal",MAX(卡牌总表!H129-卡牌总表!V129,0.4),MAX(卡牌总表!H129-卡牌总表!V129,0.4)))),IF(OR(卡牌总表!H129="X",卡牌总表!H129="∞"),0.4,0.4))</f>
        <v>0.4</v>
      </c>
      <c r="I129">
        <f>卡牌总表!M129*卡牌总表!O129*参数!$B$5*IF(AND(卡牌总表!F129="能力",卡牌总表!AL129="能力持续"),参数!$B$2,1)+卡牌总表!P129*参数!$B$6*IF(AND(卡牌总表!F129="能力",卡牌总表!AL129="能力持续"),参数!$B$2,1)+卡牌总表!R129*参数!$B$7*IF(AND(卡牌总表!F129="能力",卡牌总表!AL129="能力持续"),参数!$B$2,1)+卡牌总表!V129*参数!$B$8+IF(卡牌总表!X129&lt;0,卡牌总表!X129*参数!$B$13,卡牌总表!X129*参数!$B$39)+IF(卡牌总表!AE129&lt;0,卡牌总表!AE129*参数!$B$13,卡牌总表!AE129*参数!$B$12)*参数!$B$2+卡牌总表!AQ129*参数!$B$15+卡牌总表!AB129*参数!$B$11+卡牌总表!AF129*参数!$B$40*参数!$B$2+卡牌总表!AG129*参数!$B$44*参数!$B$2+卡牌总表!AH129*参数!$B$6*参数!$B$2+卡牌总表!AI129*参数!$B$39*参数!$B$2+卡牌总表!AJ129*参数!$B$6*参数!$B$2+卡牌总表!Z129*参数!$B$13-卡牌总表!T129*参数!$B$14-卡牌总表!AD129*参数!$B$13+IF(ISNUMBER(卡牌总表!AU129),卡牌总表!AU129*参数!$B$38,0)-卡牌总表!AV129*参数!$B$41-卡牌总表!AW129*参数!$B$14</f>
        <v>17.850000000000001</v>
      </c>
      <c r="J129">
        <f>IF(AND(卡牌总表!F129="能力",卡牌总表!AL129="能力持续"),(参数!$B$2-1)*参数!$B$3,0)</f>
        <v>0</v>
      </c>
      <c r="K129">
        <f t="shared" si="4"/>
        <v>17.850000000000001</v>
      </c>
      <c r="L129">
        <f>卡牌总表!N129*卡牌总表!O129*参数!$B$5*IF(AND(卡牌总表!F129="能力",卡牌总表!AL129="能力持续"),参数!$B$2,1)+卡牌总表!Q129*参数!$B$6*IF(AND(卡牌总表!F129="能力",卡牌总表!AL129="能力持续"),参数!$B$2,1)+卡牌总表!S129*参数!$B$7*IF(AND(卡牌总表!F129="能力",卡牌总表!AL129="能力持续"),参数!$B$2,1)+卡牌总表!W129*参数!$B$8+IF(卡牌总表!Y129&lt;0,卡牌总表!Y129*参数!$B$13,卡牌总表!Y129*参数!$B$39)+IF(卡牌总表!AE129&lt;0,卡牌总表!AE129*参数!$B$13,卡牌总表!AE129*参数!$B$12)*参数!$B$2+卡牌总表!AR129*参数!$B$15+卡牌总表!AC129*参数!$B$11+卡牌总表!AF129*参数!$B$40*参数!$B$2+卡牌总表!AG129*参数!$B$44*参数!$B$2+卡牌总表!AH129*参数!$B$6*参数!$B$2+卡牌总表!AI129*参数!$B$39*参数!$B$2+卡牌总表!AJ129*参数!$B$6*参数!$B$2+卡牌总表!AA129*参数!$B$13-卡牌总表!U129*参数!$B$14-卡牌总表!AD129*参数!$B$13+IF(ISNUMBER(卡牌总表!AU129),卡牌总表!AU129*参数!$B$38,0)-卡牌总表!AV129*参数!$B$41-卡牌总表!AW129*参数!$B$14</f>
        <v>0</v>
      </c>
      <c r="M129">
        <f>IF(AND(卡牌总表!F129="能力",卡牌总表!AL129="能力持续"),参数!$B$2*参数!$B$3,0)</f>
        <v>0</v>
      </c>
      <c r="N129">
        <f t="shared" si="5"/>
        <v>0</v>
      </c>
      <c r="O129">
        <f>IFERROR(MAX(IF(K129 &gt; 参数!$B$17,参数!$B$17+SQRT(K129-参数!$B$17)*参数!$B$18,K129)-MAX(G129,0)*参数!$B$10,0)/MAX(G129,0.4),0)</f>
        <v>32.506694294591419</v>
      </c>
      <c r="P129">
        <f>IFERROR(MAX(IF(N129 &gt; 参数!$B$17,参数!$B$17+SQRT(N129-参数!$B$17)*参数!$B$18,N129)-MAX(H129,0)*参数!$B$10,0)/MAX(H129,0.4),0)</f>
        <v>0</v>
      </c>
      <c r="Q129">
        <f>卡牌总表!AO129</f>
        <v>0</v>
      </c>
    </row>
    <row r="130" spans="1:17" x14ac:dyDescent="0.3">
      <c r="A130">
        <f t="shared" ref="A130:A193" si="6">ROW()-1</f>
        <v>129</v>
      </c>
      <c r="B130" t="str">
        <f>卡牌总表!B130</f>
        <v>silent_master_planner</v>
      </c>
      <c r="C130" t="str">
        <f>卡牌总表!D130</f>
        <v>谋划专家</v>
      </c>
      <c r="D130" t="str">
        <f>卡牌总表!F130</f>
        <v>能力</v>
      </c>
      <c r="E130" t="str">
        <f>卡牌总表!AL130</f>
        <v>能力持续</v>
      </c>
      <c r="F130" t="str">
        <f>卡牌总表!AN130</f>
        <v>能力</v>
      </c>
      <c r="G130">
        <f>卡牌总表!AP130</f>
        <v>2</v>
      </c>
      <c r="H130">
        <f>IF(ISNUMBER(卡牌总表!H130),IF(AND(卡牌总表!H130=0,卡牌总表!V130=0,卡牌总表!AK130="none"),0.4,IF(卡牌总表!AK130="exhaust",MAX(卡牌总表!H130-卡牌总表!V130,0.4),IF(卡牌总表!AK130="ethereal",MAX(卡牌总表!H130-卡牌总表!V130,0.4),MAX(卡牌总表!H130-卡牌总表!V130,0.4)))),IF(OR(卡牌总表!H130="X",卡牌总表!H130="∞"),0.4,0.4))</f>
        <v>2</v>
      </c>
      <c r="I130">
        <f>卡牌总表!M130*卡牌总表!O130*参数!$B$5*IF(AND(卡牌总表!F130="能力",卡牌总表!AL130="能力持续"),参数!$B$2,1)+卡牌总表!P130*参数!$B$6*IF(AND(卡牌总表!F130="能力",卡牌总表!AL130="能力持续"),参数!$B$2,1)+卡牌总表!R130*参数!$B$7*IF(AND(卡牌总表!F130="能力",卡牌总表!AL130="能力持续"),参数!$B$2,1)+卡牌总表!V130*参数!$B$8+IF(卡牌总表!X130&lt;0,卡牌总表!X130*参数!$B$13,卡牌总表!X130*参数!$B$39)+IF(卡牌总表!AE130&lt;0,卡牌总表!AE130*参数!$B$13,卡牌总表!AE130*参数!$B$12)*参数!$B$2+卡牌总表!AQ130*参数!$B$15+卡牌总表!AB130*参数!$B$11+卡牌总表!AF130*参数!$B$40*参数!$B$2+卡牌总表!AG130*参数!$B$44*参数!$B$2+卡牌总表!AH130*参数!$B$6*参数!$B$2+卡牌总表!AI130*参数!$B$39*参数!$B$2+卡牌总表!AJ130*参数!$B$6*参数!$B$2+卡牌总表!Z130*参数!$B$13-卡牌总表!T130*参数!$B$14-卡牌总表!AD130*参数!$B$13+IF(ISNUMBER(卡牌总表!AU130),卡牌总表!AU130*参数!$B$38,0)-卡牌总表!AV130*参数!$B$41-卡牌总表!AW130*参数!$B$14</f>
        <v>12</v>
      </c>
      <c r="J130">
        <f>IF(AND(卡牌总表!F130="能力",卡牌总表!AL130="能力持续"),(参数!$B$2-1)*参数!$B$3,0)</f>
        <v>3.5999999999999996</v>
      </c>
      <c r="K130">
        <f t="shared" ref="K130:K193" si="7">I130+J130</f>
        <v>15.6</v>
      </c>
      <c r="L130">
        <f>卡牌总表!N130*卡牌总表!O130*参数!$B$5*IF(AND(卡牌总表!F130="能力",卡牌总表!AL130="能力持续"),参数!$B$2,1)+卡牌总表!Q130*参数!$B$6*IF(AND(卡牌总表!F130="能力",卡牌总表!AL130="能力持续"),参数!$B$2,1)+卡牌总表!S130*参数!$B$7*IF(AND(卡牌总表!F130="能力",卡牌总表!AL130="能力持续"),参数!$B$2,1)+卡牌总表!W130*参数!$B$8+IF(卡牌总表!Y130&lt;0,卡牌总表!Y130*参数!$B$13,卡牌总表!Y130*参数!$B$39)+IF(卡牌总表!AE130&lt;0,卡牌总表!AE130*参数!$B$13,卡牌总表!AE130*参数!$B$12)*参数!$B$2+卡牌总表!AR130*参数!$B$15+卡牌总表!AC130*参数!$B$11+卡牌总表!AF130*参数!$B$40*参数!$B$2+卡牌总表!AG130*参数!$B$44*参数!$B$2+卡牌总表!AH130*参数!$B$6*参数!$B$2+卡牌总表!AI130*参数!$B$39*参数!$B$2+卡牌总表!AJ130*参数!$B$6*参数!$B$2+卡牌总表!AA130*参数!$B$13-卡牌总表!U130*参数!$B$14-卡牌总表!AD130*参数!$B$13+IF(ISNUMBER(卡牌总表!AU130),卡牌总表!AU130*参数!$B$38,0)-卡牌总表!AV130*参数!$B$41-卡牌总表!AW130*参数!$B$14</f>
        <v>0</v>
      </c>
      <c r="M130">
        <f>IF(AND(卡牌总表!F130="能力",卡牌总表!AL130="能力持续"),参数!$B$2*参数!$B$3,0)</f>
        <v>4.8</v>
      </c>
      <c r="N130">
        <f t="shared" ref="N130:N193" si="8">L130+M130</f>
        <v>4.8</v>
      </c>
      <c r="O130">
        <f>IFERROR(MAX(IF(K130 &gt; 参数!$B$17,参数!$B$17+SQRT(K130-参数!$B$17)*参数!$B$18,K130)-MAX(G130,0)*参数!$B$10,0)/MAX(G130,0.4),0)</f>
        <v>3.7748239349298842</v>
      </c>
      <c r="P130">
        <f>IFERROR(MAX(IF(N130 &gt; 参数!$B$17,参数!$B$17+SQRT(N130-参数!$B$17)*参数!$B$18,N130)-MAX(H130,0)*参数!$B$10,0)/MAX(H130,0.4),0)</f>
        <v>0</v>
      </c>
      <c r="Q130">
        <f>卡牌总表!AO130</f>
        <v>0</v>
      </c>
    </row>
    <row r="131" spans="1:17" x14ac:dyDescent="0.3">
      <c r="A131">
        <f t="shared" si="6"/>
        <v>130</v>
      </c>
      <c r="B131" t="str">
        <f>卡牌总表!B131</f>
        <v>silent_memento_mori</v>
      </c>
      <c r="C131" t="str">
        <f>卡牌总表!D131</f>
        <v>记住死亡</v>
      </c>
      <c r="D131" t="str">
        <f>卡牌总表!F131</f>
        <v>攻击</v>
      </c>
      <c r="E131">
        <f>卡牌总表!AL131</f>
        <v>0</v>
      </c>
      <c r="F131" t="str">
        <f>卡牌总表!AN131</f>
        <v>本回合</v>
      </c>
      <c r="G131">
        <f>卡牌总表!AP131</f>
        <v>1</v>
      </c>
      <c r="H131">
        <f>IF(ISNUMBER(卡牌总表!H131),IF(AND(卡牌总表!H131=0,卡牌总表!V131=0,卡牌总表!AK131="none"),0.4,IF(卡牌总表!AK131="exhaust",MAX(卡牌总表!H131-卡牌总表!V131,0.4),IF(卡牌总表!AK131="ethereal",MAX(卡牌总表!H131-卡牌总表!V131,0.4),MAX(卡牌总表!H131-卡牌总表!V131,0.4)))),IF(OR(卡牌总表!H131="X",卡牌总表!H131="∞"),0.4,0.4))</f>
        <v>1</v>
      </c>
      <c r="I131">
        <f>卡牌总表!M131*卡牌总表!O131*参数!$B$5*IF(AND(卡牌总表!F131="能力",卡牌总表!AL131="能力持续"),参数!$B$2,1)+卡牌总表!P131*参数!$B$6*IF(AND(卡牌总表!F131="能力",卡牌总表!AL131="能力持续"),参数!$B$2,1)+卡牌总表!R131*参数!$B$7*IF(AND(卡牌总表!F131="能力",卡牌总表!AL131="能力持续"),参数!$B$2,1)+卡牌总表!V131*参数!$B$8+IF(卡牌总表!X131&lt;0,卡牌总表!X131*参数!$B$13,卡牌总表!X131*参数!$B$39)+IF(卡牌总表!AE131&lt;0,卡牌总表!AE131*参数!$B$13,卡牌总表!AE131*参数!$B$12)*参数!$B$2+卡牌总表!AQ131*参数!$B$15+卡牌总表!AB131*参数!$B$11+卡牌总表!AF131*参数!$B$40*参数!$B$2+卡牌总表!AG131*参数!$B$44*参数!$B$2+卡牌总表!AH131*参数!$B$6*参数!$B$2+卡牌总表!AI131*参数!$B$39*参数!$B$2+卡牌总表!AJ131*参数!$B$6*参数!$B$2+卡牌总表!Z131*参数!$B$13-卡牌总表!T131*参数!$B$14-卡牌总表!AD131*参数!$B$13+IF(ISNUMBER(卡牌总表!AU131),卡牌总表!AU131*参数!$B$38,0)-卡牌总表!AV131*参数!$B$41-卡牌总表!AW131*参数!$B$14</f>
        <v>9</v>
      </c>
      <c r="J131">
        <f>IF(AND(卡牌总表!F131="能力",卡牌总表!AL131="能力持续"),(参数!$B$2-1)*参数!$B$3,0)</f>
        <v>0</v>
      </c>
      <c r="K131">
        <f t="shared" si="7"/>
        <v>9</v>
      </c>
      <c r="L131">
        <f>卡牌总表!N131*卡牌总表!O131*参数!$B$5*IF(AND(卡牌总表!F131="能力",卡牌总表!AL131="能力持续"),参数!$B$2,1)+卡牌总表!Q131*参数!$B$6*IF(AND(卡牌总表!F131="能力",卡牌总表!AL131="能力持续"),参数!$B$2,1)+卡牌总表!S131*参数!$B$7*IF(AND(卡牌总表!F131="能力",卡牌总表!AL131="能力持续"),参数!$B$2,1)+卡牌总表!W131*参数!$B$8+IF(卡牌总表!Y131&lt;0,卡牌总表!Y131*参数!$B$13,卡牌总表!Y131*参数!$B$39)+IF(卡牌总表!AE131&lt;0,卡牌总表!AE131*参数!$B$13,卡牌总表!AE131*参数!$B$12)*参数!$B$2+卡牌总表!AR131*参数!$B$15+卡牌总表!AC131*参数!$B$11+卡牌总表!AF131*参数!$B$40*参数!$B$2+卡牌总表!AG131*参数!$B$44*参数!$B$2+卡牌总表!AH131*参数!$B$6*参数!$B$2+卡牌总表!AI131*参数!$B$39*参数!$B$2+卡牌总表!AJ131*参数!$B$6*参数!$B$2+卡牌总表!AA131*参数!$B$13-卡牌总表!U131*参数!$B$14-卡牌总表!AD131*参数!$B$13+IF(ISNUMBER(卡牌总表!AU131),卡牌总表!AU131*参数!$B$38,0)-卡牌总表!AV131*参数!$B$41-卡牌总表!AW131*参数!$B$14</f>
        <v>11</v>
      </c>
      <c r="M131">
        <f>IF(AND(卡牌总表!F131="能力",卡牌总表!AL131="能力持续"),参数!$B$2*参数!$B$3,0)</f>
        <v>0</v>
      </c>
      <c r="N131">
        <f t="shared" si="8"/>
        <v>11</v>
      </c>
      <c r="O131">
        <f>IFERROR(MAX(IF(K131 &gt; 参数!$B$17,参数!$B$17+SQRT(K131-参数!$B$17)*参数!$B$18,K131)-MAX(G131,0)*参数!$B$10,0)/MAX(G131,0.4),0)</f>
        <v>6</v>
      </c>
      <c r="P131">
        <f>IFERROR(MAX(IF(N131 &gt; 参数!$B$17,参数!$B$17+SQRT(N131-参数!$B$17)*参数!$B$18,N131)-MAX(H131,0)*参数!$B$10,0)/MAX(H131,0.4),0)</f>
        <v>8.5</v>
      </c>
      <c r="Q131">
        <f>卡牌总表!AO131</f>
        <v>0</v>
      </c>
    </row>
    <row r="132" spans="1:17" x14ac:dyDescent="0.3">
      <c r="A132">
        <f t="shared" si="6"/>
        <v>131</v>
      </c>
      <c r="B132" t="str">
        <f>卡牌总表!B132</f>
        <v>silent_mirage</v>
      </c>
      <c r="C132" t="str">
        <f>卡牌总表!D132</f>
        <v>盛景</v>
      </c>
      <c r="D132" t="str">
        <f>卡牌总表!F132</f>
        <v>技能</v>
      </c>
      <c r="E132">
        <f>卡牌总表!AL132</f>
        <v>0</v>
      </c>
      <c r="F132" t="str">
        <f>卡牌总表!AN132</f>
        <v>群体攻击</v>
      </c>
      <c r="G132">
        <f>卡牌总表!AP132</f>
        <v>1</v>
      </c>
      <c r="H132">
        <f>IF(ISNUMBER(卡牌总表!H132),IF(AND(卡牌总表!H132=0,卡牌总表!V132=0,卡牌总表!AK132="none"),0.4,IF(卡牌总表!AK132="exhaust",MAX(卡牌总表!H132-卡牌总表!V132,0.4),IF(卡牌总表!AK132="ethereal",MAX(卡牌总表!H132-卡牌总表!V132,0.4),MAX(卡牌总表!H132-卡牌总表!V132,0.4)))),IF(OR(卡牌总表!H132="X",卡牌总表!H132="∞"),0.4,0.4))</f>
        <v>1</v>
      </c>
      <c r="I132">
        <f>卡牌总表!M132*卡牌总表!O132*参数!$B$5*IF(AND(卡牌总表!F132="能力",卡牌总表!AL132="能力持续"),参数!$B$2,1)+卡牌总表!P132*参数!$B$6*IF(AND(卡牌总表!F132="能力",卡牌总表!AL132="能力持续"),参数!$B$2,1)+卡牌总表!R132*参数!$B$7*IF(AND(卡牌总表!F132="能力",卡牌总表!AL132="能力持续"),参数!$B$2,1)+卡牌总表!V132*参数!$B$8+IF(卡牌总表!X132&lt;0,卡牌总表!X132*参数!$B$13,卡牌总表!X132*参数!$B$39)+IF(卡牌总表!AE132&lt;0,卡牌总表!AE132*参数!$B$13,卡牌总表!AE132*参数!$B$12)*参数!$B$2+卡牌总表!AQ132*参数!$B$15+卡牌总表!AB132*参数!$B$11+卡牌总表!AF132*参数!$B$40*参数!$B$2+卡牌总表!AG132*参数!$B$44*参数!$B$2+卡牌总表!AH132*参数!$B$6*参数!$B$2+卡牌总表!AI132*参数!$B$39*参数!$B$2+卡牌总表!AJ132*参数!$B$6*参数!$B$2+卡牌总表!Z132*参数!$B$13-卡牌总表!T132*参数!$B$14-卡牌总表!AD132*参数!$B$13+IF(ISNUMBER(卡牌总表!AU132),卡牌总表!AU132*参数!$B$38,0)-卡牌总表!AV132*参数!$B$41-卡牌总表!AW132*参数!$B$14</f>
        <v>13.200000000000001</v>
      </c>
      <c r="J132">
        <f>IF(AND(卡牌总表!F132="能力",卡牌总表!AL132="能力持续"),(参数!$B$2-1)*参数!$B$3,0)</f>
        <v>0</v>
      </c>
      <c r="K132">
        <f t="shared" si="7"/>
        <v>13.200000000000001</v>
      </c>
      <c r="L132">
        <f>卡牌总表!N132*卡牌总表!O132*参数!$B$5*IF(AND(卡牌总表!F132="能力",卡牌总表!AL132="能力持续"),参数!$B$2,1)+卡牌总表!Q132*参数!$B$6*IF(AND(卡牌总表!F132="能力",卡牌总表!AL132="能力持续"),参数!$B$2,1)+卡牌总表!S132*参数!$B$7*IF(AND(卡牌总表!F132="能力",卡牌总表!AL132="能力持续"),参数!$B$2,1)+卡牌总表!W132*参数!$B$8+IF(卡牌总表!Y132&lt;0,卡牌总表!Y132*参数!$B$13,卡牌总表!Y132*参数!$B$39)+IF(卡牌总表!AE132&lt;0,卡牌总表!AE132*参数!$B$13,卡牌总表!AE132*参数!$B$12)*参数!$B$2+卡牌总表!AR132*参数!$B$15+卡牌总表!AC132*参数!$B$11+卡牌总表!AF132*参数!$B$40*参数!$B$2+卡牌总表!AG132*参数!$B$44*参数!$B$2+卡牌总表!AH132*参数!$B$6*参数!$B$2+卡牌总表!AI132*参数!$B$39*参数!$B$2+卡牌总表!AJ132*参数!$B$6*参数!$B$2+卡牌总表!AA132*参数!$B$13-卡牌总表!U132*参数!$B$14-卡牌总表!AD132*参数!$B$13+IF(ISNUMBER(卡牌总表!AU132),卡牌总表!AU132*参数!$B$38,0)-卡牌总表!AV132*参数!$B$41-卡牌总表!AW132*参数!$B$14</f>
        <v>0</v>
      </c>
      <c r="M132">
        <f>IF(AND(卡牌总表!F132="能力",卡牌总表!AL132="能力持续"),参数!$B$2*参数!$B$3,0)</f>
        <v>0</v>
      </c>
      <c r="N132">
        <f t="shared" si="8"/>
        <v>0</v>
      </c>
      <c r="O132">
        <f>IFERROR(MAX(IF(K132 &gt; 参数!$B$17,参数!$B$17+SQRT(K132-参数!$B$17)*参数!$B$18,K132)-MAX(G132,0)*参数!$B$10,0)/MAX(G132,0.4),0)</f>
        <v>9.6832815729997481</v>
      </c>
      <c r="P132">
        <f>IFERROR(MAX(IF(N132 &gt; 参数!$B$17,参数!$B$17+SQRT(N132-参数!$B$17)*参数!$B$18,N132)-MAX(H132,0)*参数!$B$10,0)/MAX(H132,0.4),0)</f>
        <v>0</v>
      </c>
      <c r="Q132">
        <f>卡牌总表!AO132</f>
        <v>0</v>
      </c>
    </row>
    <row r="133" spans="1:17" x14ac:dyDescent="0.3">
      <c r="A133">
        <f t="shared" si="6"/>
        <v>132</v>
      </c>
      <c r="B133" t="str">
        <f>卡牌总表!B133</f>
        <v>silent_murder</v>
      </c>
      <c r="C133" t="str">
        <f>卡牌总表!D133</f>
        <v>谋杀</v>
      </c>
      <c r="D133" t="str">
        <f>卡牌总表!F133</f>
        <v>攻击</v>
      </c>
      <c r="E133">
        <f>卡牌总表!AL133</f>
        <v>0</v>
      </c>
      <c r="F133">
        <f>卡牌总表!AN133</f>
        <v>0</v>
      </c>
      <c r="G133">
        <f>卡牌总表!AP133</f>
        <v>3</v>
      </c>
      <c r="H133">
        <f>IF(ISNUMBER(卡牌总表!H133),IF(AND(卡牌总表!H133=0,卡牌总表!V133=0,卡牌总表!AK133="none"),0.4,IF(卡牌总表!AK133="exhaust",MAX(卡牌总表!H133-卡牌总表!V133,0.4),IF(卡牌总表!AK133="ethereal",MAX(卡牌总表!H133-卡牌总表!V133,0.4),MAX(卡牌总表!H133-卡牌总表!V133,0.4)))),IF(OR(卡牌总表!H133="X",卡牌总表!H133="∞"),0.4,0.4))</f>
        <v>3</v>
      </c>
      <c r="I133">
        <f>卡牌总表!M133*卡牌总表!O133*参数!$B$5*IF(AND(卡牌总表!F133="能力",卡牌总表!AL133="能力持续"),参数!$B$2,1)+卡牌总表!P133*参数!$B$6*IF(AND(卡牌总表!F133="能力",卡牌总表!AL133="能力持续"),参数!$B$2,1)+卡牌总表!R133*参数!$B$7*IF(AND(卡牌总表!F133="能力",卡牌总表!AL133="能力持续"),参数!$B$2,1)+卡牌总表!V133*参数!$B$8+IF(卡牌总表!X133&lt;0,卡牌总表!X133*参数!$B$13,卡牌总表!X133*参数!$B$39)+IF(卡牌总表!AE133&lt;0,卡牌总表!AE133*参数!$B$13,卡牌总表!AE133*参数!$B$12)*参数!$B$2+卡牌总表!AQ133*参数!$B$15+卡牌总表!AB133*参数!$B$11+卡牌总表!AF133*参数!$B$40*参数!$B$2+卡牌总表!AG133*参数!$B$44*参数!$B$2+卡牌总表!AH133*参数!$B$6*参数!$B$2+卡牌总表!AI133*参数!$B$39*参数!$B$2+卡牌总表!AJ133*参数!$B$6*参数!$B$2+卡牌总表!Z133*参数!$B$13-卡牌总表!T133*参数!$B$14-卡牌总表!AD133*参数!$B$13+IF(ISNUMBER(卡牌总表!AU133),卡牌总表!AU133*参数!$B$38,0)-卡牌总表!AV133*参数!$B$41-卡牌总表!AW133*参数!$B$14</f>
        <v>1</v>
      </c>
      <c r="J133">
        <f>IF(AND(卡牌总表!F133="能力",卡牌总表!AL133="能力持续"),(参数!$B$2-1)*参数!$B$3,0)</f>
        <v>0</v>
      </c>
      <c r="K133">
        <f t="shared" si="7"/>
        <v>1</v>
      </c>
      <c r="L133">
        <f>卡牌总表!N133*卡牌总表!O133*参数!$B$5*IF(AND(卡牌总表!F133="能力",卡牌总表!AL133="能力持续"),参数!$B$2,1)+卡牌总表!Q133*参数!$B$6*IF(AND(卡牌总表!F133="能力",卡牌总表!AL133="能力持续"),参数!$B$2,1)+卡牌总表!S133*参数!$B$7*IF(AND(卡牌总表!F133="能力",卡牌总表!AL133="能力持续"),参数!$B$2,1)+卡牌总表!W133*参数!$B$8+IF(卡牌总表!Y133&lt;0,卡牌总表!Y133*参数!$B$13,卡牌总表!Y133*参数!$B$39)+IF(卡牌总表!AE133&lt;0,卡牌总表!AE133*参数!$B$13,卡牌总表!AE133*参数!$B$12)*参数!$B$2+卡牌总表!AR133*参数!$B$15+卡牌总表!AC133*参数!$B$11+卡牌总表!AF133*参数!$B$40*参数!$B$2+卡牌总表!AG133*参数!$B$44*参数!$B$2+卡牌总表!AH133*参数!$B$6*参数!$B$2+卡牌总表!AI133*参数!$B$39*参数!$B$2+卡牌总表!AJ133*参数!$B$6*参数!$B$2+卡牌总表!AA133*参数!$B$13-卡牌总表!U133*参数!$B$14-卡牌总表!AD133*参数!$B$13+IF(ISNUMBER(卡牌总表!AU133),卡牌总表!AU133*参数!$B$38,0)-卡牌总表!AV133*参数!$B$41-卡牌总表!AW133*参数!$B$14</f>
        <v>1</v>
      </c>
      <c r="M133">
        <f>IF(AND(卡牌总表!F133="能力",卡牌总表!AL133="能力持续"),参数!$B$2*参数!$B$3,0)</f>
        <v>0</v>
      </c>
      <c r="N133">
        <f t="shared" si="8"/>
        <v>1</v>
      </c>
      <c r="O133">
        <f>IFERROR(MAX(IF(K133 &gt; 参数!$B$17,参数!$B$17+SQRT(K133-参数!$B$17)*参数!$B$18,K133)-MAX(G133,0)*参数!$B$10,0)/MAX(G133,0.4),0)</f>
        <v>0</v>
      </c>
      <c r="P133">
        <f>IFERROR(MAX(IF(N133 &gt; 参数!$B$17,参数!$B$17+SQRT(N133-参数!$B$17)*参数!$B$18,N133)-MAX(H133,0)*参数!$B$10,0)/MAX(H133,0.4),0)</f>
        <v>0</v>
      </c>
      <c r="Q133">
        <f>卡牌总表!AO133</f>
        <v>0</v>
      </c>
    </row>
    <row r="134" spans="1:17" x14ac:dyDescent="0.3">
      <c r="A134">
        <f t="shared" si="6"/>
        <v>133</v>
      </c>
      <c r="B134" t="str">
        <f>卡牌总表!B134</f>
        <v>silent_neutralize</v>
      </c>
      <c r="C134" t="str">
        <f>卡牌总表!D134</f>
        <v>中和</v>
      </c>
      <c r="D134" t="str">
        <f>卡牌总表!F134</f>
        <v>攻击</v>
      </c>
      <c r="E134">
        <f>卡牌总表!AL134</f>
        <v>0</v>
      </c>
      <c r="F134">
        <f>卡牌总表!AN134</f>
        <v>0</v>
      </c>
      <c r="G134">
        <f>卡牌总表!AP134</f>
        <v>0.4</v>
      </c>
      <c r="H134">
        <f>IF(ISNUMBER(卡牌总表!H134),IF(AND(卡牌总表!H134=0,卡牌总表!V134=0,卡牌总表!AK134="none"),0.4,IF(卡牌总表!AK134="exhaust",MAX(卡牌总表!H134-卡牌总表!V134,0.4),IF(卡牌总表!AK134="ethereal",MAX(卡牌总表!H134-卡牌总表!V134,0.4),MAX(卡牌总表!H134-卡牌总表!V134,0.4)))),IF(OR(卡牌总表!H134="X",卡牌总表!H134="∞"),0.4,0.4))</f>
        <v>0.4</v>
      </c>
      <c r="I134">
        <f>卡牌总表!M134*卡牌总表!O134*参数!$B$5*IF(AND(卡牌总表!F134="能力",卡牌总表!AL134="能力持续"),参数!$B$2,1)+卡牌总表!P134*参数!$B$6*IF(AND(卡牌总表!F134="能力",卡牌总表!AL134="能力持续"),参数!$B$2,1)+卡牌总表!R134*参数!$B$7*IF(AND(卡牌总表!F134="能力",卡牌总表!AL134="能力持续"),参数!$B$2,1)+卡牌总表!V134*参数!$B$8+IF(卡牌总表!X134&lt;0,卡牌总表!X134*参数!$B$13,卡牌总表!X134*参数!$B$39)+IF(卡牌总表!AE134&lt;0,卡牌总表!AE134*参数!$B$13,卡牌总表!AE134*参数!$B$12)*参数!$B$2+卡牌总表!AQ134*参数!$B$15+卡牌总表!AB134*参数!$B$11+卡牌总表!AF134*参数!$B$40*参数!$B$2+卡牌总表!AG134*参数!$B$44*参数!$B$2+卡牌总表!AH134*参数!$B$6*参数!$B$2+卡牌总表!AI134*参数!$B$39*参数!$B$2+卡牌总表!AJ134*参数!$B$6*参数!$B$2+卡牌总表!Z134*参数!$B$13-卡牌总表!T134*参数!$B$14-卡牌总表!AD134*参数!$B$13+IF(ISNUMBER(卡牌总表!AU134),卡牌总表!AU134*参数!$B$38,0)-卡牌总表!AV134*参数!$B$41-卡牌总表!AW134*参数!$B$14</f>
        <v>4.5</v>
      </c>
      <c r="J134">
        <f>IF(AND(卡牌总表!F134="能力",卡牌总表!AL134="能力持续"),(参数!$B$2-1)*参数!$B$3,0)</f>
        <v>0</v>
      </c>
      <c r="K134">
        <f t="shared" si="7"/>
        <v>4.5</v>
      </c>
      <c r="L134">
        <f>卡牌总表!N134*卡牌总表!O134*参数!$B$5*IF(AND(卡牌总表!F134="能力",卡牌总表!AL134="能力持续"),参数!$B$2,1)+卡牌总表!Q134*参数!$B$6*IF(AND(卡牌总表!F134="能力",卡牌总表!AL134="能力持续"),参数!$B$2,1)+卡牌总表!S134*参数!$B$7*IF(AND(卡牌总表!F134="能力",卡牌总表!AL134="能力持续"),参数!$B$2,1)+卡牌总表!W134*参数!$B$8+IF(卡牌总表!Y134&lt;0,卡牌总表!Y134*参数!$B$13,卡牌总表!Y134*参数!$B$39)+IF(卡牌总表!AE134&lt;0,卡牌总表!AE134*参数!$B$13,卡牌总表!AE134*参数!$B$12)*参数!$B$2+卡牌总表!AR134*参数!$B$15+卡牌总表!AC134*参数!$B$11+卡牌总表!AF134*参数!$B$40*参数!$B$2+卡牌总表!AG134*参数!$B$44*参数!$B$2+卡牌总表!AH134*参数!$B$6*参数!$B$2+卡牌总表!AI134*参数!$B$39*参数!$B$2+卡牌总表!AJ134*参数!$B$6*参数!$B$2+卡牌总表!AA134*参数!$B$13-卡牌总表!U134*参数!$B$14-卡牌总表!AD134*参数!$B$13+IF(ISNUMBER(卡牌总表!AU134),卡牌总表!AU134*参数!$B$38,0)-卡牌总表!AV134*参数!$B$41-卡牌总表!AW134*参数!$B$14</f>
        <v>7</v>
      </c>
      <c r="M134">
        <f>IF(AND(卡牌总表!F134="能力",卡牌总表!AL134="能力持续"),参数!$B$2*参数!$B$3,0)</f>
        <v>0</v>
      </c>
      <c r="N134">
        <f t="shared" si="8"/>
        <v>7</v>
      </c>
      <c r="O134">
        <f>IFERROR(MAX(IF(K134 &gt; 参数!$B$17,参数!$B$17+SQRT(K134-参数!$B$17)*参数!$B$18,K134)-MAX(G134,0)*参数!$B$10,0)/MAX(G134,0.4),0)</f>
        <v>8.2499999999999982</v>
      </c>
      <c r="P134">
        <f>IFERROR(MAX(IF(N134 &gt; 参数!$B$17,参数!$B$17+SQRT(N134-参数!$B$17)*参数!$B$18,N134)-MAX(H134,0)*参数!$B$10,0)/MAX(H134,0.4),0)</f>
        <v>14.499999999999998</v>
      </c>
      <c r="Q134">
        <f>卡牌总表!AO134</f>
        <v>0</v>
      </c>
    </row>
    <row r="135" spans="1:17" x14ac:dyDescent="0.3">
      <c r="A135">
        <f t="shared" si="6"/>
        <v>134</v>
      </c>
      <c r="B135" t="str">
        <f>卡牌总表!B135</f>
        <v>silent_nightmare</v>
      </c>
      <c r="C135" t="str">
        <f>卡牌总表!D135</f>
        <v>夜魇</v>
      </c>
      <c r="D135" t="str">
        <f>卡牌总表!F135</f>
        <v>技能</v>
      </c>
      <c r="E135">
        <f>卡牌总表!AL135</f>
        <v>0</v>
      </c>
      <c r="F135">
        <f>卡牌总表!AN135</f>
        <v>0</v>
      </c>
      <c r="G135">
        <f>卡牌总表!AP135</f>
        <v>3</v>
      </c>
      <c r="H135">
        <f>IF(ISNUMBER(卡牌总表!H135),IF(AND(卡牌总表!H135=0,卡牌总表!V135=0,卡牌总表!AK135="none"),0.4,IF(卡牌总表!AK135="exhaust",MAX(卡牌总表!H135-卡牌总表!V135,0.4),IF(卡牌总表!AK135="ethereal",MAX(卡牌总表!H135-卡牌总表!V135,0.4),MAX(卡牌总表!H135-卡牌总表!V135,0.4)))),IF(OR(卡牌总表!H135="X",卡牌总表!H135="∞"),0.4,0.4))</f>
        <v>3</v>
      </c>
      <c r="I135">
        <f>卡牌总表!M135*卡牌总表!O135*参数!$B$5*IF(AND(卡牌总表!F135="能力",卡牌总表!AL135="能力持续"),参数!$B$2,1)+卡牌总表!P135*参数!$B$6*IF(AND(卡牌总表!F135="能力",卡牌总表!AL135="能力持续"),参数!$B$2,1)+卡牌总表!R135*参数!$B$7*IF(AND(卡牌总表!F135="能力",卡牌总表!AL135="能力持续"),参数!$B$2,1)+卡牌总表!V135*参数!$B$8+IF(卡牌总表!X135&lt;0,卡牌总表!X135*参数!$B$13,卡牌总表!X135*参数!$B$39)+IF(卡牌总表!AE135&lt;0,卡牌总表!AE135*参数!$B$13,卡牌总表!AE135*参数!$B$12)*参数!$B$2+卡牌总表!AQ135*参数!$B$15+卡牌总表!AB135*参数!$B$11+卡牌总表!AF135*参数!$B$40*参数!$B$2+卡牌总表!AG135*参数!$B$44*参数!$B$2+卡牌总表!AH135*参数!$B$6*参数!$B$2+卡牌总表!AI135*参数!$B$39*参数!$B$2+卡牌总表!AJ135*参数!$B$6*参数!$B$2+卡牌总表!Z135*参数!$B$13-卡牌总表!T135*参数!$B$14-卡牌总表!AD135*参数!$B$13+IF(ISNUMBER(卡牌总表!AU135),卡牌总表!AU135*参数!$B$38,0)-卡牌总表!AV135*参数!$B$41-卡牌总表!AW135*参数!$B$14</f>
        <v>20</v>
      </c>
      <c r="J135">
        <f>IF(AND(卡牌总表!F135="能力",卡牌总表!AL135="能力持续"),(参数!$B$2-1)*参数!$B$3,0)</f>
        <v>0</v>
      </c>
      <c r="K135">
        <f t="shared" si="7"/>
        <v>20</v>
      </c>
      <c r="L135">
        <f>卡牌总表!N135*卡牌总表!O135*参数!$B$5*IF(AND(卡牌总表!F135="能力",卡牌总表!AL135="能力持续"),参数!$B$2,1)+卡牌总表!Q135*参数!$B$6*IF(AND(卡牌总表!F135="能力",卡牌总表!AL135="能力持续"),参数!$B$2,1)+卡牌总表!S135*参数!$B$7*IF(AND(卡牌总表!F135="能力",卡牌总表!AL135="能力持续"),参数!$B$2,1)+卡牌总表!W135*参数!$B$8+IF(卡牌总表!Y135&lt;0,卡牌总表!Y135*参数!$B$13,卡牌总表!Y135*参数!$B$39)+IF(卡牌总表!AE135&lt;0,卡牌总表!AE135*参数!$B$13,卡牌总表!AE135*参数!$B$12)*参数!$B$2+卡牌总表!AR135*参数!$B$15+卡牌总表!AC135*参数!$B$11+卡牌总表!AF135*参数!$B$40*参数!$B$2+卡牌总表!AG135*参数!$B$44*参数!$B$2+卡牌总表!AH135*参数!$B$6*参数!$B$2+卡牌总表!AI135*参数!$B$39*参数!$B$2+卡牌总表!AJ135*参数!$B$6*参数!$B$2+卡牌总表!AA135*参数!$B$13-卡牌总表!U135*参数!$B$14-卡牌总表!AD135*参数!$B$13+IF(ISNUMBER(卡牌总表!AU135),卡牌总表!AU135*参数!$B$38,0)-卡牌总表!AV135*参数!$B$41-卡牌总表!AW135*参数!$B$14</f>
        <v>20</v>
      </c>
      <c r="M135">
        <f>IF(AND(卡牌总表!F135="能力",卡牌总表!AL135="能力持续"),参数!$B$2*参数!$B$3,0)</f>
        <v>0</v>
      </c>
      <c r="N135">
        <f t="shared" si="8"/>
        <v>20</v>
      </c>
      <c r="O135">
        <f>IFERROR(MAX(IF(K135 &gt; 参数!$B$17,参数!$B$17+SQRT(K135-参数!$B$17)*参数!$B$18,K135)-MAX(G135,0)*参数!$B$10,0)/MAX(G135,0.4),0)</f>
        <v>1.914472163417523</v>
      </c>
      <c r="P135">
        <f>IFERROR(MAX(IF(N135 &gt; 参数!$B$17,参数!$B$17+SQRT(N135-参数!$B$17)*参数!$B$18,N135)-MAX(H135,0)*参数!$B$10,0)/MAX(H135,0.4),0)</f>
        <v>1.914472163417523</v>
      </c>
      <c r="Q135">
        <f>卡牌总表!AO135</f>
        <v>0</v>
      </c>
    </row>
    <row r="136" spans="1:17" x14ac:dyDescent="0.3">
      <c r="A136">
        <f t="shared" si="6"/>
        <v>135</v>
      </c>
      <c r="B136" t="str">
        <f>卡牌总表!B136</f>
        <v>silent_noxious_fumes</v>
      </c>
      <c r="C136" t="str">
        <f>卡牌总表!D136</f>
        <v>毒雾</v>
      </c>
      <c r="D136" t="str">
        <f>卡牌总表!F136</f>
        <v>能力</v>
      </c>
      <c r="E136" t="str">
        <f>卡牌总表!AL136</f>
        <v>能力持续</v>
      </c>
      <c r="F136" t="str">
        <f>卡牌总表!AN136</f>
        <v>群体攻击，能力</v>
      </c>
      <c r="G136">
        <f>卡牌总表!AP136</f>
        <v>1</v>
      </c>
      <c r="H136">
        <f>IF(ISNUMBER(卡牌总表!H136),IF(AND(卡牌总表!H136=0,卡牌总表!V136=0,卡牌总表!AK136="none"),0.4,IF(卡牌总表!AK136="exhaust",MAX(卡牌总表!H136-卡牌总表!V136,0.4),IF(卡牌总表!AK136="ethereal",MAX(卡牌总表!H136-卡牌总表!V136,0.4),MAX(卡牌总表!H136-卡牌总表!V136,0.4)))),IF(OR(卡牌总表!H136="X",卡牌总表!H136="∞"),0.4,0.4))</f>
        <v>1</v>
      </c>
      <c r="I136">
        <f>卡牌总表!M136*卡牌总表!O136*参数!$B$5*IF(AND(卡牌总表!F136="能力",卡牌总表!AL136="能力持续"),参数!$B$2,1)+卡牌总表!P136*参数!$B$6*IF(AND(卡牌总表!F136="能力",卡牌总表!AL136="能力持续"),参数!$B$2,1)+卡牌总表!R136*参数!$B$7*IF(AND(卡牌总表!F136="能力",卡牌总表!AL136="能力持续"),参数!$B$2,1)+卡牌总表!V136*参数!$B$8+IF(卡牌总表!X136&lt;0,卡牌总表!X136*参数!$B$13,卡牌总表!X136*参数!$B$39)+IF(卡牌总表!AE136&lt;0,卡牌总表!AE136*参数!$B$13,卡牌总表!AE136*参数!$B$12)*参数!$B$2+卡牌总表!AQ136*参数!$B$15+卡牌总表!AB136*参数!$B$11+卡牌总表!AF136*参数!$B$40*参数!$B$2+卡牌总表!AG136*参数!$B$44*参数!$B$2+卡牌总表!AH136*参数!$B$6*参数!$B$2+卡牌总表!AI136*参数!$B$39*参数!$B$2+卡牌总表!AJ136*参数!$B$6*参数!$B$2+卡牌总表!Z136*参数!$B$13-卡牌总表!T136*参数!$B$14-卡牌总表!AD136*参数!$B$13+IF(ISNUMBER(卡牌总表!AU136),卡牌总表!AU136*参数!$B$38,0)-卡牌总表!AV136*参数!$B$41-卡牌总表!AW136*参数!$B$14</f>
        <v>8</v>
      </c>
      <c r="J136">
        <f>IF(AND(卡牌总表!F136="能力",卡牌总表!AL136="能力持续"),(参数!$B$2-1)*参数!$B$3,0)</f>
        <v>3.5999999999999996</v>
      </c>
      <c r="K136">
        <f t="shared" si="7"/>
        <v>11.6</v>
      </c>
      <c r="L136">
        <f>卡牌总表!N136*卡牌总表!O136*参数!$B$5*IF(AND(卡牌总表!F136="能力",卡牌总表!AL136="能力持续"),参数!$B$2,1)+卡牌总表!Q136*参数!$B$6*IF(AND(卡牌总表!F136="能力",卡牌总表!AL136="能力持续"),参数!$B$2,1)+卡牌总表!S136*参数!$B$7*IF(AND(卡牌总表!F136="能力",卡牌总表!AL136="能力持续"),参数!$B$2,1)+卡牌总表!W136*参数!$B$8+IF(卡牌总表!Y136&lt;0,卡牌总表!Y136*参数!$B$13,卡牌总表!Y136*参数!$B$39)+IF(卡牌总表!AE136&lt;0,卡牌总表!AE136*参数!$B$13,卡牌总表!AE136*参数!$B$12)*参数!$B$2+卡牌总表!AR136*参数!$B$15+卡牌总表!AC136*参数!$B$11+卡牌总表!AF136*参数!$B$40*参数!$B$2+卡牌总表!AG136*参数!$B$44*参数!$B$2+卡牌总表!AH136*参数!$B$6*参数!$B$2+卡牌总表!AI136*参数!$B$39*参数!$B$2+卡牌总表!AJ136*参数!$B$6*参数!$B$2+卡牌总表!AA136*参数!$B$13-卡牌总表!U136*参数!$B$14-卡牌总表!AD136*参数!$B$13+IF(ISNUMBER(卡牌总表!AU136),卡牌总表!AU136*参数!$B$38,0)-卡牌总表!AV136*参数!$B$41-卡牌总表!AW136*参数!$B$14</f>
        <v>8</v>
      </c>
      <c r="M136">
        <f>IF(AND(卡牌总表!F136="能力",卡牌总表!AL136="能力持续"),参数!$B$2*参数!$B$3,0)</f>
        <v>4.8</v>
      </c>
      <c r="N136">
        <f t="shared" si="8"/>
        <v>12.8</v>
      </c>
      <c r="O136">
        <f>IFERROR(MAX(IF(K136 &gt; 参数!$B$17,参数!$B$17+SQRT(K136-参数!$B$17)*参数!$B$18,K136)-MAX(G136,0)*参数!$B$10,0)/MAX(G136,0.4),0)</f>
        <v>8.897366596101028</v>
      </c>
      <c r="P136">
        <f>IFERROR(MAX(IF(N136 &gt; 参数!$B$17,参数!$B$17+SQRT(N136-参数!$B$17)*参数!$B$18,N136)-MAX(H136,0)*参数!$B$10,0)/MAX(H136,0.4),0)</f>
        <v>9.5099800796022276</v>
      </c>
      <c r="Q136">
        <f>卡牌总表!AO136</f>
        <v>0</v>
      </c>
    </row>
    <row r="137" spans="1:17" x14ac:dyDescent="0.3">
      <c r="A137">
        <f t="shared" si="6"/>
        <v>136</v>
      </c>
      <c r="B137" t="str">
        <f>卡牌总表!B137</f>
        <v>silent_outbreak</v>
      </c>
      <c r="C137" t="str">
        <f>卡牌总表!D137</f>
        <v>毒性爆发</v>
      </c>
      <c r="D137" t="str">
        <f>卡牌总表!F137</f>
        <v>能力</v>
      </c>
      <c r="E137" t="str">
        <f>卡牌总表!AL137</f>
        <v>能力持续</v>
      </c>
      <c r="F137" t="str">
        <f>卡牌总表!AN137</f>
        <v>群体攻击，能力</v>
      </c>
      <c r="G137">
        <f>卡牌总表!AP137</f>
        <v>3</v>
      </c>
      <c r="H137">
        <f>IF(ISNUMBER(卡牌总表!H137),IF(AND(卡牌总表!H137=0,卡牌总表!V137=0,卡牌总表!AK137="none"),0.4,IF(卡牌总表!AK137="exhaust",MAX(卡牌总表!H137-卡牌总表!V137,0.4),IF(卡牌总表!AK137="ethereal",MAX(卡牌总表!H137-卡牌总表!V137,0.4),MAX(卡牌总表!H137-卡牌总表!V137,0.4)))),IF(OR(卡牌总表!H137="X",卡牌总表!H137="∞"),0.4,0.4))</f>
        <v>3</v>
      </c>
      <c r="I137">
        <f>卡牌总表!M137*卡牌总表!O137*参数!$B$5*IF(AND(卡牌总表!F137="能力",卡牌总表!AL137="能力持续"),参数!$B$2,1)+卡牌总表!P137*参数!$B$6*IF(AND(卡牌总表!F137="能力",卡牌总表!AL137="能力持续"),参数!$B$2,1)+卡牌总表!R137*参数!$B$7*IF(AND(卡牌总表!F137="能力",卡牌总表!AL137="能力持续"),参数!$B$2,1)+卡牌总表!V137*参数!$B$8+IF(卡牌总表!X137&lt;0,卡牌总表!X137*参数!$B$13,卡牌总表!X137*参数!$B$39)+IF(卡牌总表!AE137&lt;0,卡牌总表!AE137*参数!$B$13,卡牌总表!AE137*参数!$B$12)*参数!$B$2+卡牌总表!AQ137*参数!$B$15+卡牌总表!AB137*参数!$B$11+卡牌总表!AF137*参数!$B$40*参数!$B$2+卡牌总表!AG137*参数!$B$44*参数!$B$2+卡牌总表!AH137*参数!$B$6*参数!$B$2+卡牌总表!AI137*参数!$B$39*参数!$B$2+卡牌总表!AJ137*参数!$B$6*参数!$B$2+卡牌总表!Z137*参数!$B$13-卡牌总表!T137*参数!$B$14-卡牌总表!AD137*参数!$B$13+IF(ISNUMBER(卡牌总表!AU137),卡牌总表!AU137*参数!$B$38,0)-卡牌总表!AV137*参数!$B$41-卡牌总表!AW137*参数!$B$14</f>
        <v>72</v>
      </c>
      <c r="J137">
        <f>IF(AND(卡牌总表!F137="能力",卡牌总表!AL137="能力持续"),(参数!$B$2-1)*参数!$B$3,0)</f>
        <v>3.5999999999999996</v>
      </c>
      <c r="K137">
        <f t="shared" si="7"/>
        <v>75.599999999999994</v>
      </c>
      <c r="L137">
        <f>卡牌总表!N137*卡牌总表!O137*参数!$B$5*IF(AND(卡牌总表!F137="能力",卡牌总表!AL137="能力持续"),参数!$B$2,1)+卡牌总表!Q137*参数!$B$6*IF(AND(卡牌总表!F137="能力",卡牌总表!AL137="能力持续"),参数!$B$2,1)+卡牌总表!S137*参数!$B$7*IF(AND(卡牌总表!F137="能力",卡牌总表!AL137="能力持续"),参数!$B$2,1)+卡牌总表!W137*参数!$B$8+IF(卡牌总表!Y137&lt;0,卡牌总表!Y137*参数!$B$13,卡牌总表!Y137*参数!$B$39)+IF(卡牌总表!AE137&lt;0,卡牌总表!AE137*参数!$B$13,卡牌总表!AE137*参数!$B$12)*参数!$B$2+卡牌总表!AR137*参数!$B$15+卡牌总表!AC137*参数!$B$11+卡牌总表!AF137*参数!$B$40*参数!$B$2+卡牌总表!AG137*参数!$B$44*参数!$B$2+卡牌总表!AH137*参数!$B$6*参数!$B$2+卡牌总表!AI137*参数!$B$39*参数!$B$2+卡牌总表!AJ137*参数!$B$6*参数!$B$2+卡牌总表!AA137*参数!$B$13-卡牌总表!U137*参数!$B$14-卡牌总表!AD137*参数!$B$13+IF(ISNUMBER(卡牌总表!AU137),卡牌总表!AU137*参数!$B$38,0)-卡牌总表!AV137*参数!$B$41-卡牌总表!AW137*参数!$B$14</f>
        <v>84</v>
      </c>
      <c r="M137">
        <f>IF(AND(卡牌总表!F137="能力",卡牌总表!AL137="能力持续"),参数!$B$2*参数!$B$3,0)</f>
        <v>4.8</v>
      </c>
      <c r="N137">
        <f t="shared" si="8"/>
        <v>88.8</v>
      </c>
      <c r="O137">
        <f>IFERROR(MAX(IF(K137 &gt; 参数!$B$17,参数!$B$17+SQRT(K137-参数!$B$17)*参数!$B$18,K137)-MAX(G137,0)*参数!$B$10,0)/MAX(G137,0.4),0)</f>
        <v>4.3830246795966508</v>
      </c>
      <c r="P137">
        <f>IFERROR(MAX(IF(N137 &gt; 参数!$B$17,参数!$B$17+SQRT(N137-参数!$B$17)*参数!$B$18,N137)-MAX(H137,0)*参数!$B$10,0)/MAX(H137,0.4),0)</f>
        <v>4.7718015375677636</v>
      </c>
      <c r="Q137">
        <f>卡牌总表!AO137</f>
        <v>0</v>
      </c>
    </row>
    <row r="138" spans="1:17" x14ac:dyDescent="0.3">
      <c r="A138">
        <f t="shared" si="6"/>
        <v>137</v>
      </c>
      <c r="B138" t="str">
        <f>卡牌总表!B138</f>
        <v>silent_phantom_blades</v>
      </c>
      <c r="C138" t="str">
        <f>卡牌总表!D138</f>
        <v>幻影之刃</v>
      </c>
      <c r="D138" t="str">
        <f>卡牌总表!F138</f>
        <v>能力</v>
      </c>
      <c r="E138" t="str">
        <f>卡牌总表!AL138</f>
        <v>能力持续</v>
      </c>
      <c r="F138" t="str">
        <f>卡牌总表!AN138</f>
        <v>能力</v>
      </c>
      <c r="G138">
        <f>卡牌总表!AP138</f>
        <v>1</v>
      </c>
      <c r="H138">
        <f>IF(ISNUMBER(卡牌总表!H138),IF(AND(卡牌总表!H138=0,卡牌总表!V138=0,卡牌总表!AK138="none"),0.4,IF(卡牌总表!AK138="exhaust",MAX(卡牌总表!H138-卡牌总表!V138,0.4),IF(卡牌总表!AK138="ethereal",MAX(卡牌总表!H138-卡牌总表!V138,0.4),MAX(卡牌总表!H138-卡牌总表!V138,0.4)))),IF(OR(卡牌总表!H138="X",卡牌总表!H138="∞"),0.4,0.4))</f>
        <v>1</v>
      </c>
      <c r="I138">
        <f>卡牌总表!M138*卡牌总表!O138*参数!$B$5*IF(AND(卡牌总表!F138="能力",卡牌总表!AL138="能力持续"),参数!$B$2,1)+卡牌总表!P138*参数!$B$6*IF(AND(卡牌总表!F138="能力",卡牌总表!AL138="能力持续"),参数!$B$2,1)+卡牌总表!R138*参数!$B$7*IF(AND(卡牌总表!F138="能力",卡牌总表!AL138="能力持续"),参数!$B$2,1)+卡牌总表!V138*参数!$B$8+IF(卡牌总表!X138&lt;0,卡牌总表!X138*参数!$B$13,卡牌总表!X138*参数!$B$39)+IF(卡牌总表!AE138&lt;0,卡牌总表!AE138*参数!$B$13,卡牌总表!AE138*参数!$B$12)*参数!$B$2+卡牌总表!AQ138*参数!$B$15+卡牌总表!AB138*参数!$B$11+卡牌总表!AF138*参数!$B$40*参数!$B$2+卡牌总表!AG138*参数!$B$44*参数!$B$2+卡牌总表!AH138*参数!$B$6*参数!$B$2+卡牌总表!AI138*参数!$B$39*参数!$B$2+卡牌总表!AJ138*参数!$B$6*参数!$B$2+卡牌总表!Z138*参数!$B$13-卡牌总表!T138*参数!$B$14-卡牌总表!AD138*参数!$B$13+IF(ISNUMBER(卡牌总表!AU138),卡牌总表!AU138*参数!$B$38,0)-卡牌总表!AV138*参数!$B$41-卡牌总表!AW138*参数!$B$14</f>
        <v>27</v>
      </c>
      <c r="J138">
        <f>IF(AND(卡牌总表!F138="能力",卡牌总表!AL138="能力持续"),(参数!$B$2-1)*参数!$B$3,0)</f>
        <v>3.5999999999999996</v>
      </c>
      <c r="K138">
        <f t="shared" si="7"/>
        <v>30.6</v>
      </c>
      <c r="L138">
        <f>卡牌总表!N138*卡牌总表!O138*参数!$B$5*IF(AND(卡牌总表!F138="能力",卡牌总表!AL138="能力持续"),参数!$B$2,1)+卡牌总表!Q138*参数!$B$6*IF(AND(卡牌总表!F138="能力",卡牌总表!AL138="能力持续"),参数!$B$2,1)+卡牌总表!S138*参数!$B$7*IF(AND(卡牌总表!F138="能力",卡牌总表!AL138="能力持续"),参数!$B$2,1)+卡牌总表!W138*参数!$B$8+IF(卡牌总表!Y138&lt;0,卡牌总表!Y138*参数!$B$13,卡牌总表!Y138*参数!$B$39)+IF(卡牌总表!AE138&lt;0,卡牌总表!AE138*参数!$B$13,卡牌总表!AE138*参数!$B$12)*参数!$B$2+卡牌总表!AR138*参数!$B$15+卡牌总表!AC138*参数!$B$11+卡牌总表!AF138*参数!$B$40*参数!$B$2+卡牌总表!AG138*参数!$B$44*参数!$B$2+卡牌总表!AH138*参数!$B$6*参数!$B$2+卡牌总表!AI138*参数!$B$39*参数!$B$2+卡牌总表!AJ138*参数!$B$6*参数!$B$2+卡牌总表!AA138*参数!$B$13-卡牌总表!U138*参数!$B$14-卡牌总表!AD138*参数!$B$13+IF(ISNUMBER(卡牌总表!AU138),卡牌总表!AU138*参数!$B$38,0)-卡牌总表!AV138*参数!$B$41-卡牌总表!AW138*参数!$B$14</f>
        <v>0</v>
      </c>
      <c r="M138">
        <f>IF(AND(卡牌总表!F138="能力",卡牌总表!AL138="能力持续"),参数!$B$2*参数!$B$3,0)</f>
        <v>4.8</v>
      </c>
      <c r="N138">
        <f t="shared" si="8"/>
        <v>4.8</v>
      </c>
      <c r="O138">
        <f>IFERROR(MAX(IF(K138 &gt; 参数!$B$17,参数!$B$17+SQRT(K138-参数!$B$17)*参数!$B$18,K138)-MAX(G138,0)*参数!$B$10,0)/MAX(G138,0.4),0)</f>
        <v>13.80808343074613</v>
      </c>
      <c r="P138">
        <f>IFERROR(MAX(IF(N138 &gt; 参数!$B$17,参数!$B$17+SQRT(N138-参数!$B$17)*参数!$B$18,N138)-MAX(H138,0)*参数!$B$10,0)/MAX(H138,0.4),0)</f>
        <v>1.7999999999999998</v>
      </c>
      <c r="Q138">
        <f>卡牌总表!AO138</f>
        <v>0</v>
      </c>
    </row>
    <row r="139" spans="1:17" x14ac:dyDescent="0.3">
      <c r="A139">
        <f t="shared" si="6"/>
        <v>138</v>
      </c>
      <c r="B139" t="str">
        <f>卡牌总表!B139</f>
        <v>silent_piercing_wail</v>
      </c>
      <c r="C139" t="str">
        <f>卡牌总表!D139</f>
        <v>尖啸</v>
      </c>
      <c r="D139" t="str">
        <f>卡牌总表!F139</f>
        <v>技能</v>
      </c>
      <c r="E139">
        <f>卡牌总表!AL139</f>
        <v>0</v>
      </c>
      <c r="F139" t="str">
        <f>卡牌总表!AN139</f>
        <v>群体攻击，本回合</v>
      </c>
      <c r="G139">
        <f>卡牌总表!AP139</f>
        <v>1</v>
      </c>
      <c r="H139">
        <f>IF(ISNUMBER(卡牌总表!H139),IF(AND(卡牌总表!H139=0,卡牌总表!V139=0,卡牌总表!AK139="none"),0.4,IF(卡牌总表!AK139="exhaust",MAX(卡牌总表!H139-卡牌总表!V139,0.4),IF(卡牌总表!AK139="ethereal",MAX(卡牌总表!H139-卡牌总表!V139,0.4),MAX(卡牌总表!H139-卡牌总表!V139,0.4)))),IF(OR(卡牌总表!H139="X",卡牌总表!H139="∞"),0.4,0.4))</f>
        <v>1</v>
      </c>
      <c r="I139">
        <f>卡牌总表!M139*卡牌总表!O139*参数!$B$5*IF(AND(卡牌总表!F139="能力",卡牌总表!AL139="能力持续"),参数!$B$2,1)+卡牌总表!P139*参数!$B$6*IF(AND(卡牌总表!F139="能力",卡牌总表!AL139="能力持续"),参数!$B$2,1)+卡牌总表!R139*参数!$B$7*IF(AND(卡牌总表!F139="能力",卡牌总表!AL139="能力持续"),参数!$B$2,1)+卡牌总表!V139*参数!$B$8+IF(卡牌总表!X139&lt;0,卡牌总表!X139*参数!$B$13,卡牌总表!X139*参数!$B$39)+IF(卡牌总表!AE139&lt;0,卡牌总表!AE139*参数!$B$13,卡牌总表!AE139*参数!$B$12)*参数!$B$2+卡牌总表!AQ139*参数!$B$15+卡牌总表!AB139*参数!$B$11+卡牌总表!AF139*参数!$B$40*参数!$B$2+卡牌总表!AG139*参数!$B$44*参数!$B$2+卡牌总表!AH139*参数!$B$6*参数!$B$2+卡牌总表!AI139*参数!$B$39*参数!$B$2+卡牌总表!AJ139*参数!$B$6*参数!$B$2+卡牌总表!Z139*参数!$B$13-卡牌总表!T139*参数!$B$14-卡牌总表!AD139*参数!$B$13+IF(ISNUMBER(卡牌总表!AU139),卡牌总表!AU139*参数!$B$38,0)-卡牌总表!AV139*参数!$B$41-卡牌总表!AW139*参数!$B$14</f>
        <v>21.599999999999998</v>
      </c>
      <c r="J139">
        <f>IF(AND(卡牌总表!F139="能力",卡牌总表!AL139="能力持续"),(参数!$B$2-1)*参数!$B$3,0)</f>
        <v>0</v>
      </c>
      <c r="K139">
        <f t="shared" si="7"/>
        <v>21.599999999999998</v>
      </c>
      <c r="L139">
        <f>卡牌总表!N139*卡牌总表!O139*参数!$B$5*IF(AND(卡牌总表!F139="能力",卡牌总表!AL139="能力持续"),参数!$B$2,1)+卡牌总表!Q139*参数!$B$6*IF(AND(卡牌总表!F139="能力",卡牌总表!AL139="能力持续"),参数!$B$2,1)+卡牌总表!S139*参数!$B$7*IF(AND(卡牌总表!F139="能力",卡牌总表!AL139="能力持续"),参数!$B$2,1)+卡牌总表!W139*参数!$B$8+IF(卡牌总表!Y139&lt;0,卡牌总表!Y139*参数!$B$13,卡牌总表!Y139*参数!$B$39)+IF(卡牌总表!AE139&lt;0,卡牌总表!AE139*参数!$B$13,卡牌总表!AE139*参数!$B$12)*参数!$B$2+卡牌总表!AR139*参数!$B$15+卡牌总表!AC139*参数!$B$11+卡牌总表!AF139*参数!$B$40*参数!$B$2+卡牌总表!AG139*参数!$B$44*参数!$B$2+卡牌总表!AH139*参数!$B$6*参数!$B$2+卡牌总表!AI139*参数!$B$39*参数!$B$2+卡牌总表!AJ139*参数!$B$6*参数!$B$2+卡牌总表!AA139*参数!$B$13-卡牌总表!U139*参数!$B$14-卡牌总表!AD139*参数!$B$13+IF(ISNUMBER(卡牌总表!AU139),卡牌总表!AU139*参数!$B$38,0)-卡牌总表!AV139*参数!$B$41-卡牌总表!AW139*参数!$B$14</f>
        <v>0</v>
      </c>
      <c r="M139">
        <f>IF(AND(卡牌总表!F139="能力",卡牌总表!AL139="能力持续"),参数!$B$2*参数!$B$3,0)</f>
        <v>0</v>
      </c>
      <c r="N139">
        <f t="shared" si="8"/>
        <v>0</v>
      </c>
      <c r="O139">
        <f>IFERROR(MAX(IF(K139 &gt; 参数!$B$17,参数!$B$17+SQRT(K139-参数!$B$17)*参数!$B$18,K139)-MAX(G139,0)*参数!$B$10,0)/MAX(G139,0.4),0)</f>
        <v>12.10881590977792</v>
      </c>
      <c r="P139">
        <f>IFERROR(MAX(IF(N139 &gt; 参数!$B$17,参数!$B$17+SQRT(N139-参数!$B$17)*参数!$B$18,N139)-MAX(H139,0)*参数!$B$10,0)/MAX(H139,0.4),0)</f>
        <v>0</v>
      </c>
      <c r="Q139" t="str">
        <f>卡牌总表!AO139</f>
        <v>减敌方力量6(本回合)</v>
      </c>
    </row>
    <row r="140" spans="1:17" x14ac:dyDescent="0.3">
      <c r="A140">
        <f t="shared" si="6"/>
        <v>139</v>
      </c>
      <c r="B140" t="str">
        <f>卡牌总表!B140</f>
        <v>silent_pinpoint</v>
      </c>
      <c r="C140" t="str">
        <f>卡牌总表!D140</f>
        <v>精准定位</v>
      </c>
      <c r="D140" t="str">
        <f>卡牌总表!F140</f>
        <v>攻击</v>
      </c>
      <c r="E140">
        <f>卡牌总表!AL140</f>
        <v>0</v>
      </c>
      <c r="F140" t="str">
        <f>卡牌总表!AN140</f>
        <v>本回合</v>
      </c>
      <c r="G140">
        <f>卡牌总表!AP140</f>
        <v>3</v>
      </c>
      <c r="H140">
        <f>IF(ISNUMBER(卡牌总表!H140),IF(AND(卡牌总表!H140=0,卡牌总表!V140=0,卡牌总表!AK140="none"),0.4,IF(卡牌总表!AK140="exhaust",MAX(卡牌总表!H140-卡牌总表!V140,0.4),IF(卡牌总表!AK140="ethereal",MAX(卡牌总表!H140-卡牌总表!V140,0.4),MAX(卡牌总表!H140-卡牌总表!V140,0.4)))),IF(OR(卡牌总表!H140="X",卡牌总表!H140="∞"),0.4,0.4))</f>
        <v>3</v>
      </c>
      <c r="I140">
        <f>卡牌总表!M140*卡牌总表!O140*参数!$B$5*IF(AND(卡牌总表!F140="能力",卡牌总表!AL140="能力持续"),参数!$B$2,1)+卡牌总表!P140*参数!$B$6*IF(AND(卡牌总表!F140="能力",卡牌总表!AL140="能力持续"),参数!$B$2,1)+卡牌总表!R140*参数!$B$7*IF(AND(卡牌总表!F140="能力",卡牌总表!AL140="能力持续"),参数!$B$2,1)+卡牌总表!V140*参数!$B$8+IF(卡牌总表!X140&lt;0,卡牌总表!X140*参数!$B$13,卡牌总表!X140*参数!$B$39)+IF(卡牌总表!AE140&lt;0,卡牌总表!AE140*参数!$B$13,卡牌总表!AE140*参数!$B$12)*参数!$B$2+卡牌总表!AQ140*参数!$B$15+卡牌总表!AB140*参数!$B$11+卡牌总表!AF140*参数!$B$40*参数!$B$2+卡牌总表!AG140*参数!$B$44*参数!$B$2+卡牌总表!AH140*参数!$B$6*参数!$B$2+卡牌总表!AI140*参数!$B$39*参数!$B$2+卡牌总表!AJ140*参数!$B$6*参数!$B$2+卡牌总表!Z140*参数!$B$13-卡牌总表!T140*参数!$B$14-卡牌总表!AD140*参数!$B$13+IF(ISNUMBER(卡牌总表!AU140),卡牌总表!AU140*参数!$B$38,0)-卡牌总表!AV140*参数!$B$41-卡牌总表!AW140*参数!$B$14</f>
        <v>15</v>
      </c>
      <c r="J140">
        <f>IF(AND(卡牌总表!F140="能力",卡牌总表!AL140="能力持续"),(参数!$B$2-1)*参数!$B$3,0)</f>
        <v>0</v>
      </c>
      <c r="K140">
        <f t="shared" si="7"/>
        <v>15</v>
      </c>
      <c r="L140">
        <f>卡牌总表!N140*卡牌总表!O140*参数!$B$5*IF(AND(卡牌总表!F140="能力",卡牌总表!AL140="能力持续"),参数!$B$2,1)+卡牌总表!Q140*参数!$B$6*IF(AND(卡牌总表!F140="能力",卡牌总表!AL140="能力持续"),参数!$B$2,1)+卡牌总表!S140*参数!$B$7*IF(AND(卡牌总表!F140="能力",卡牌总表!AL140="能力持续"),参数!$B$2,1)+卡牌总表!W140*参数!$B$8+IF(卡牌总表!Y140&lt;0,卡牌总表!Y140*参数!$B$13,卡牌总表!Y140*参数!$B$39)+IF(卡牌总表!AE140&lt;0,卡牌总表!AE140*参数!$B$13,卡牌总表!AE140*参数!$B$12)*参数!$B$2+卡牌总表!AR140*参数!$B$15+卡牌总表!AC140*参数!$B$11+卡牌总表!AF140*参数!$B$40*参数!$B$2+卡牌总表!AG140*参数!$B$44*参数!$B$2+卡牌总表!AH140*参数!$B$6*参数!$B$2+卡牌总表!AI140*参数!$B$39*参数!$B$2+卡牌总表!AJ140*参数!$B$6*参数!$B$2+卡牌总表!AA140*参数!$B$13-卡牌总表!U140*参数!$B$14-卡牌总表!AD140*参数!$B$13+IF(ISNUMBER(卡牌总表!AU140),卡牌总表!AU140*参数!$B$38,0)-卡牌总表!AV140*参数!$B$41-卡牌总表!AW140*参数!$B$14</f>
        <v>19</v>
      </c>
      <c r="M140">
        <f>IF(AND(卡牌总表!F140="能力",卡牌总表!AL140="能力持续"),参数!$B$2*参数!$B$3,0)</f>
        <v>0</v>
      </c>
      <c r="N140">
        <f t="shared" si="8"/>
        <v>19</v>
      </c>
      <c r="O140">
        <f>IFERROR(MAX(IF(K140 &gt; 参数!$B$17,参数!$B$17+SQRT(K140-参数!$B$17)*参数!$B$18,K140)-MAX(G140,0)*参数!$B$10,0)/MAX(G140,0.4),0)</f>
        <v>1.4513673220832282</v>
      </c>
      <c r="P140">
        <f>IFERROR(MAX(IF(N140 &gt; 参数!$B$17,参数!$B$17+SQRT(N140-参数!$B$17)*参数!$B$18,N140)-MAX(H140,0)*参数!$B$10,0)/MAX(H140,0.4),0)</f>
        <v>1.8333333333333333</v>
      </c>
      <c r="Q140">
        <f>卡牌总表!AO140</f>
        <v>0</v>
      </c>
    </row>
    <row r="141" spans="1:17" x14ac:dyDescent="0.3">
      <c r="A141">
        <f t="shared" si="6"/>
        <v>140</v>
      </c>
      <c r="B141" t="str">
        <f>卡牌总表!B141</f>
        <v>silent_poisoned_stab</v>
      </c>
      <c r="C141" t="str">
        <f>卡牌总表!D141</f>
        <v>带毒刺击</v>
      </c>
      <c r="D141" t="str">
        <f>卡牌总表!F141</f>
        <v>攻击</v>
      </c>
      <c r="E141">
        <f>卡牌总表!AL141</f>
        <v>0</v>
      </c>
      <c r="F141">
        <f>卡牌总表!AN141</f>
        <v>0</v>
      </c>
      <c r="G141">
        <f>卡牌总表!AP141</f>
        <v>1</v>
      </c>
      <c r="H141">
        <f>IF(ISNUMBER(卡牌总表!H141),IF(AND(卡牌总表!H141=0,卡牌总表!V141=0,卡牌总表!AK141="none"),0.4,IF(卡牌总表!AK141="exhaust",MAX(卡牌总表!H141-卡牌总表!V141,0.4),IF(卡牌总表!AK141="ethereal",MAX(卡牌总表!H141-卡牌总表!V141,0.4),MAX(卡牌总表!H141-卡牌总表!V141,0.4)))),IF(OR(卡牌总表!H141="X",卡牌总表!H141="∞"),0.4,0.4))</f>
        <v>1</v>
      </c>
      <c r="I141">
        <f>卡牌总表!M141*卡牌总表!O141*参数!$B$5*IF(AND(卡牌总表!F141="能力",卡牌总表!AL141="能力持续"),参数!$B$2,1)+卡牌总表!P141*参数!$B$6*IF(AND(卡牌总表!F141="能力",卡牌总表!AL141="能力持续"),参数!$B$2,1)+卡牌总表!R141*参数!$B$7*IF(AND(卡牌总表!F141="能力",卡牌总表!AL141="能力持续"),参数!$B$2,1)+卡牌总表!V141*参数!$B$8+IF(卡牌总表!X141&lt;0,卡牌总表!X141*参数!$B$13,卡牌总表!X141*参数!$B$39)+IF(卡牌总表!AE141&lt;0,卡牌总表!AE141*参数!$B$13,卡牌总表!AE141*参数!$B$12)*参数!$B$2+卡牌总表!AQ141*参数!$B$15+卡牌总表!AB141*参数!$B$11+卡牌总表!AF141*参数!$B$40*参数!$B$2+卡牌总表!AG141*参数!$B$44*参数!$B$2+卡牌总表!AH141*参数!$B$6*参数!$B$2+卡牌总表!AI141*参数!$B$39*参数!$B$2+卡牌总表!AJ141*参数!$B$6*参数!$B$2+卡牌总表!Z141*参数!$B$13-卡牌总表!T141*参数!$B$14-卡牌总表!AD141*参数!$B$13+IF(ISNUMBER(卡牌总表!AU141),卡牌总表!AU141*参数!$B$38,0)-卡牌总表!AV141*参数!$B$41-卡牌总表!AW141*参数!$B$14</f>
        <v>18</v>
      </c>
      <c r="J141">
        <f>IF(AND(卡牌总表!F141="能力",卡牌总表!AL141="能力持续"),(参数!$B$2-1)*参数!$B$3,0)</f>
        <v>0</v>
      </c>
      <c r="K141">
        <f t="shared" si="7"/>
        <v>18</v>
      </c>
      <c r="L141">
        <f>卡牌总表!N141*卡牌总表!O141*参数!$B$5*IF(AND(卡牌总表!F141="能力",卡牌总表!AL141="能力持续"),参数!$B$2,1)+卡牌总表!Q141*参数!$B$6*IF(AND(卡牌总表!F141="能力",卡牌总表!AL141="能力持续"),参数!$B$2,1)+卡牌总表!S141*参数!$B$7*IF(AND(卡牌总表!F141="能力",卡牌总表!AL141="能力持续"),参数!$B$2,1)+卡牌总表!W141*参数!$B$8+IF(卡牌总表!Y141&lt;0,卡牌总表!Y141*参数!$B$13,卡牌总表!Y141*参数!$B$39)+IF(卡牌总表!AE141&lt;0,卡牌总表!AE141*参数!$B$13,卡牌总表!AE141*参数!$B$12)*参数!$B$2+卡牌总表!AR141*参数!$B$15+卡牌总表!AC141*参数!$B$11+卡牌总表!AF141*参数!$B$40*参数!$B$2+卡牌总表!AG141*参数!$B$44*参数!$B$2+卡牌总表!AH141*参数!$B$6*参数!$B$2+卡牌总表!AI141*参数!$B$39*参数!$B$2+卡牌总表!AJ141*参数!$B$6*参数!$B$2+卡牌总表!AA141*参数!$B$13-卡牌总表!U141*参数!$B$14-卡牌总表!AD141*参数!$B$13+IF(ISNUMBER(卡牌总表!AU141),卡牌总表!AU141*参数!$B$38,0)-卡牌总表!AV141*参数!$B$41-卡牌总表!AW141*参数!$B$14</f>
        <v>20</v>
      </c>
      <c r="M141">
        <f>IF(AND(卡牌总表!F141="能力",卡牌总表!AL141="能力持续"),参数!$B$2*参数!$B$3,0)</f>
        <v>0</v>
      </c>
      <c r="N141">
        <f t="shared" si="8"/>
        <v>20</v>
      </c>
      <c r="O141">
        <f>IFERROR(MAX(IF(K141 &gt; 参数!$B$17,参数!$B$17+SQRT(K141-参数!$B$17)*参数!$B$18,K141)-MAX(G141,0)*参数!$B$10,0)/MAX(G141,0.4),0)</f>
        <v>11.242640687119286</v>
      </c>
      <c r="P141">
        <f>IFERROR(MAX(IF(N141 &gt; 参数!$B$17,参数!$B$17+SQRT(N141-参数!$B$17)*参数!$B$18,N141)-MAX(H141,0)*参数!$B$10,0)/MAX(H141,0.4),0)</f>
        <v>11.743416490252569</v>
      </c>
      <c r="Q141">
        <f>卡牌总表!AO141</f>
        <v>0</v>
      </c>
    </row>
    <row r="142" spans="1:17" x14ac:dyDescent="0.3">
      <c r="A142">
        <f t="shared" si="6"/>
        <v>141</v>
      </c>
      <c r="B142" t="str">
        <f>卡牌总表!B142</f>
        <v>silent_pounce</v>
      </c>
      <c r="C142" t="str">
        <f>卡牌总表!D142</f>
        <v>猛扑</v>
      </c>
      <c r="D142" t="str">
        <f>卡牌总表!F142</f>
        <v>攻击</v>
      </c>
      <c r="E142">
        <f>卡牌总表!AL142</f>
        <v>0</v>
      </c>
      <c r="F142">
        <f>卡牌总表!AN142</f>
        <v>0</v>
      </c>
      <c r="G142">
        <f>卡牌总表!AP142</f>
        <v>2</v>
      </c>
      <c r="H142">
        <f>IF(ISNUMBER(卡牌总表!H142),IF(AND(卡牌总表!H142=0,卡牌总表!V142=0,卡牌总表!AK142="none"),0.4,IF(卡牌总表!AK142="exhaust",MAX(卡牌总表!H142-卡牌总表!V142,0.4),IF(卡牌总表!AK142="ethereal",MAX(卡牌总表!H142-卡牌总表!V142,0.4),MAX(卡牌总表!H142-卡牌总表!V142,0.4)))),IF(OR(卡牌总表!H142="X",卡牌总表!H142="∞"),0.4,0.4))</f>
        <v>2</v>
      </c>
      <c r="I142">
        <f>卡牌总表!M142*卡牌总表!O142*参数!$B$5*IF(AND(卡牌总表!F142="能力",卡牌总表!AL142="能力持续"),参数!$B$2,1)+卡牌总表!P142*参数!$B$6*IF(AND(卡牌总表!F142="能力",卡牌总表!AL142="能力持续"),参数!$B$2,1)+卡牌总表!R142*参数!$B$7*IF(AND(卡牌总表!F142="能力",卡牌总表!AL142="能力持续"),参数!$B$2,1)+卡牌总表!V142*参数!$B$8+IF(卡牌总表!X142&lt;0,卡牌总表!X142*参数!$B$13,卡牌总表!X142*参数!$B$39)+IF(卡牌总表!AE142&lt;0,卡牌总表!AE142*参数!$B$13,卡牌总表!AE142*参数!$B$12)*参数!$B$2+卡牌总表!AQ142*参数!$B$15+卡牌总表!AB142*参数!$B$11+卡牌总表!AF142*参数!$B$40*参数!$B$2+卡牌总表!AG142*参数!$B$44*参数!$B$2+卡牌总表!AH142*参数!$B$6*参数!$B$2+卡牌总表!AI142*参数!$B$39*参数!$B$2+卡牌总表!AJ142*参数!$B$6*参数!$B$2+卡牌总表!Z142*参数!$B$13-卡牌总表!T142*参数!$B$14-卡牌总表!AD142*参数!$B$13+IF(ISNUMBER(卡牌总表!AU142),卡牌总表!AU142*参数!$B$38,0)-卡牌总表!AV142*参数!$B$41-卡牌总表!AW142*参数!$B$14</f>
        <v>12</v>
      </c>
      <c r="J142">
        <f>IF(AND(卡牌总表!F142="能力",卡牌总表!AL142="能力持续"),(参数!$B$2-1)*参数!$B$3,0)</f>
        <v>0</v>
      </c>
      <c r="K142">
        <f t="shared" si="7"/>
        <v>12</v>
      </c>
      <c r="L142">
        <f>卡牌总表!N142*卡牌总表!O142*参数!$B$5*IF(AND(卡牌总表!F142="能力",卡牌总表!AL142="能力持续"),参数!$B$2,1)+卡牌总表!Q142*参数!$B$6*IF(AND(卡牌总表!F142="能力",卡牌总表!AL142="能力持续"),参数!$B$2,1)+卡牌总表!S142*参数!$B$7*IF(AND(卡牌总表!F142="能力",卡牌总表!AL142="能力持续"),参数!$B$2,1)+卡牌总表!W142*参数!$B$8+IF(卡牌总表!Y142&lt;0,卡牌总表!Y142*参数!$B$13,卡牌总表!Y142*参数!$B$39)+IF(卡牌总表!AE142&lt;0,卡牌总表!AE142*参数!$B$13,卡牌总表!AE142*参数!$B$12)*参数!$B$2+卡牌总表!AR142*参数!$B$15+卡牌总表!AC142*参数!$B$11+卡牌总表!AF142*参数!$B$40*参数!$B$2+卡牌总表!AG142*参数!$B$44*参数!$B$2+卡牌总表!AH142*参数!$B$6*参数!$B$2+卡牌总表!AI142*参数!$B$39*参数!$B$2+卡牌总表!AJ142*参数!$B$6*参数!$B$2+卡牌总表!AA142*参数!$B$13-卡牌总表!U142*参数!$B$14-卡牌总表!AD142*参数!$B$13+IF(ISNUMBER(卡牌总表!AU142),卡牌总表!AU142*参数!$B$38,0)-卡牌总表!AV142*参数!$B$41-卡牌总表!AW142*参数!$B$14</f>
        <v>18</v>
      </c>
      <c r="M142">
        <f>IF(AND(卡牌总表!F142="能力",卡牌总表!AL142="能力持续"),参数!$B$2*参数!$B$3,0)</f>
        <v>0</v>
      </c>
      <c r="N142">
        <f t="shared" si="8"/>
        <v>18</v>
      </c>
      <c r="O142">
        <f>IFERROR(MAX(IF(K142 &gt; 参数!$B$17,参数!$B$17+SQRT(K142-参数!$B$17)*参数!$B$18,K142)-MAX(G142,0)*参数!$B$10,0)/MAX(G142,0.4),0)</f>
        <v>3.060660171779821</v>
      </c>
      <c r="P142">
        <f>IFERROR(MAX(IF(N142 &gt; 参数!$B$17,参数!$B$17+SQRT(N142-参数!$B$17)*参数!$B$18,N142)-MAX(H142,0)*参数!$B$10,0)/MAX(H142,0.4),0)</f>
        <v>4.1213203435596428</v>
      </c>
      <c r="Q142">
        <f>卡牌总表!AO142</f>
        <v>0</v>
      </c>
    </row>
    <row r="143" spans="1:17" x14ac:dyDescent="0.3">
      <c r="A143">
        <f t="shared" si="6"/>
        <v>142</v>
      </c>
      <c r="B143" t="str">
        <f>卡牌总表!B143</f>
        <v>silent_precise_cut</v>
      </c>
      <c r="C143" t="str">
        <f>卡牌总表!D143</f>
        <v>精准切割</v>
      </c>
      <c r="D143" t="str">
        <f>卡牌总表!F143</f>
        <v>攻击</v>
      </c>
      <c r="E143">
        <f>卡牌总表!AL143</f>
        <v>0</v>
      </c>
      <c r="F143">
        <f>卡牌总表!AN143</f>
        <v>0</v>
      </c>
      <c r="G143">
        <f>卡牌总表!AP143</f>
        <v>0.4</v>
      </c>
      <c r="H143">
        <f>IF(ISNUMBER(卡牌总表!H143),IF(AND(卡牌总表!H143=0,卡牌总表!V143=0,卡牌总表!AK143="none"),0.4,IF(卡牌总表!AK143="exhaust",MAX(卡牌总表!H143-卡牌总表!V143,0.4),IF(卡牌总表!AK143="ethereal",MAX(卡牌总表!H143-卡牌总表!V143,0.4),MAX(卡牌总表!H143-卡牌总表!V143,0.4)))),IF(OR(卡牌总表!H143="X",卡牌总表!H143="∞"),0.4,0.4))</f>
        <v>0.4</v>
      </c>
      <c r="I143">
        <f>卡牌总表!M143*卡牌总表!O143*参数!$B$5*IF(AND(卡牌总表!F143="能力",卡牌总表!AL143="能力持续"),参数!$B$2,1)+卡牌总表!P143*参数!$B$6*IF(AND(卡牌总表!F143="能力",卡牌总表!AL143="能力持续"),参数!$B$2,1)+卡牌总表!R143*参数!$B$7*IF(AND(卡牌总表!F143="能力",卡牌总表!AL143="能力持续"),参数!$B$2,1)+卡牌总表!V143*参数!$B$8+IF(卡牌总表!X143&lt;0,卡牌总表!X143*参数!$B$13,卡牌总表!X143*参数!$B$39)+IF(卡牌总表!AE143&lt;0,卡牌总表!AE143*参数!$B$13,卡牌总表!AE143*参数!$B$12)*参数!$B$2+卡牌总表!AQ143*参数!$B$15+卡牌总表!AB143*参数!$B$11+卡牌总表!AF143*参数!$B$40*参数!$B$2+卡牌总表!AG143*参数!$B$44*参数!$B$2+卡牌总表!AH143*参数!$B$6*参数!$B$2+卡牌总表!AI143*参数!$B$39*参数!$B$2+卡牌总表!AJ143*参数!$B$6*参数!$B$2+卡牌总表!Z143*参数!$B$13-卡牌总表!T143*参数!$B$14-卡牌总表!AD143*参数!$B$13+IF(ISNUMBER(卡牌总表!AU143),卡牌总表!AU143*参数!$B$38,0)-卡牌总表!AV143*参数!$B$41-卡牌总表!AW143*参数!$B$14</f>
        <v>13</v>
      </c>
      <c r="J143">
        <f>IF(AND(卡牌总表!F143="能力",卡牌总表!AL143="能力持续"),(参数!$B$2-1)*参数!$B$3,0)</f>
        <v>0</v>
      </c>
      <c r="K143">
        <f t="shared" si="7"/>
        <v>13</v>
      </c>
      <c r="L143">
        <f>卡牌总表!N143*卡牌总表!O143*参数!$B$5*IF(AND(卡牌总表!F143="能力",卡牌总表!AL143="能力持续"),参数!$B$2,1)+卡牌总表!Q143*参数!$B$6*IF(AND(卡牌总表!F143="能力",卡牌总表!AL143="能力持续"),参数!$B$2,1)+卡牌总表!S143*参数!$B$7*IF(AND(卡牌总表!F143="能力",卡牌总表!AL143="能力持续"),参数!$B$2,1)+卡牌总表!W143*参数!$B$8+IF(卡牌总表!Y143&lt;0,卡牌总表!Y143*参数!$B$13,卡牌总表!Y143*参数!$B$39)+IF(卡牌总表!AE143&lt;0,卡牌总表!AE143*参数!$B$13,卡牌总表!AE143*参数!$B$12)*参数!$B$2+卡牌总表!AR143*参数!$B$15+卡牌总表!AC143*参数!$B$11+卡牌总表!AF143*参数!$B$40*参数!$B$2+卡牌总表!AG143*参数!$B$44*参数!$B$2+卡牌总表!AH143*参数!$B$6*参数!$B$2+卡牌总表!AI143*参数!$B$39*参数!$B$2+卡牌总表!AJ143*参数!$B$6*参数!$B$2+卡牌总表!AA143*参数!$B$13-卡牌总表!U143*参数!$B$14-卡牌总表!AD143*参数!$B$13+IF(ISNUMBER(卡牌总表!AU143),卡牌总表!AU143*参数!$B$38,0)-卡牌总表!AV143*参数!$B$41-卡牌总表!AW143*参数!$B$14</f>
        <v>13</v>
      </c>
      <c r="M143">
        <f>IF(AND(卡牌总表!F143="能力",卡牌总表!AL143="能力持续"),参数!$B$2*参数!$B$3,0)</f>
        <v>0</v>
      </c>
      <c r="N143">
        <f t="shared" si="8"/>
        <v>13</v>
      </c>
      <c r="O143">
        <f>IFERROR(MAX(IF(K143 &gt; 参数!$B$17,参数!$B$17+SQRT(K143-参数!$B$17)*参数!$B$18,K143)-MAX(G143,0)*参数!$B$10,0)/MAX(G143,0.4),0)</f>
        <v>28.49519052838329</v>
      </c>
      <c r="P143">
        <f>IFERROR(MAX(IF(N143 &gt; 参数!$B$17,参数!$B$17+SQRT(N143-参数!$B$17)*参数!$B$18,N143)-MAX(H143,0)*参数!$B$10,0)/MAX(H143,0.4),0)</f>
        <v>28.49519052838329</v>
      </c>
      <c r="Q143">
        <f>卡牌总表!AO143</f>
        <v>0</v>
      </c>
    </row>
    <row r="144" spans="1:17" x14ac:dyDescent="0.3">
      <c r="A144">
        <f t="shared" si="6"/>
        <v>143</v>
      </c>
      <c r="B144" t="str">
        <f>卡牌总表!B144</f>
        <v>silent_predator</v>
      </c>
      <c r="C144" t="str">
        <f>卡牌总表!D144</f>
        <v>猎杀者</v>
      </c>
      <c r="D144" t="str">
        <f>卡牌总表!F144</f>
        <v>攻击</v>
      </c>
      <c r="E144">
        <f>卡牌总表!AL144</f>
        <v>0</v>
      </c>
      <c r="F144">
        <f>卡牌总表!AN144</f>
        <v>0</v>
      </c>
      <c r="G144">
        <f>卡牌总表!AP144</f>
        <v>2</v>
      </c>
      <c r="H144">
        <f>IF(ISNUMBER(卡牌总表!H144),IF(AND(卡牌总表!H144=0,卡牌总表!V144=0,卡牌总表!AK144="none"),0.4,IF(卡牌总表!AK144="exhaust",MAX(卡牌总表!H144-卡牌总表!V144,0.4),IF(卡牌总表!AK144="ethereal",MAX(卡牌总表!H144-卡牌总表!V144,0.4),MAX(卡牌总表!H144-卡牌总表!V144,0.4)))),IF(OR(卡牌总表!H144="X",卡牌总表!H144="∞"),0.4,0.4))</f>
        <v>2</v>
      </c>
      <c r="I144">
        <f>卡牌总表!M144*卡牌总表!O144*参数!$B$5*IF(AND(卡牌总表!F144="能力",卡牌总表!AL144="能力持续"),参数!$B$2,1)+卡牌总表!P144*参数!$B$6*IF(AND(卡牌总表!F144="能力",卡牌总表!AL144="能力持续"),参数!$B$2,1)+卡牌总表!R144*参数!$B$7*IF(AND(卡牌总表!F144="能力",卡牌总表!AL144="能力持续"),参数!$B$2,1)+卡牌总表!V144*参数!$B$8+IF(卡牌总表!X144&lt;0,卡牌总表!X144*参数!$B$13,卡牌总表!X144*参数!$B$39)+IF(卡牌总表!AE144&lt;0,卡牌总表!AE144*参数!$B$13,卡牌总表!AE144*参数!$B$12)*参数!$B$2+卡牌总表!AQ144*参数!$B$15+卡牌总表!AB144*参数!$B$11+卡牌总表!AF144*参数!$B$40*参数!$B$2+卡牌总表!AG144*参数!$B$44*参数!$B$2+卡牌总表!AH144*参数!$B$6*参数!$B$2+卡牌总表!AI144*参数!$B$39*参数!$B$2+卡牌总表!AJ144*参数!$B$6*参数!$B$2+卡牌总表!Z144*参数!$B$13-卡牌总表!T144*参数!$B$14-卡牌总表!AD144*参数!$B$13+IF(ISNUMBER(卡牌总表!AU144),卡牌总表!AU144*参数!$B$38,0)-卡牌总表!AV144*参数!$B$41-卡牌总表!AW144*参数!$B$14</f>
        <v>16.399999999999999</v>
      </c>
      <c r="J144">
        <f>IF(AND(卡牌总表!F144="能力",卡牌总表!AL144="能力持续"),(参数!$B$2-1)*参数!$B$3,0)</f>
        <v>0</v>
      </c>
      <c r="K144">
        <f t="shared" si="7"/>
        <v>16.399999999999999</v>
      </c>
      <c r="L144">
        <f>卡牌总表!N144*卡牌总表!O144*参数!$B$5*IF(AND(卡牌总表!F144="能力",卡牌总表!AL144="能力持续"),参数!$B$2,1)+卡牌总表!Q144*参数!$B$6*IF(AND(卡牌总表!F144="能力",卡牌总表!AL144="能力持续"),参数!$B$2,1)+卡牌总表!S144*参数!$B$7*IF(AND(卡牌总表!F144="能力",卡牌总表!AL144="能力持续"),参数!$B$2,1)+卡牌总表!W144*参数!$B$8+IF(卡牌总表!Y144&lt;0,卡牌总表!Y144*参数!$B$13,卡牌总表!Y144*参数!$B$39)+IF(卡牌总表!AE144&lt;0,卡牌总表!AE144*参数!$B$13,卡牌总表!AE144*参数!$B$12)*参数!$B$2+卡牌总表!AR144*参数!$B$15+卡牌总表!AC144*参数!$B$11+卡牌总表!AF144*参数!$B$40*参数!$B$2+卡牌总表!AG144*参数!$B$44*参数!$B$2+卡牌总表!AH144*参数!$B$6*参数!$B$2+卡牌总表!AI144*参数!$B$39*参数!$B$2+卡牌总表!AJ144*参数!$B$6*参数!$B$2+卡牌总表!AA144*参数!$B$13-卡牌总表!U144*参数!$B$14-卡牌总表!AD144*参数!$B$13+IF(ISNUMBER(卡牌总表!AU144),卡牌总表!AU144*参数!$B$38,0)-卡牌总表!AV144*参数!$B$41-卡牌总表!AW144*参数!$B$14</f>
        <v>21.4</v>
      </c>
      <c r="M144">
        <f>IF(AND(卡牌总表!F144="能力",卡牌总表!AL144="能力持续"),参数!$B$2*参数!$B$3,0)</f>
        <v>0</v>
      </c>
      <c r="N144">
        <f t="shared" si="8"/>
        <v>21.4</v>
      </c>
      <c r="O144">
        <f>IFERROR(MAX(IF(K144 &gt; 参数!$B$17,参数!$B$17+SQRT(K144-参数!$B$17)*参数!$B$18,K144)-MAX(G144,0)*参数!$B$10,0)/MAX(G144,0.4),0)</f>
        <v>3.8973665961010271</v>
      </c>
      <c r="P144">
        <f>IFERROR(MAX(IF(N144 &gt; 参数!$B$17,参数!$B$17+SQRT(N144-参数!$B$17)*参数!$B$18,N144)-MAX(H144,0)*参数!$B$10,0)/MAX(H144,0.4),0)</f>
        <v>4.5322914524201199</v>
      </c>
      <c r="Q144">
        <f>卡牌总表!AO144</f>
        <v>0</v>
      </c>
    </row>
    <row r="145" spans="1:17" x14ac:dyDescent="0.3">
      <c r="A145">
        <f t="shared" si="6"/>
        <v>144</v>
      </c>
      <c r="B145" t="str">
        <f>卡牌总表!B145</f>
        <v>silent_prepared</v>
      </c>
      <c r="C145" t="str">
        <f>卡牌总表!D145</f>
        <v>早有准备</v>
      </c>
      <c r="D145" t="str">
        <f>卡牌总表!F145</f>
        <v>技能</v>
      </c>
      <c r="E145">
        <f>卡牌总表!AL145</f>
        <v>0</v>
      </c>
      <c r="F145">
        <f>卡牌总表!AN145</f>
        <v>0</v>
      </c>
      <c r="G145">
        <f>卡牌总表!AP145</f>
        <v>0.4</v>
      </c>
      <c r="H145">
        <f>IF(ISNUMBER(卡牌总表!H145),IF(AND(卡牌总表!H145=0,卡牌总表!V145=0,卡牌总表!AK145="none"),0.4,IF(卡牌总表!AK145="exhaust",MAX(卡牌总表!H145-卡牌总表!V145,0.4),IF(卡牌总表!AK145="ethereal",MAX(卡牌总表!H145-卡牌总表!V145,0.4),MAX(卡牌总表!H145-卡牌总表!V145,0.4)))),IF(OR(卡牌总表!H145="X",卡牌总表!H145="∞"),0.4,0.4))</f>
        <v>0.4</v>
      </c>
      <c r="I145">
        <f>卡牌总表!M145*卡牌总表!O145*参数!$B$5*IF(AND(卡牌总表!F145="能力",卡牌总表!AL145="能力持续"),参数!$B$2,1)+卡牌总表!P145*参数!$B$6*IF(AND(卡牌总表!F145="能力",卡牌总表!AL145="能力持续"),参数!$B$2,1)+卡牌总表!R145*参数!$B$7*IF(AND(卡牌总表!F145="能力",卡牌总表!AL145="能力持续"),参数!$B$2,1)+卡牌总表!V145*参数!$B$8+IF(卡牌总表!X145&lt;0,卡牌总表!X145*参数!$B$13,卡牌总表!X145*参数!$B$39)+IF(卡牌总表!AE145&lt;0,卡牌总表!AE145*参数!$B$13,卡牌总表!AE145*参数!$B$12)*参数!$B$2+卡牌总表!AQ145*参数!$B$15+卡牌总表!AB145*参数!$B$11+卡牌总表!AF145*参数!$B$40*参数!$B$2+卡牌总表!AG145*参数!$B$44*参数!$B$2+卡牌总表!AH145*参数!$B$6*参数!$B$2+卡牌总表!AI145*参数!$B$39*参数!$B$2+卡牌总表!AJ145*参数!$B$6*参数!$B$2+卡牌总表!Z145*参数!$B$13-卡牌总表!T145*参数!$B$14-卡牌总表!AD145*参数!$B$13+IF(ISNUMBER(卡牌总表!AU145),卡牌总表!AU145*参数!$B$38,0)-卡牌总表!AV145*参数!$B$41-卡牌总表!AW145*参数!$B$14</f>
        <v>0.39999999999999997</v>
      </c>
      <c r="J145">
        <f>IF(AND(卡牌总表!F145="能力",卡牌总表!AL145="能力持续"),(参数!$B$2-1)*参数!$B$3,0)</f>
        <v>0</v>
      </c>
      <c r="K145">
        <f t="shared" si="7"/>
        <v>0.39999999999999997</v>
      </c>
      <c r="L145">
        <f>卡牌总表!N145*卡牌总表!O145*参数!$B$5*IF(AND(卡牌总表!F145="能力",卡牌总表!AL145="能力持续"),参数!$B$2,1)+卡牌总表!Q145*参数!$B$6*IF(AND(卡牌总表!F145="能力",卡牌总表!AL145="能力持续"),参数!$B$2,1)+卡牌总表!S145*参数!$B$7*IF(AND(卡牌总表!F145="能力",卡牌总表!AL145="能力持续"),参数!$B$2,1)+卡牌总表!W145*参数!$B$8+IF(卡牌总表!Y145&lt;0,卡牌总表!Y145*参数!$B$13,卡牌总表!Y145*参数!$B$39)+IF(卡牌总表!AE145&lt;0,卡牌总表!AE145*参数!$B$13,卡牌总表!AE145*参数!$B$12)*参数!$B$2+卡牌总表!AR145*参数!$B$15+卡牌总表!AC145*参数!$B$11+卡牌总表!AF145*参数!$B$40*参数!$B$2+卡牌总表!AG145*参数!$B$44*参数!$B$2+卡牌总表!AH145*参数!$B$6*参数!$B$2+卡牌总表!AI145*参数!$B$39*参数!$B$2+卡牌总表!AJ145*参数!$B$6*参数!$B$2+卡牌总表!AA145*参数!$B$13-卡牌总表!U145*参数!$B$14-卡牌总表!AD145*参数!$B$13+IF(ISNUMBER(卡牌总表!AU145),卡牌总表!AU145*参数!$B$38,0)-卡牌总表!AV145*参数!$B$41-卡牌总表!AW145*参数!$B$14</f>
        <v>0.79999999999999993</v>
      </c>
      <c r="M145">
        <f>IF(AND(卡牌总表!F145="能力",卡牌总表!AL145="能力持续"),参数!$B$2*参数!$B$3,0)</f>
        <v>0</v>
      </c>
      <c r="N145">
        <f t="shared" si="8"/>
        <v>0.79999999999999993</v>
      </c>
      <c r="O145">
        <f>IFERROR(MAX(IF(K145 &gt; 参数!$B$17,参数!$B$17+SQRT(K145-参数!$B$17)*参数!$B$18,K145)-MAX(G145,0)*参数!$B$10,0)/MAX(G145,0.4),0)</f>
        <v>0</v>
      </c>
      <c r="P145">
        <f>IFERROR(MAX(IF(N145 &gt; 参数!$B$17,参数!$B$17+SQRT(N145-参数!$B$17)*参数!$B$18,N145)-MAX(H145,0)*参数!$B$10,0)/MAX(H145,0.4),0)</f>
        <v>0</v>
      </c>
      <c r="Q145">
        <f>卡牌总表!AO145</f>
        <v>0</v>
      </c>
    </row>
    <row r="146" spans="1:17" x14ac:dyDescent="0.3">
      <c r="A146">
        <f t="shared" si="6"/>
        <v>145</v>
      </c>
      <c r="B146" t="str">
        <f>卡牌总表!B146</f>
        <v>silent_reflex</v>
      </c>
      <c r="C146" t="str">
        <f>卡牌总表!D146</f>
        <v>本能反应</v>
      </c>
      <c r="D146" t="str">
        <f>卡牌总表!F146</f>
        <v>技能</v>
      </c>
      <c r="E146">
        <f>卡牌总表!AL146</f>
        <v>0</v>
      </c>
      <c r="F146">
        <f>卡牌总表!AN146</f>
        <v>0</v>
      </c>
      <c r="G146">
        <f>卡牌总表!AP146</f>
        <v>3</v>
      </c>
      <c r="H146">
        <f>IF(ISNUMBER(卡牌总表!H146),IF(AND(卡牌总表!H146=0,卡牌总表!V146=0,卡牌总表!AK146="none"),0.4,IF(卡牌总表!AK146="exhaust",MAX(卡牌总表!H146-卡牌总表!V146,0.4),IF(卡牌总表!AK146="ethereal",MAX(卡牌总表!H146-卡牌总表!V146,0.4),MAX(卡牌总表!H146-卡牌总表!V146,0.4)))),IF(OR(卡牌总表!H146="X",卡牌总表!H146="∞"),0.4,0.4))</f>
        <v>3</v>
      </c>
      <c r="I146">
        <f>卡牌总表!M146*卡牌总表!O146*参数!$B$5*IF(AND(卡牌总表!F146="能力",卡牌总表!AL146="能力持续"),参数!$B$2,1)+卡牌总表!P146*参数!$B$6*IF(AND(卡牌总表!F146="能力",卡牌总表!AL146="能力持续"),参数!$B$2,1)+卡牌总表!R146*参数!$B$7*IF(AND(卡牌总表!F146="能力",卡牌总表!AL146="能力持续"),参数!$B$2,1)+卡牌总表!V146*参数!$B$8+IF(卡牌总表!X146&lt;0,卡牌总表!X146*参数!$B$13,卡牌总表!X146*参数!$B$39)+IF(卡牌总表!AE146&lt;0,卡牌总表!AE146*参数!$B$13,卡牌总表!AE146*参数!$B$12)*参数!$B$2+卡牌总表!AQ146*参数!$B$15+卡牌总表!AB146*参数!$B$11+卡牌总表!AF146*参数!$B$40*参数!$B$2+卡牌总表!AG146*参数!$B$44*参数!$B$2+卡牌总表!AH146*参数!$B$6*参数!$B$2+卡牌总表!AI146*参数!$B$39*参数!$B$2+卡牌总表!AJ146*参数!$B$6*参数!$B$2+卡牌总表!Z146*参数!$B$13-卡牌总表!T146*参数!$B$14-卡牌总表!AD146*参数!$B$13+IF(ISNUMBER(卡牌总表!AU146),卡牌总表!AU146*参数!$B$38,0)-卡牌总表!AV146*参数!$B$41-卡牌总表!AW146*参数!$B$14</f>
        <v>1.4</v>
      </c>
      <c r="J146">
        <f>IF(AND(卡牌总表!F146="能力",卡牌总表!AL146="能力持续"),(参数!$B$2-1)*参数!$B$3,0)</f>
        <v>0</v>
      </c>
      <c r="K146">
        <f t="shared" si="7"/>
        <v>1.4</v>
      </c>
      <c r="L146">
        <f>卡牌总表!N146*卡牌总表!O146*参数!$B$5*IF(AND(卡牌总表!F146="能力",卡牌总表!AL146="能力持续"),参数!$B$2,1)+卡牌总表!Q146*参数!$B$6*IF(AND(卡牌总表!F146="能力",卡牌总表!AL146="能力持续"),参数!$B$2,1)+卡牌总表!S146*参数!$B$7*IF(AND(卡牌总表!F146="能力",卡牌总表!AL146="能力持续"),参数!$B$2,1)+卡牌总表!W146*参数!$B$8+IF(卡牌总表!Y146&lt;0,卡牌总表!Y146*参数!$B$13,卡牌总表!Y146*参数!$B$39)+IF(卡牌总表!AE146&lt;0,卡牌总表!AE146*参数!$B$13,卡牌总表!AE146*参数!$B$12)*参数!$B$2+卡牌总表!AR146*参数!$B$15+卡牌总表!AC146*参数!$B$11+卡牌总表!AF146*参数!$B$40*参数!$B$2+卡牌总表!AG146*参数!$B$44*参数!$B$2+卡牌总表!AH146*参数!$B$6*参数!$B$2+卡牌总表!AI146*参数!$B$39*参数!$B$2+卡牌总表!AJ146*参数!$B$6*参数!$B$2+卡牌总表!AA146*参数!$B$13-卡牌总表!U146*参数!$B$14-卡牌总表!AD146*参数!$B$13+IF(ISNUMBER(卡牌总表!AU146),卡牌总表!AU146*参数!$B$38,0)-卡牌总表!AV146*参数!$B$41-卡牌总表!AW146*参数!$B$14</f>
        <v>2.0999999999999996</v>
      </c>
      <c r="M146">
        <f>IF(AND(卡牌总表!F146="能力",卡牌总表!AL146="能力持续"),参数!$B$2*参数!$B$3,0)</f>
        <v>0</v>
      </c>
      <c r="N146">
        <f t="shared" si="8"/>
        <v>2.0999999999999996</v>
      </c>
      <c r="O146">
        <f>IFERROR(MAX(IF(K146 &gt; 参数!$B$17,参数!$B$17+SQRT(K146-参数!$B$17)*参数!$B$18,K146)-MAX(G146,0)*参数!$B$10,0)/MAX(G146,0.4),0)</f>
        <v>0</v>
      </c>
      <c r="P146">
        <f>IFERROR(MAX(IF(N146 &gt; 参数!$B$17,参数!$B$17+SQRT(N146-参数!$B$17)*参数!$B$18,N146)-MAX(H146,0)*参数!$B$10,0)/MAX(H146,0.4),0)</f>
        <v>0</v>
      </c>
      <c r="Q146">
        <f>卡牌总表!AO146</f>
        <v>0</v>
      </c>
    </row>
    <row r="147" spans="1:17" x14ac:dyDescent="0.3">
      <c r="A147">
        <f t="shared" si="6"/>
        <v>146</v>
      </c>
      <c r="B147" t="str">
        <f>卡牌总表!B147</f>
        <v>silent_ricochet</v>
      </c>
      <c r="C147" t="str">
        <f>卡牌总表!D147</f>
        <v>连续反弹</v>
      </c>
      <c r="D147" t="str">
        <f>卡牌总表!F147</f>
        <v>攻击</v>
      </c>
      <c r="E147">
        <f>卡牌总表!AL147</f>
        <v>0</v>
      </c>
      <c r="F147">
        <f>卡牌总表!AN147</f>
        <v>0</v>
      </c>
      <c r="G147">
        <f>卡牌总表!AP147</f>
        <v>2</v>
      </c>
      <c r="H147">
        <f>IF(ISNUMBER(卡牌总表!H147),IF(AND(卡牌总表!H147=0,卡牌总表!V147=0,卡牌总表!AK147="none"),0.4,IF(卡牌总表!AK147="exhaust",MAX(卡牌总表!H147-卡牌总表!V147,0.4),IF(卡牌总表!AK147="ethereal",MAX(卡牌总表!H147-卡牌总表!V147,0.4),MAX(卡牌总表!H147-卡牌总表!V147,0.4)))),IF(OR(卡牌总表!H147="X",卡牌总表!H147="∞"),0.4,0.4))</f>
        <v>2</v>
      </c>
      <c r="I147">
        <f>卡牌总表!M147*卡牌总表!O147*参数!$B$5*IF(AND(卡牌总表!F147="能力",卡牌总表!AL147="能力持续"),参数!$B$2,1)+卡牌总表!P147*参数!$B$6*IF(AND(卡牌总表!F147="能力",卡牌总表!AL147="能力持续"),参数!$B$2,1)+卡牌总表!R147*参数!$B$7*IF(AND(卡牌总表!F147="能力",卡牌总表!AL147="能力持续"),参数!$B$2,1)+卡牌总表!V147*参数!$B$8+IF(卡牌总表!X147&lt;0,卡牌总表!X147*参数!$B$13,卡牌总表!X147*参数!$B$39)+IF(卡牌总表!AE147&lt;0,卡牌总表!AE147*参数!$B$13,卡牌总表!AE147*参数!$B$12)*参数!$B$2+卡牌总表!AQ147*参数!$B$15+卡牌总表!AB147*参数!$B$11+卡牌总表!AF147*参数!$B$40*参数!$B$2+卡牌总表!AG147*参数!$B$44*参数!$B$2+卡牌总表!AH147*参数!$B$6*参数!$B$2+卡牌总表!AI147*参数!$B$39*参数!$B$2+卡牌总表!AJ147*参数!$B$6*参数!$B$2+卡牌总表!Z147*参数!$B$13-卡牌总表!T147*参数!$B$14-卡牌总表!AD147*参数!$B$13+IF(ISNUMBER(卡牌总表!AU147),卡牌总表!AU147*参数!$B$38,0)-卡牌总表!AV147*参数!$B$41-卡牌总表!AW147*参数!$B$14</f>
        <v>12</v>
      </c>
      <c r="J147">
        <f>IF(AND(卡牌总表!F147="能力",卡牌总表!AL147="能力持续"),(参数!$B$2-1)*参数!$B$3,0)</f>
        <v>0</v>
      </c>
      <c r="K147">
        <f t="shared" si="7"/>
        <v>12</v>
      </c>
      <c r="L147">
        <f>卡牌总表!N147*卡牌总表!O147*参数!$B$5*IF(AND(卡牌总表!F147="能力",卡牌总表!AL147="能力持续"),参数!$B$2,1)+卡牌总表!Q147*参数!$B$6*IF(AND(卡牌总表!F147="能力",卡牌总表!AL147="能力持续"),参数!$B$2,1)+卡牌总表!S147*参数!$B$7*IF(AND(卡牌总表!F147="能力",卡牌总表!AL147="能力持续"),参数!$B$2,1)+卡牌总表!W147*参数!$B$8+IF(卡牌总表!Y147&lt;0,卡牌总表!Y147*参数!$B$13,卡牌总表!Y147*参数!$B$39)+IF(卡牌总表!AE147&lt;0,卡牌总表!AE147*参数!$B$13,卡牌总表!AE147*参数!$B$12)*参数!$B$2+卡牌总表!AR147*参数!$B$15+卡牌总表!AC147*参数!$B$11+卡牌总表!AF147*参数!$B$40*参数!$B$2+卡牌总表!AG147*参数!$B$44*参数!$B$2+卡牌总表!AH147*参数!$B$6*参数!$B$2+卡牌总表!AI147*参数!$B$39*参数!$B$2+卡牌总表!AJ147*参数!$B$6*参数!$B$2+卡牌总表!AA147*参数!$B$13-卡牌总表!U147*参数!$B$14-卡牌总表!AD147*参数!$B$13+IF(ISNUMBER(卡牌总表!AU147),卡牌总表!AU147*参数!$B$38,0)-卡牌总表!AV147*参数!$B$41-卡牌总表!AW147*参数!$B$14</f>
        <v>12</v>
      </c>
      <c r="M147">
        <f>IF(AND(卡牌总表!F147="能力",卡牌总表!AL147="能力持续"),参数!$B$2*参数!$B$3,0)</f>
        <v>0</v>
      </c>
      <c r="N147">
        <f t="shared" si="8"/>
        <v>12</v>
      </c>
      <c r="O147">
        <f>IFERROR(MAX(IF(K147 &gt; 参数!$B$17,参数!$B$17+SQRT(K147-参数!$B$17)*参数!$B$18,K147)-MAX(G147,0)*参数!$B$10,0)/MAX(G147,0.4),0)</f>
        <v>3.060660171779821</v>
      </c>
      <c r="P147">
        <f>IFERROR(MAX(IF(N147 &gt; 参数!$B$17,参数!$B$17+SQRT(N147-参数!$B$17)*参数!$B$18,N147)-MAX(H147,0)*参数!$B$10,0)/MAX(H147,0.4),0)</f>
        <v>3.060660171779821</v>
      </c>
      <c r="Q147">
        <f>卡牌总表!AO147</f>
        <v>0</v>
      </c>
    </row>
    <row r="148" spans="1:17" x14ac:dyDescent="0.3">
      <c r="A148">
        <f t="shared" si="6"/>
        <v>147</v>
      </c>
      <c r="B148" t="str">
        <f>卡牌总表!B148</f>
        <v>silent_serpent_form</v>
      </c>
      <c r="C148" t="str">
        <f>卡牌总表!D148</f>
        <v>群蛇形态</v>
      </c>
      <c r="D148" t="str">
        <f>卡牌总表!F148</f>
        <v>能力</v>
      </c>
      <c r="E148" t="str">
        <f>卡牌总表!AL148</f>
        <v>能力持续</v>
      </c>
      <c r="F148" t="str">
        <f>卡牌总表!AN148</f>
        <v>能力</v>
      </c>
      <c r="G148">
        <f>卡牌总表!AP148</f>
        <v>3</v>
      </c>
      <c r="H148">
        <f>IF(ISNUMBER(卡牌总表!H148),IF(AND(卡牌总表!H148=0,卡牌总表!V148=0,卡牌总表!AK148="none"),0.4,IF(卡牌总表!AK148="exhaust",MAX(卡牌总表!H148-卡牌总表!V148,0.4),IF(卡牌总表!AK148="ethereal",MAX(卡牌总表!H148-卡牌总表!V148,0.4),MAX(卡牌总表!H148-卡牌总表!V148,0.4)))),IF(OR(卡牌总表!H148="X",卡牌总表!H148="∞"),0.4,0.4))</f>
        <v>3</v>
      </c>
      <c r="I148">
        <f>卡牌总表!M148*卡牌总表!O148*参数!$B$5*IF(AND(卡牌总表!F148="能力",卡牌总表!AL148="能力持续"),参数!$B$2,1)+卡牌总表!P148*参数!$B$6*IF(AND(卡牌总表!F148="能力",卡牌总表!AL148="能力持续"),参数!$B$2,1)+卡牌总表!R148*参数!$B$7*IF(AND(卡牌总表!F148="能力",卡牌总表!AL148="能力持续"),参数!$B$2,1)+卡牌总表!V148*参数!$B$8+IF(卡牌总表!X148&lt;0,卡牌总表!X148*参数!$B$13,卡牌总表!X148*参数!$B$39)+IF(卡牌总表!AE148&lt;0,卡牌总表!AE148*参数!$B$13,卡牌总表!AE148*参数!$B$12)*参数!$B$2+卡牌总表!AQ148*参数!$B$15+卡牌总表!AB148*参数!$B$11+卡牌总表!AF148*参数!$B$40*参数!$B$2+卡牌总表!AG148*参数!$B$44*参数!$B$2+卡牌总表!AH148*参数!$B$6*参数!$B$2+卡牌总表!AI148*参数!$B$39*参数!$B$2+卡牌总表!AJ148*参数!$B$6*参数!$B$2+卡牌总表!Z148*参数!$B$13-卡牌总表!T148*参数!$B$14-卡牌总表!AD148*参数!$B$13+IF(ISNUMBER(卡牌总表!AU148),卡牌总表!AU148*参数!$B$38,0)-卡牌总表!AV148*参数!$B$41-卡牌总表!AW148*参数!$B$14</f>
        <v>0</v>
      </c>
      <c r="J148">
        <f>IF(AND(卡牌总表!F148="能力",卡牌总表!AL148="能力持续"),(参数!$B$2-1)*参数!$B$3,0)</f>
        <v>3.5999999999999996</v>
      </c>
      <c r="K148">
        <f t="shared" si="7"/>
        <v>3.5999999999999996</v>
      </c>
      <c r="L148">
        <f>卡牌总表!N148*卡牌总表!O148*参数!$B$5*IF(AND(卡牌总表!F148="能力",卡牌总表!AL148="能力持续"),参数!$B$2,1)+卡牌总表!Q148*参数!$B$6*IF(AND(卡牌总表!F148="能力",卡牌总表!AL148="能力持续"),参数!$B$2,1)+卡牌总表!S148*参数!$B$7*IF(AND(卡牌总表!F148="能力",卡牌总表!AL148="能力持续"),参数!$B$2,1)+卡牌总表!W148*参数!$B$8+IF(卡牌总表!Y148&lt;0,卡牌总表!Y148*参数!$B$13,卡牌总表!Y148*参数!$B$39)+IF(卡牌总表!AE148&lt;0,卡牌总表!AE148*参数!$B$13,卡牌总表!AE148*参数!$B$12)*参数!$B$2+卡牌总表!AR148*参数!$B$15+卡牌总表!AC148*参数!$B$11+卡牌总表!AF148*参数!$B$40*参数!$B$2+卡牌总表!AG148*参数!$B$44*参数!$B$2+卡牌总表!AH148*参数!$B$6*参数!$B$2+卡牌总表!AI148*参数!$B$39*参数!$B$2+卡牌总表!AJ148*参数!$B$6*参数!$B$2+卡牌总表!AA148*参数!$B$13-卡牌总表!U148*参数!$B$14-卡牌总表!AD148*参数!$B$13+IF(ISNUMBER(卡牌总表!AU148),卡牌总表!AU148*参数!$B$38,0)-卡牌总表!AV148*参数!$B$41-卡牌总表!AW148*参数!$B$14</f>
        <v>0</v>
      </c>
      <c r="M148">
        <f>IF(AND(卡牌总表!F148="能力",卡牌总表!AL148="能力持续"),参数!$B$2*参数!$B$3,0)</f>
        <v>4.8</v>
      </c>
      <c r="N148">
        <f t="shared" si="8"/>
        <v>4.8</v>
      </c>
      <c r="O148">
        <f>IFERROR(MAX(IF(K148 &gt; 参数!$B$17,参数!$B$17+SQRT(K148-参数!$B$17)*参数!$B$18,K148)-MAX(G148,0)*参数!$B$10,0)/MAX(G148,0.4),0)</f>
        <v>0</v>
      </c>
      <c r="P148">
        <f>IFERROR(MAX(IF(N148 &gt; 参数!$B$17,参数!$B$17+SQRT(N148-参数!$B$17)*参数!$B$18,N148)-MAX(H148,0)*参数!$B$10,0)/MAX(H148,0.4),0)</f>
        <v>0</v>
      </c>
      <c r="Q148">
        <f>卡牌总表!AO148</f>
        <v>0</v>
      </c>
    </row>
    <row r="149" spans="1:17" x14ac:dyDescent="0.3">
      <c r="A149">
        <f t="shared" si="6"/>
        <v>148</v>
      </c>
      <c r="B149" t="str">
        <f>卡牌总表!B149</f>
        <v>silent_shadow_step</v>
      </c>
      <c r="C149" t="str">
        <f>卡牌总表!D149</f>
        <v>暗影步</v>
      </c>
      <c r="D149" t="str">
        <f>卡牌总表!F149</f>
        <v>技能</v>
      </c>
      <c r="E149">
        <f>卡牌总表!AL149</f>
        <v>0</v>
      </c>
      <c r="F149">
        <f>卡牌总表!AN149</f>
        <v>0</v>
      </c>
      <c r="G149">
        <f>卡牌总表!AP149</f>
        <v>1</v>
      </c>
      <c r="H149">
        <f>IF(ISNUMBER(卡牌总表!H149),IF(AND(卡牌总表!H149=0,卡牌总表!V149=0,卡牌总表!AK149="none"),0.4,IF(卡牌总表!AK149="exhaust",MAX(卡牌总表!H149-卡牌总表!V149,0.4),IF(卡牌总表!AK149="ethereal",MAX(卡牌总表!H149-卡牌总表!V149,0.4),MAX(卡牌总表!H149-卡牌总表!V149,0.4)))),IF(OR(卡牌总表!H149="X",卡牌总表!H149="∞"),0.4,0.4))</f>
        <v>1</v>
      </c>
      <c r="I149">
        <f>卡牌总表!M149*卡牌总表!O149*参数!$B$5*IF(AND(卡牌总表!F149="能力",卡牌总表!AL149="能力持续"),参数!$B$2,1)+卡牌总表!P149*参数!$B$6*IF(AND(卡牌总表!F149="能力",卡牌总表!AL149="能力持续"),参数!$B$2,1)+卡牌总表!R149*参数!$B$7*IF(AND(卡牌总表!F149="能力",卡牌总表!AL149="能力持续"),参数!$B$2,1)+卡牌总表!V149*参数!$B$8+IF(卡牌总表!X149&lt;0,卡牌总表!X149*参数!$B$13,卡牌总表!X149*参数!$B$39)+IF(卡牌总表!AE149&lt;0,卡牌总表!AE149*参数!$B$13,卡牌总表!AE149*参数!$B$12)*参数!$B$2+卡牌总表!AQ149*参数!$B$15+卡牌总表!AB149*参数!$B$11+卡牌总表!AF149*参数!$B$40*参数!$B$2+卡牌总表!AG149*参数!$B$44*参数!$B$2+卡牌总表!AH149*参数!$B$6*参数!$B$2+卡牌总表!AI149*参数!$B$39*参数!$B$2+卡牌总表!AJ149*参数!$B$6*参数!$B$2+卡牌总表!Z149*参数!$B$13-卡牌总表!T149*参数!$B$14-卡牌总表!AD149*参数!$B$13+IF(ISNUMBER(卡牌总表!AU149),卡牌总表!AU149*参数!$B$38,0)-卡牌总表!AV149*参数!$B$41-卡牌总表!AW149*参数!$B$14</f>
        <v>34.5</v>
      </c>
      <c r="J149">
        <f>IF(AND(卡牌总表!F149="能力",卡牌总表!AL149="能力持续"),(参数!$B$2-1)*参数!$B$3,0)</f>
        <v>0</v>
      </c>
      <c r="K149">
        <f t="shared" si="7"/>
        <v>34.5</v>
      </c>
      <c r="L149">
        <f>卡牌总表!N149*卡牌总表!O149*参数!$B$5*IF(AND(卡牌总表!F149="能力",卡牌总表!AL149="能力持续"),参数!$B$2,1)+卡牌总表!Q149*参数!$B$6*IF(AND(卡牌总表!F149="能力",卡牌总表!AL149="能力持续"),参数!$B$2,1)+卡牌总表!S149*参数!$B$7*IF(AND(卡牌总表!F149="能力",卡牌总表!AL149="能力持续"),参数!$B$2,1)+卡牌总表!W149*参数!$B$8+IF(卡牌总表!Y149&lt;0,卡牌总表!Y149*参数!$B$13,卡牌总表!Y149*参数!$B$39)+IF(卡牌总表!AE149&lt;0,卡牌总表!AE149*参数!$B$13,卡牌总表!AE149*参数!$B$12)*参数!$B$2+卡牌总表!AR149*参数!$B$15+卡牌总表!AC149*参数!$B$11+卡牌总表!AF149*参数!$B$40*参数!$B$2+卡牌总表!AG149*参数!$B$44*参数!$B$2+卡牌总表!AH149*参数!$B$6*参数!$B$2+卡牌总表!AI149*参数!$B$39*参数!$B$2+卡牌总表!AJ149*参数!$B$6*参数!$B$2+卡牌总表!AA149*参数!$B$13-卡牌总表!U149*参数!$B$14-卡牌总表!AD149*参数!$B$13+IF(ISNUMBER(卡牌总表!AU149),卡牌总表!AU149*参数!$B$38,0)-卡牌总表!AV149*参数!$B$41-卡牌总表!AW149*参数!$B$14</f>
        <v>0</v>
      </c>
      <c r="M149">
        <f>IF(AND(卡牌总表!F149="能力",卡牌总表!AL149="能力持续"),参数!$B$2*参数!$B$3,0)</f>
        <v>0</v>
      </c>
      <c r="N149">
        <f t="shared" si="8"/>
        <v>0</v>
      </c>
      <c r="O149">
        <f>IFERROR(MAX(IF(K149 &gt; 参数!$B$17,参数!$B$17+SQRT(K149-参数!$B$17)*参数!$B$18,K149)-MAX(G149,0)*参数!$B$10,0)/MAX(G149,0.4),0)</f>
        <v>14.424621202458749</v>
      </c>
      <c r="P149">
        <f>IFERROR(MAX(IF(N149 &gt; 参数!$B$17,参数!$B$17+SQRT(N149-参数!$B$17)*参数!$B$18,N149)-MAX(H149,0)*参数!$B$10,0)/MAX(H149,0.4),0)</f>
        <v>0</v>
      </c>
      <c r="Q149">
        <f>卡牌总表!AO149</f>
        <v>0</v>
      </c>
    </row>
    <row r="150" spans="1:17" x14ac:dyDescent="0.3">
      <c r="A150">
        <f t="shared" si="6"/>
        <v>149</v>
      </c>
      <c r="B150" t="str">
        <f>卡牌总表!B150</f>
        <v>silent_shadowmeld</v>
      </c>
      <c r="C150" t="str">
        <f>卡牌总表!D150</f>
        <v>融入暗影</v>
      </c>
      <c r="D150" t="str">
        <f>卡牌总表!F150</f>
        <v>技能</v>
      </c>
      <c r="E150">
        <f>卡牌总表!AL150</f>
        <v>0</v>
      </c>
      <c r="F150" t="str">
        <f>卡牌总表!AN150</f>
        <v>本回合</v>
      </c>
      <c r="G150">
        <f>卡牌总表!AP150</f>
        <v>1</v>
      </c>
      <c r="H150">
        <f>IF(ISNUMBER(卡牌总表!H150),IF(AND(卡牌总表!H150=0,卡牌总表!V150=0,卡牌总表!AK150="none"),0.4,IF(卡牌总表!AK150="exhaust",MAX(卡牌总表!H150-卡牌总表!V150,0.4),IF(卡牌总表!AK150="ethereal",MAX(卡牌总表!H150-卡牌总表!V150,0.4),MAX(卡牌总表!H150-卡牌总表!V150,0.4)))),IF(OR(卡牌总表!H150="X",卡牌总表!H150="∞"),0.4,0.4))</f>
        <v>1</v>
      </c>
      <c r="I150">
        <f>卡牌总表!M150*卡牌总表!O150*参数!$B$5*IF(AND(卡牌总表!F150="能力",卡牌总表!AL150="能力持续"),参数!$B$2,1)+卡牌总表!P150*参数!$B$6*IF(AND(卡牌总表!F150="能力",卡牌总表!AL150="能力持续"),参数!$B$2,1)+卡牌总表!R150*参数!$B$7*IF(AND(卡牌总表!F150="能力",卡牌总表!AL150="能力持续"),参数!$B$2,1)+卡牌总表!V150*参数!$B$8+IF(卡牌总表!X150&lt;0,卡牌总表!X150*参数!$B$13,卡牌总表!X150*参数!$B$39)+IF(卡牌总表!AE150&lt;0,卡牌总表!AE150*参数!$B$13,卡牌总表!AE150*参数!$B$12)*参数!$B$2+卡牌总表!AQ150*参数!$B$15+卡牌总表!AB150*参数!$B$11+卡牌总表!AF150*参数!$B$40*参数!$B$2+卡牌总表!AG150*参数!$B$44*参数!$B$2+卡牌总表!AH150*参数!$B$6*参数!$B$2+卡牌总表!AI150*参数!$B$39*参数!$B$2+卡牌总表!AJ150*参数!$B$6*参数!$B$2+卡牌总表!Z150*参数!$B$13-卡牌总表!T150*参数!$B$14-卡牌总表!AD150*参数!$B$13+IF(ISNUMBER(卡牌总表!AU150),卡牌总表!AU150*参数!$B$38,0)-卡牌总表!AV150*参数!$B$41-卡牌总表!AW150*参数!$B$14</f>
        <v>24</v>
      </c>
      <c r="J150">
        <f>IF(AND(卡牌总表!F150="能力",卡牌总表!AL150="能力持续"),(参数!$B$2-1)*参数!$B$3,0)</f>
        <v>0</v>
      </c>
      <c r="K150">
        <f t="shared" si="7"/>
        <v>24</v>
      </c>
      <c r="L150">
        <f>卡牌总表!N150*卡牌总表!O150*参数!$B$5*IF(AND(卡牌总表!F150="能力",卡牌总表!AL150="能力持续"),参数!$B$2,1)+卡牌总表!Q150*参数!$B$6*IF(AND(卡牌总表!F150="能力",卡牌总表!AL150="能力持续"),参数!$B$2,1)+卡牌总表!S150*参数!$B$7*IF(AND(卡牌总表!F150="能力",卡牌总表!AL150="能力持续"),参数!$B$2,1)+卡牌总表!W150*参数!$B$8+IF(卡牌总表!Y150&lt;0,卡牌总表!Y150*参数!$B$13,卡牌总表!Y150*参数!$B$39)+IF(卡牌总表!AE150&lt;0,卡牌总表!AE150*参数!$B$13,卡牌总表!AE150*参数!$B$12)*参数!$B$2+卡牌总表!AR150*参数!$B$15+卡牌总表!AC150*参数!$B$11+卡牌总表!AF150*参数!$B$40*参数!$B$2+卡牌总表!AG150*参数!$B$44*参数!$B$2+卡牌总表!AH150*参数!$B$6*参数!$B$2+卡牌总表!AI150*参数!$B$39*参数!$B$2+卡牌总表!AJ150*参数!$B$6*参数!$B$2+卡牌总表!AA150*参数!$B$13-卡牌总表!U150*参数!$B$14-卡牌总表!AD150*参数!$B$13+IF(ISNUMBER(卡牌总表!AU150),卡牌总表!AU150*参数!$B$38,0)-卡牌总表!AV150*参数!$B$41-卡牌总表!AW150*参数!$B$14</f>
        <v>0</v>
      </c>
      <c r="M150">
        <f>IF(AND(卡牌总表!F150="能力",卡牌总表!AL150="能力持续"),参数!$B$2*参数!$B$3,0)</f>
        <v>0</v>
      </c>
      <c r="N150">
        <f t="shared" si="8"/>
        <v>0</v>
      </c>
      <c r="O150">
        <f>IFERROR(MAX(IF(K150 &gt; 参数!$B$17,参数!$B$17+SQRT(K150-参数!$B$17)*参数!$B$18,K150)-MAX(G150,0)*参数!$B$10,0)/MAX(G150,0.4),0)</f>
        <v>12.612486080160913</v>
      </c>
      <c r="P150">
        <f>IFERROR(MAX(IF(N150 &gt; 参数!$B$17,参数!$B$17+SQRT(N150-参数!$B$17)*参数!$B$18,N150)-MAX(H150,0)*参数!$B$10,0)/MAX(H150,0.4),0)</f>
        <v>0</v>
      </c>
      <c r="Q150">
        <f>卡牌总表!AO150</f>
        <v>0</v>
      </c>
    </row>
    <row r="151" spans="1:17" x14ac:dyDescent="0.3">
      <c r="A151">
        <f t="shared" si="6"/>
        <v>150</v>
      </c>
      <c r="B151" t="str">
        <f>卡牌总表!B151</f>
        <v>silent_skewer</v>
      </c>
      <c r="C151" t="str">
        <f>卡牌总表!D151</f>
        <v>串刺</v>
      </c>
      <c r="D151" t="str">
        <f>卡牌总表!F151</f>
        <v>攻击</v>
      </c>
      <c r="E151">
        <f>卡牌总表!AL151</f>
        <v>0</v>
      </c>
      <c r="F151">
        <f>卡牌总表!AN151</f>
        <v>0</v>
      </c>
      <c r="G151">
        <f>卡牌总表!AP151</f>
        <v>0.4</v>
      </c>
      <c r="H151">
        <f>IF(ISNUMBER(卡牌总表!H151),IF(AND(卡牌总表!H151=0,卡牌总表!V151=0,卡牌总表!AK151="none"),0.4,IF(卡牌总表!AK151="exhaust",MAX(卡牌总表!H151-卡牌总表!V151,0.4),IF(卡牌总表!AK151="ethereal",MAX(卡牌总表!H151-卡牌总表!V151,0.4),MAX(卡牌总表!H151-卡牌总表!V151,0.4)))),IF(OR(卡牌总表!H151="X",卡牌总表!H151="∞"),0.4,0.4))</f>
        <v>0.4</v>
      </c>
      <c r="I151">
        <f>卡牌总表!M151*卡牌总表!O151*参数!$B$5*IF(AND(卡牌总表!F151="能力",卡牌总表!AL151="能力持续"),参数!$B$2,1)+卡牌总表!P151*参数!$B$6*IF(AND(卡牌总表!F151="能力",卡牌总表!AL151="能力持续"),参数!$B$2,1)+卡牌总表!R151*参数!$B$7*IF(AND(卡牌总表!F151="能力",卡牌总表!AL151="能力持续"),参数!$B$2,1)+卡牌总表!V151*参数!$B$8+IF(卡牌总表!X151&lt;0,卡牌总表!X151*参数!$B$13,卡牌总表!X151*参数!$B$39)+IF(卡牌总表!AE151&lt;0,卡牌总表!AE151*参数!$B$13,卡牌总表!AE151*参数!$B$12)*参数!$B$2+卡牌总表!AQ151*参数!$B$15+卡牌总表!AB151*参数!$B$11+卡牌总表!AF151*参数!$B$40*参数!$B$2+卡牌总表!AG151*参数!$B$44*参数!$B$2+卡牌总表!AH151*参数!$B$6*参数!$B$2+卡牌总表!AI151*参数!$B$39*参数!$B$2+卡牌总表!AJ151*参数!$B$6*参数!$B$2+卡牌总表!Z151*参数!$B$13-卡牌总表!T151*参数!$B$14-卡牌总表!AD151*参数!$B$13+IF(ISNUMBER(卡牌总表!AU151),卡牌总表!AU151*参数!$B$38,0)-卡牌总表!AV151*参数!$B$41-卡牌总表!AW151*参数!$B$14</f>
        <v>16</v>
      </c>
      <c r="J151">
        <f>IF(AND(卡牌总表!F151="能力",卡牌总表!AL151="能力持续"),(参数!$B$2-1)*参数!$B$3,0)</f>
        <v>0</v>
      </c>
      <c r="K151">
        <f t="shared" si="7"/>
        <v>16</v>
      </c>
      <c r="L151">
        <f>卡牌总表!N151*卡牌总表!O151*参数!$B$5*IF(AND(卡牌总表!F151="能力",卡牌总表!AL151="能力持续"),参数!$B$2,1)+卡牌总表!Q151*参数!$B$6*IF(AND(卡牌总表!F151="能力",卡牌总表!AL151="能力持续"),参数!$B$2,1)+卡牌总表!S151*参数!$B$7*IF(AND(卡牌总表!F151="能力",卡牌总表!AL151="能力持续"),参数!$B$2,1)+卡牌总表!W151*参数!$B$8+IF(卡牌总表!Y151&lt;0,卡牌总表!Y151*参数!$B$13,卡牌总表!Y151*参数!$B$39)+IF(卡牌总表!AE151&lt;0,卡牌总表!AE151*参数!$B$13,卡牌总表!AE151*参数!$B$12)*参数!$B$2+卡牌总表!AR151*参数!$B$15+卡牌总表!AC151*参数!$B$11+卡牌总表!AF151*参数!$B$40*参数!$B$2+卡牌总表!AG151*参数!$B$44*参数!$B$2+卡牌总表!AH151*参数!$B$6*参数!$B$2+卡牌总表!AI151*参数!$B$39*参数!$B$2+卡牌总表!AJ151*参数!$B$6*参数!$B$2+卡牌总表!AA151*参数!$B$13-卡牌总表!U151*参数!$B$14-卡牌总表!AD151*参数!$B$13+IF(ISNUMBER(卡牌总表!AU151),卡牌总表!AU151*参数!$B$38,0)-卡牌总表!AV151*参数!$B$41-卡牌总表!AW151*参数!$B$14</f>
        <v>22</v>
      </c>
      <c r="M151">
        <f>IF(AND(卡牌总表!F151="能力",卡牌总表!AL151="能力持续"),参数!$B$2*参数!$B$3,0)</f>
        <v>0</v>
      </c>
      <c r="N151">
        <f t="shared" si="8"/>
        <v>22</v>
      </c>
      <c r="O151">
        <f>IFERROR(MAX(IF(K151 &gt; 参数!$B$17,参数!$B$17+SQRT(K151-参数!$B$17)*参数!$B$18,K151)-MAX(G151,0)*参数!$B$10,0)/MAX(G151,0.4),0)</f>
        <v>31.185586535436912</v>
      </c>
      <c r="P151">
        <f>IFERROR(MAX(IF(N151 &gt; 参数!$B$17,参数!$B$17+SQRT(N151-参数!$B$17)*参数!$B$18,N151)-MAX(H151,0)*参数!$B$10,0)/MAX(H151,0.4),0)</f>
        <v>34.99038105676658</v>
      </c>
      <c r="Q151">
        <f>卡牌总表!AO151</f>
        <v>0</v>
      </c>
    </row>
    <row r="152" spans="1:17" x14ac:dyDescent="0.3">
      <c r="A152">
        <f t="shared" si="6"/>
        <v>151</v>
      </c>
      <c r="B152" t="str">
        <f>卡牌总表!B152</f>
        <v>silent_slice</v>
      </c>
      <c r="C152" t="str">
        <f>卡牌总表!D152</f>
        <v>切割</v>
      </c>
      <c r="D152" t="str">
        <f>卡牌总表!F152</f>
        <v>攻击</v>
      </c>
      <c r="E152">
        <f>卡牌总表!AL152</f>
        <v>0</v>
      </c>
      <c r="F152">
        <f>卡牌总表!AN152</f>
        <v>0</v>
      </c>
      <c r="G152">
        <f>卡牌总表!AP152</f>
        <v>0.4</v>
      </c>
      <c r="H152">
        <f>IF(ISNUMBER(卡牌总表!H152),IF(AND(卡牌总表!H152=0,卡牌总表!V152=0,卡牌总表!AK152="none"),0.4,IF(卡牌总表!AK152="exhaust",MAX(卡牌总表!H152-卡牌总表!V152,0.4),IF(卡牌总表!AK152="ethereal",MAX(卡牌总表!H152-卡牌总表!V152,0.4),MAX(卡牌总表!H152-卡牌总表!V152,0.4)))),IF(OR(卡牌总表!H152="X",卡牌总表!H152="∞"),0.4,0.4))</f>
        <v>0.4</v>
      </c>
      <c r="I152">
        <f>卡牌总表!M152*卡牌总表!O152*参数!$B$5*IF(AND(卡牌总表!F152="能力",卡牌总表!AL152="能力持续"),参数!$B$2,1)+卡牌总表!P152*参数!$B$6*IF(AND(卡牌总表!F152="能力",卡牌总表!AL152="能力持续"),参数!$B$2,1)+卡牌总表!R152*参数!$B$7*IF(AND(卡牌总表!F152="能力",卡牌总表!AL152="能力持续"),参数!$B$2,1)+卡牌总表!V152*参数!$B$8+IF(卡牌总表!X152&lt;0,卡牌总表!X152*参数!$B$13,卡牌总表!X152*参数!$B$39)+IF(卡牌总表!AE152&lt;0,卡牌总表!AE152*参数!$B$13,卡牌总表!AE152*参数!$B$12)*参数!$B$2+卡牌总表!AQ152*参数!$B$15+卡牌总表!AB152*参数!$B$11+卡牌总表!AF152*参数!$B$40*参数!$B$2+卡牌总表!AG152*参数!$B$44*参数!$B$2+卡牌总表!AH152*参数!$B$6*参数!$B$2+卡牌总表!AI152*参数!$B$39*参数!$B$2+卡牌总表!AJ152*参数!$B$6*参数!$B$2+卡牌总表!Z152*参数!$B$13-卡牌总表!T152*参数!$B$14-卡牌总表!AD152*参数!$B$13+IF(ISNUMBER(卡牌总表!AU152),卡牌总表!AU152*参数!$B$38,0)-卡牌总表!AV152*参数!$B$41-卡牌总表!AW152*参数!$B$14</f>
        <v>6</v>
      </c>
      <c r="J152">
        <f>IF(AND(卡牌总表!F152="能力",卡牌总表!AL152="能力持续"),(参数!$B$2-1)*参数!$B$3,0)</f>
        <v>0</v>
      </c>
      <c r="K152">
        <f t="shared" si="7"/>
        <v>6</v>
      </c>
      <c r="L152">
        <f>卡牌总表!N152*卡牌总表!O152*参数!$B$5*IF(AND(卡牌总表!F152="能力",卡牌总表!AL152="能力持续"),参数!$B$2,1)+卡牌总表!Q152*参数!$B$6*IF(AND(卡牌总表!F152="能力",卡牌总表!AL152="能力持续"),参数!$B$2,1)+卡牌总表!S152*参数!$B$7*IF(AND(卡牌总表!F152="能力",卡牌总表!AL152="能力持续"),参数!$B$2,1)+卡牌总表!W152*参数!$B$8+IF(卡牌总表!Y152&lt;0,卡牌总表!Y152*参数!$B$13,卡牌总表!Y152*参数!$B$39)+IF(卡牌总表!AE152&lt;0,卡牌总表!AE152*参数!$B$13,卡牌总表!AE152*参数!$B$12)*参数!$B$2+卡牌总表!AR152*参数!$B$15+卡牌总表!AC152*参数!$B$11+卡牌总表!AF152*参数!$B$40*参数!$B$2+卡牌总表!AG152*参数!$B$44*参数!$B$2+卡牌总表!AH152*参数!$B$6*参数!$B$2+卡牌总表!AI152*参数!$B$39*参数!$B$2+卡牌总表!AJ152*参数!$B$6*参数!$B$2+卡牌总表!AA152*参数!$B$13-卡牌总表!U152*参数!$B$14-卡牌总表!AD152*参数!$B$13+IF(ISNUMBER(卡牌总表!AU152),卡牌总表!AU152*参数!$B$38,0)-卡牌总表!AV152*参数!$B$41-卡牌总表!AW152*参数!$B$14</f>
        <v>9</v>
      </c>
      <c r="M152">
        <f>IF(AND(卡牌总表!F152="能力",卡牌总表!AL152="能力持续"),参数!$B$2*参数!$B$3,0)</f>
        <v>0</v>
      </c>
      <c r="N152">
        <f t="shared" si="8"/>
        <v>9</v>
      </c>
      <c r="O152">
        <f>IFERROR(MAX(IF(K152 &gt; 参数!$B$17,参数!$B$17+SQRT(K152-参数!$B$17)*参数!$B$18,K152)-MAX(G152,0)*参数!$B$10,0)/MAX(G152,0.4),0)</f>
        <v>11.999999999999998</v>
      </c>
      <c r="P152">
        <f>IFERROR(MAX(IF(N152 &gt; 参数!$B$17,参数!$B$17+SQRT(N152-参数!$B$17)*参数!$B$18,N152)-MAX(H152,0)*参数!$B$10,0)/MAX(H152,0.4),0)</f>
        <v>19.5</v>
      </c>
      <c r="Q152">
        <f>卡牌总表!AO152</f>
        <v>0</v>
      </c>
    </row>
    <row r="153" spans="1:17" x14ac:dyDescent="0.3">
      <c r="A153">
        <f t="shared" si="6"/>
        <v>152</v>
      </c>
      <c r="B153" t="str">
        <f>卡牌总表!B153</f>
        <v>silent_snakebite</v>
      </c>
      <c r="C153" t="str">
        <f>卡牌总表!D153</f>
        <v>蛇咬</v>
      </c>
      <c r="D153" t="str">
        <f>卡牌总表!F153</f>
        <v>技能</v>
      </c>
      <c r="E153">
        <f>卡牌总表!AL153</f>
        <v>0</v>
      </c>
      <c r="F153">
        <f>卡牌总表!AN153</f>
        <v>0</v>
      </c>
      <c r="G153">
        <f>卡牌总表!AP153</f>
        <v>2</v>
      </c>
      <c r="H153">
        <f>IF(ISNUMBER(卡牌总表!H153),IF(AND(卡牌总表!H153=0,卡牌总表!V153=0,卡牌总表!AK153="none"),0.4,IF(卡牌总表!AK153="exhaust",MAX(卡牌总表!H153-卡牌总表!V153,0.4),IF(卡牌总表!AK153="ethereal",MAX(卡牌总表!H153-卡牌总表!V153,0.4),MAX(卡牌总表!H153-卡牌总表!V153,0.4)))),IF(OR(卡牌总表!H153="X",卡牌总表!H153="∞"),0.4,0.4))</f>
        <v>2</v>
      </c>
      <c r="I153">
        <f>卡牌总表!M153*卡牌总表!O153*参数!$B$5*IF(AND(卡牌总表!F153="能力",卡牌总表!AL153="能力持续"),参数!$B$2,1)+卡牌总表!P153*参数!$B$6*IF(AND(卡牌总表!F153="能力",卡牌总表!AL153="能力持续"),参数!$B$2,1)+卡牌总表!R153*参数!$B$7*IF(AND(卡牌总表!F153="能力",卡牌总表!AL153="能力持续"),参数!$B$2,1)+卡牌总表!V153*参数!$B$8+IF(卡牌总表!X153&lt;0,卡牌总表!X153*参数!$B$13,卡牌总表!X153*参数!$B$39)+IF(卡牌总表!AE153&lt;0,卡牌总表!AE153*参数!$B$13,卡牌总表!AE153*参数!$B$12)*参数!$B$2+卡牌总表!AQ153*参数!$B$15+卡牌总表!AB153*参数!$B$11+卡牌总表!AF153*参数!$B$40*参数!$B$2+卡牌总表!AG153*参数!$B$44*参数!$B$2+卡牌总表!AH153*参数!$B$6*参数!$B$2+卡牌总表!AI153*参数!$B$39*参数!$B$2+卡牌总表!AJ153*参数!$B$6*参数!$B$2+卡牌总表!Z153*参数!$B$13-卡牌总表!T153*参数!$B$14-卡牌总表!AD153*参数!$B$13+IF(ISNUMBER(卡牌总表!AU153),卡牌总表!AU153*参数!$B$38,0)-卡牌总表!AV153*参数!$B$41-卡牌总表!AW153*参数!$B$14</f>
        <v>28</v>
      </c>
      <c r="J153">
        <f>IF(AND(卡牌总表!F153="能力",卡牌总表!AL153="能力持续"),(参数!$B$2-1)*参数!$B$3,0)</f>
        <v>0</v>
      </c>
      <c r="K153">
        <f t="shared" si="7"/>
        <v>28</v>
      </c>
      <c r="L153">
        <f>卡牌总表!N153*卡牌总表!O153*参数!$B$5*IF(AND(卡牌总表!F153="能力",卡牌总表!AL153="能力持续"),参数!$B$2,1)+卡牌总表!Q153*参数!$B$6*IF(AND(卡牌总表!F153="能力",卡牌总表!AL153="能力持续"),参数!$B$2,1)+卡牌总表!S153*参数!$B$7*IF(AND(卡牌总表!F153="能力",卡牌总表!AL153="能力持续"),参数!$B$2,1)+卡牌总表!W153*参数!$B$8+IF(卡牌总表!Y153&lt;0,卡牌总表!Y153*参数!$B$13,卡牌总表!Y153*参数!$B$39)+IF(卡牌总表!AE153&lt;0,卡牌总表!AE153*参数!$B$13,卡牌总表!AE153*参数!$B$12)*参数!$B$2+卡牌总表!AR153*参数!$B$15+卡牌总表!AC153*参数!$B$11+卡牌总表!AF153*参数!$B$40*参数!$B$2+卡牌总表!AG153*参数!$B$44*参数!$B$2+卡牌总表!AH153*参数!$B$6*参数!$B$2+卡牌总表!AI153*参数!$B$39*参数!$B$2+卡牌总表!AJ153*参数!$B$6*参数!$B$2+卡牌总表!AA153*参数!$B$13-卡牌总表!U153*参数!$B$14-卡牌总表!AD153*参数!$B$13+IF(ISNUMBER(卡牌总表!AU153),卡牌总表!AU153*参数!$B$38,0)-卡牌总表!AV153*参数!$B$41-卡牌总表!AW153*参数!$B$14</f>
        <v>28</v>
      </c>
      <c r="M153">
        <f>IF(AND(卡牌总表!F153="能力",卡牌总表!AL153="能力持续"),参数!$B$2*参数!$B$3,0)</f>
        <v>0</v>
      </c>
      <c r="N153">
        <f t="shared" si="8"/>
        <v>28</v>
      </c>
      <c r="O153">
        <f>IFERROR(MAX(IF(K153 &gt; 参数!$B$17,参数!$B$17+SQRT(K153-参数!$B$17)*参数!$B$18,K153)-MAX(G153,0)*参数!$B$10,0)/MAX(G153,0.4),0)</f>
        <v>5.1819805153394647</v>
      </c>
      <c r="P153">
        <f>IFERROR(MAX(IF(N153 &gt; 参数!$B$17,参数!$B$17+SQRT(N153-参数!$B$17)*参数!$B$18,N153)-MAX(H153,0)*参数!$B$10,0)/MAX(H153,0.4),0)</f>
        <v>5.1819805153394647</v>
      </c>
      <c r="Q153">
        <f>卡牌总表!AO153</f>
        <v>0</v>
      </c>
    </row>
    <row r="154" spans="1:17" x14ac:dyDescent="0.3">
      <c r="A154">
        <f t="shared" si="6"/>
        <v>153</v>
      </c>
      <c r="B154" t="str">
        <f>卡牌总表!B154</f>
        <v>silent_sneaky</v>
      </c>
      <c r="C154" t="str">
        <f>卡牌总表!D154</f>
        <v>鬼祟</v>
      </c>
      <c r="D154" t="str">
        <f>卡牌总表!F154</f>
        <v>能力</v>
      </c>
      <c r="E154" t="str">
        <f>卡牌总表!AL154</f>
        <v>能力持续</v>
      </c>
      <c r="F154" t="str">
        <f>卡牌总表!AN154</f>
        <v>能力</v>
      </c>
      <c r="G154">
        <f>卡牌总表!AP154</f>
        <v>2</v>
      </c>
      <c r="H154">
        <f>IF(ISNUMBER(卡牌总表!H154),IF(AND(卡牌总表!H154=0,卡牌总表!V154=0,卡牌总表!AK154="none"),0.4,IF(卡牌总表!AK154="exhaust",MAX(卡牌总表!H154-卡牌总表!V154,0.4),IF(卡牌总表!AK154="ethereal",MAX(卡牌总表!H154-卡牌总表!V154,0.4),MAX(卡牌总表!H154-卡牌总表!V154,0.4)))),IF(OR(卡牌总表!H154="X",卡牌总表!H154="∞"),0.4,0.4))</f>
        <v>2</v>
      </c>
      <c r="I154">
        <f>卡牌总表!M154*卡牌总表!O154*参数!$B$5*IF(AND(卡牌总表!F154="能力",卡牌总表!AL154="能力持续"),参数!$B$2,1)+卡牌总表!P154*参数!$B$6*IF(AND(卡牌总表!F154="能力",卡牌总表!AL154="能力持续"),参数!$B$2,1)+卡牌总表!R154*参数!$B$7*IF(AND(卡牌总表!F154="能力",卡牌总表!AL154="能力持续"),参数!$B$2,1)+卡牌总表!V154*参数!$B$8+IF(卡牌总表!X154&lt;0,卡牌总表!X154*参数!$B$13,卡牌总表!X154*参数!$B$39)+IF(卡牌总表!AE154&lt;0,卡牌总表!AE154*参数!$B$13,卡牌总表!AE154*参数!$B$12)*参数!$B$2+卡牌总表!AQ154*参数!$B$15+卡牌总表!AB154*参数!$B$11+卡牌总表!AF154*参数!$B$40*参数!$B$2+卡牌总表!AG154*参数!$B$44*参数!$B$2+卡牌总表!AH154*参数!$B$6*参数!$B$2+卡牌总表!AI154*参数!$B$39*参数!$B$2+卡牌总表!AJ154*参数!$B$6*参数!$B$2+卡牌总表!Z154*参数!$B$13-卡牌总表!T154*参数!$B$14-卡牌总表!AD154*参数!$B$13+IF(ISNUMBER(卡牌总表!AU154),卡牌总表!AU154*参数!$B$38,0)-卡牌总表!AV154*参数!$B$41-卡牌总表!AW154*参数!$B$14</f>
        <v>13.200000000000001</v>
      </c>
      <c r="J154">
        <f>IF(AND(卡牌总表!F154="能力",卡牌总表!AL154="能力持续"),(参数!$B$2-1)*参数!$B$3,0)</f>
        <v>3.5999999999999996</v>
      </c>
      <c r="K154">
        <f t="shared" si="7"/>
        <v>16.8</v>
      </c>
      <c r="L154">
        <f>卡牌总表!N154*卡牌总表!O154*参数!$B$5*IF(AND(卡牌总表!F154="能力",卡牌总表!AL154="能力持续"),参数!$B$2,1)+卡牌总表!Q154*参数!$B$6*IF(AND(卡牌总表!F154="能力",卡牌总表!AL154="能力持续"),参数!$B$2,1)+卡牌总表!S154*参数!$B$7*IF(AND(卡牌总表!F154="能力",卡牌总表!AL154="能力持续"),参数!$B$2,1)+卡牌总表!W154*参数!$B$8+IF(卡牌总表!Y154&lt;0,卡牌总表!Y154*参数!$B$13,卡牌总表!Y154*参数!$B$39)+IF(卡牌总表!AE154&lt;0,卡牌总表!AE154*参数!$B$13,卡牌总表!AE154*参数!$B$12)*参数!$B$2+卡牌总表!AR154*参数!$B$15+卡牌总表!AC154*参数!$B$11+卡牌总表!AF154*参数!$B$40*参数!$B$2+卡牌总表!AG154*参数!$B$44*参数!$B$2+卡牌总表!AH154*参数!$B$6*参数!$B$2+卡牌总表!AI154*参数!$B$39*参数!$B$2+卡牌总表!AJ154*参数!$B$6*参数!$B$2+卡牌总表!AA154*参数!$B$13-卡牌总表!U154*参数!$B$14-卡牌总表!AD154*参数!$B$13+IF(ISNUMBER(卡牌总表!AU154),卡牌总表!AU154*参数!$B$38,0)-卡牌总表!AV154*参数!$B$41-卡牌总表!AW154*参数!$B$14</f>
        <v>0</v>
      </c>
      <c r="M154">
        <f>IF(AND(卡牌总表!F154="能力",卡牌总表!AL154="能力持续"),参数!$B$2*参数!$B$3,0)</f>
        <v>4.8</v>
      </c>
      <c r="N154">
        <f t="shared" si="8"/>
        <v>4.8</v>
      </c>
      <c r="O154">
        <f>IFERROR(MAX(IF(K154 &gt; 参数!$B$17,参数!$B$17+SQRT(K154-参数!$B$17)*参数!$B$18,K154)-MAX(G154,0)*参数!$B$10,0)/MAX(G154,0.4),0)</f>
        <v>3.9557607215607948</v>
      </c>
      <c r="P154">
        <f>IFERROR(MAX(IF(N154 &gt; 参数!$B$17,参数!$B$17+SQRT(N154-参数!$B$17)*参数!$B$18,N154)-MAX(H154,0)*参数!$B$10,0)/MAX(H154,0.4),0)</f>
        <v>0</v>
      </c>
      <c r="Q154">
        <f>卡牌总表!AO154</f>
        <v>0</v>
      </c>
    </row>
    <row r="155" spans="1:17" x14ac:dyDescent="0.3">
      <c r="A155">
        <f t="shared" si="6"/>
        <v>154</v>
      </c>
      <c r="B155" t="str">
        <f>卡牌总表!B155</f>
        <v>silent_speedster</v>
      </c>
      <c r="C155" t="str">
        <f>卡牌总表!D155</f>
        <v>速行者</v>
      </c>
      <c r="D155" t="str">
        <f>卡牌总表!F155</f>
        <v>能力</v>
      </c>
      <c r="E155" t="str">
        <f>卡牌总表!AL155</f>
        <v>能力持续</v>
      </c>
      <c r="F155" t="str">
        <f>卡牌总表!AN155</f>
        <v>群体攻击，能力</v>
      </c>
      <c r="G155">
        <f>卡牌总表!AP155</f>
        <v>2</v>
      </c>
      <c r="H155">
        <f>IF(ISNUMBER(卡牌总表!H155),IF(AND(卡牌总表!H155=0,卡牌总表!V155=0,卡牌总表!AK155="none"),0.4,IF(卡牌总表!AK155="exhaust",MAX(卡牌总表!H155-卡牌总表!V155,0.4),IF(卡牌总表!AK155="ethereal",MAX(卡牌总表!H155-卡牌总表!V155,0.4),MAX(卡牌总表!H155-卡牌总表!V155,0.4)))),IF(OR(卡牌总表!H155="X",卡牌总表!H155="∞"),0.4,0.4))</f>
        <v>2</v>
      </c>
      <c r="I155">
        <f>卡牌总表!M155*卡牌总表!O155*参数!$B$5*IF(AND(卡牌总表!F155="能力",卡牌总表!AL155="能力持续"),参数!$B$2,1)+卡牌总表!P155*参数!$B$6*IF(AND(卡牌总表!F155="能力",卡牌总表!AL155="能力持续"),参数!$B$2,1)+卡牌总表!R155*参数!$B$7*IF(AND(卡牌总表!F155="能力",卡牌总表!AL155="能力持续"),参数!$B$2,1)+卡牌总表!V155*参数!$B$8+IF(卡牌总表!X155&lt;0,卡牌总表!X155*参数!$B$13,卡牌总表!X155*参数!$B$39)+IF(卡牌总表!AE155&lt;0,卡牌总表!AE155*参数!$B$13,卡牌总表!AE155*参数!$B$12)*参数!$B$2+卡牌总表!AQ155*参数!$B$15+卡牌总表!AB155*参数!$B$11+卡牌总表!AF155*参数!$B$40*参数!$B$2+卡牌总表!AG155*参数!$B$44*参数!$B$2+卡牌总表!AH155*参数!$B$6*参数!$B$2+卡牌总表!AI155*参数!$B$39*参数!$B$2+卡牌总表!AJ155*参数!$B$6*参数!$B$2+卡牌总表!Z155*参数!$B$13-卡牌总表!T155*参数!$B$14-卡牌总表!AD155*参数!$B$13+IF(ISNUMBER(卡牌总表!AU155),卡牌总表!AU155*参数!$B$38,0)-卡牌总表!AV155*参数!$B$41-卡牌总表!AW155*参数!$B$14</f>
        <v>0</v>
      </c>
      <c r="J155">
        <f>IF(AND(卡牌总表!F155="能力",卡牌总表!AL155="能力持续"),(参数!$B$2-1)*参数!$B$3,0)</f>
        <v>3.5999999999999996</v>
      </c>
      <c r="K155">
        <f t="shared" si="7"/>
        <v>3.5999999999999996</v>
      </c>
      <c r="L155">
        <f>卡牌总表!N155*卡牌总表!O155*参数!$B$5*IF(AND(卡牌总表!F155="能力",卡牌总表!AL155="能力持续"),参数!$B$2,1)+卡牌总表!Q155*参数!$B$6*IF(AND(卡牌总表!F155="能力",卡牌总表!AL155="能力持续"),参数!$B$2,1)+卡牌总表!S155*参数!$B$7*IF(AND(卡牌总表!F155="能力",卡牌总表!AL155="能力持续"),参数!$B$2,1)+卡牌总表!W155*参数!$B$8+IF(卡牌总表!Y155&lt;0,卡牌总表!Y155*参数!$B$13,卡牌总表!Y155*参数!$B$39)+IF(卡牌总表!AE155&lt;0,卡牌总表!AE155*参数!$B$13,卡牌总表!AE155*参数!$B$12)*参数!$B$2+卡牌总表!AR155*参数!$B$15+卡牌总表!AC155*参数!$B$11+卡牌总表!AF155*参数!$B$40*参数!$B$2+卡牌总表!AG155*参数!$B$44*参数!$B$2+卡牌总表!AH155*参数!$B$6*参数!$B$2+卡牌总表!AI155*参数!$B$39*参数!$B$2+卡牌总表!AJ155*参数!$B$6*参数!$B$2+卡牌总表!AA155*参数!$B$13-卡牌总表!U155*参数!$B$14-卡牌总表!AD155*参数!$B$13+IF(ISNUMBER(卡牌总表!AU155),卡牌总表!AU155*参数!$B$38,0)-卡牌总表!AV155*参数!$B$41-卡牌总表!AW155*参数!$B$14</f>
        <v>0</v>
      </c>
      <c r="M155">
        <f>IF(AND(卡牌总表!F155="能力",卡牌总表!AL155="能力持续"),参数!$B$2*参数!$B$3,0)</f>
        <v>4.8</v>
      </c>
      <c r="N155">
        <f t="shared" si="8"/>
        <v>4.8</v>
      </c>
      <c r="O155">
        <f>IFERROR(MAX(IF(K155 &gt; 参数!$B$17,参数!$B$17+SQRT(K155-参数!$B$17)*参数!$B$18,K155)-MAX(G155,0)*参数!$B$10,0)/MAX(G155,0.4),0)</f>
        <v>0</v>
      </c>
      <c r="P155">
        <f>IFERROR(MAX(IF(N155 &gt; 参数!$B$17,参数!$B$17+SQRT(N155-参数!$B$17)*参数!$B$18,N155)-MAX(H155,0)*参数!$B$10,0)/MAX(H155,0.4),0)</f>
        <v>0</v>
      </c>
      <c r="Q155">
        <f>卡牌总表!AO155</f>
        <v>0</v>
      </c>
    </row>
    <row r="156" spans="1:17" x14ac:dyDescent="0.3">
      <c r="A156">
        <f t="shared" si="6"/>
        <v>155</v>
      </c>
      <c r="B156" t="str">
        <f>卡牌总表!B156</f>
        <v>silent_storm_of_steel</v>
      </c>
      <c r="C156" t="str">
        <f>卡牌总表!D156</f>
        <v>钢铁风暴</v>
      </c>
      <c r="D156" t="str">
        <f>卡牌总表!F156</f>
        <v>技能</v>
      </c>
      <c r="E156">
        <f>卡牌总表!AL156</f>
        <v>0</v>
      </c>
      <c r="F156">
        <f>卡牌总表!AN156</f>
        <v>0</v>
      </c>
      <c r="G156">
        <f>卡牌总表!AP156</f>
        <v>1</v>
      </c>
      <c r="H156">
        <f>IF(ISNUMBER(卡牌总表!H156),IF(AND(卡牌总表!H156=0,卡牌总表!V156=0,卡牌总表!AK156="none"),0.4,IF(卡牌总表!AK156="exhaust",MAX(卡牌总表!H156-卡牌总表!V156,0.4),IF(卡牌总表!AK156="ethereal",MAX(卡牌总表!H156-卡牌总表!V156,0.4),MAX(卡牌总表!H156-卡牌总表!V156,0.4)))),IF(OR(卡牌总表!H156="X",卡牌总表!H156="∞"),0.4,0.4))</f>
        <v>1</v>
      </c>
      <c r="I156">
        <f>卡牌总表!M156*卡牌总表!O156*参数!$B$5*IF(AND(卡牌总表!F156="能力",卡牌总表!AL156="能力持续"),参数!$B$2,1)+卡牌总表!P156*参数!$B$6*IF(AND(卡牌总表!F156="能力",卡牌总表!AL156="能力持续"),参数!$B$2,1)+卡牌总表!R156*参数!$B$7*IF(AND(卡牌总表!F156="能力",卡牌总表!AL156="能力持续"),参数!$B$2,1)+卡牌总表!V156*参数!$B$8+IF(卡牌总表!X156&lt;0,卡牌总表!X156*参数!$B$13,卡牌总表!X156*参数!$B$39)+IF(卡牌总表!AE156&lt;0,卡牌总表!AE156*参数!$B$13,卡牌总表!AE156*参数!$B$12)*参数!$B$2+卡牌总表!AQ156*参数!$B$15+卡牌总表!AB156*参数!$B$11+卡牌总表!AF156*参数!$B$40*参数!$B$2+卡牌总表!AG156*参数!$B$44*参数!$B$2+卡牌总表!AH156*参数!$B$6*参数!$B$2+卡牌总表!AI156*参数!$B$39*参数!$B$2+卡牌总表!AJ156*参数!$B$6*参数!$B$2+卡牌总表!Z156*参数!$B$13-卡牌总表!T156*参数!$B$14-卡牌总表!AD156*参数!$B$13+IF(ISNUMBER(卡牌总表!AU156),卡牌总表!AU156*参数!$B$38,0)-卡牌总表!AV156*参数!$B$41-卡牌总表!AW156*参数!$B$14</f>
        <v>20</v>
      </c>
      <c r="J156">
        <f>IF(AND(卡牌总表!F156="能力",卡牌总表!AL156="能力持续"),(参数!$B$2-1)*参数!$B$3,0)</f>
        <v>0</v>
      </c>
      <c r="K156">
        <f t="shared" si="7"/>
        <v>20</v>
      </c>
      <c r="L156">
        <f>卡牌总表!N156*卡牌总表!O156*参数!$B$5*IF(AND(卡牌总表!F156="能力",卡牌总表!AL156="能力持续"),参数!$B$2,1)+卡牌总表!Q156*参数!$B$6*IF(AND(卡牌总表!F156="能力",卡牌总表!AL156="能力持续"),参数!$B$2,1)+卡牌总表!S156*参数!$B$7*IF(AND(卡牌总表!F156="能力",卡牌总表!AL156="能力持续"),参数!$B$2,1)+卡牌总表!W156*参数!$B$8+IF(卡牌总表!Y156&lt;0,卡牌总表!Y156*参数!$B$13,卡牌总表!Y156*参数!$B$39)+IF(卡牌总表!AE156&lt;0,卡牌总表!AE156*参数!$B$13,卡牌总表!AE156*参数!$B$12)*参数!$B$2+卡牌总表!AR156*参数!$B$15+卡牌总表!AC156*参数!$B$11+卡牌总表!AF156*参数!$B$40*参数!$B$2+卡牌总表!AG156*参数!$B$44*参数!$B$2+卡牌总表!AH156*参数!$B$6*参数!$B$2+卡牌总表!AI156*参数!$B$39*参数!$B$2+卡牌总表!AJ156*参数!$B$6*参数!$B$2+卡牌总表!AA156*参数!$B$13-卡牌总表!U156*参数!$B$14-卡牌总表!AD156*参数!$B$13+IF(ISNUMBER(卡牌总表!AU156),卡牌总表!AU156*参数!$B$38,0)-卡牌总表!AV156*参数!$B$41-卡牌总表!AW156*参数!$B$14</f>
        <v>0</v>
      </c>
      <c r="M156">
        <f>IF(AND(卡牌总表!F156="能力",卡牌总表!AL156="能力持续"),参数!$B$2*参数!$B$3,0)</f>
        <v>0</v>
      </c>
      <c r="N156">
        <f t="shared" si="8"/>
        <v>0</v>
      </c>
      <c r="O156">
        <f>IFERROR(MAX(IF(K156 &gt; 参数!$B$17,参数!$B$17+SQRT(K156-参数!$B$17)*参数!$B$18,K156)-MAX(G156,0)*参数!$B$10,0)/MAX(G156,0.4),0)</f>
        <v>11.743416490252569</v>
      </c>
      <c r="P156">
        <f>IFERROR(MAX(IF(N156 &gt; 参数!$B$17,参数!$B$17+SQRT(N156-参数!$B$17)*参数!$B$18,N156)-MAX(H156,0)*参数!$B$10,0)/MAX(H156,0.4),0)</f>
        <v>0</v>
      </c>
      <c r="Q156">
        <f>卡牌总表!AO156</f>
        <v>0</v>
      </c>
    </row>
    <row r="157" spans="1:17" x14ac:dyDescent="0.3">
      <c r="A157">
        <f t="shared" si="6"/>
        <v>156</v>
      </c>
      <c r="B157" t="str">
        <f>卡牌总表!B157</f>
        <v>silent_strangle</v>
      </c>
      <c r="C157" t="str">
        <f>卡牌总表!D157</f>
        <v>紧勒</v>
      </c>
      <c r="D157" t="str">
        <f>卡牌总表!F157</f>
        <v>攻击</v>
      </c>
      <c r="E157">
        <f>卡牌总表!AL157</f>
        <v>0</v>
      </c>
      <c r="F157" t="str">
        <f>卡牌总表!AN157</f>
        <v>本回合</v>
      </c>
      <c r="G157">
        <f>卡牌总表!AP157</f>
        <v>1</v>
      </c>
      <c r="H157">
        <f>IF(ISNUMBER(卡牌总表!H157),IF(AND(卡牌总表!H157=0,卡牌总表!V157=0,卡牌总表!AK157="none"),0.4,IF(卡牌总表!AK157="exhaust",MAX(卡牌总表!H157-卡牌总表!V157,0.4),IF(卡牌总表!AK157="ethereal",MAX(卡牌总表!H157-卡牌总表!V157,0.4),MAX(卡牌总表!H157-卡牌总表!V157,0.4)))),IF(OR(卡牌总表!H157="X",卡牌总表!H157="∞"),0.4,0.4))</f>
        <v>1</v>
      </c>
      <c r="I157">
        <f>卡牌总表!M157*卡牌总表!O157*参数!$B$5*IF(AND(卡牌总表!F157="能力",卡牌总表!AL157="能力持续"),参数!$B$2,1)+卡牌总表!P157*参数!$B$6*IF(AND(卡牌总表!F157="能力",卡牌总表!AL157="能力持续"),参数!$B$2,1)+卡牌总表!R157*参数!$B$7*IF(AND(卡牌总表!F157="能力",卡牌总表!AL157="能力持续"),参数!$B$2,1)+卡牌总表!V157*参数!$B$8+IF(卡牌总表!X157&lt;0,卡牌总表!X157*参数!$B$13,卡牌总表!X157*参数!$B$39)+IF(卡牌总表!AE157&lt;0,卡牌总表!AE157*参数!$B$13,卡牌总表!AE157*参数!$B$12)*参数!$B$2+卡牌总表!AQ157*参数!$B$15+卡牌总表!AB157*参数!$B$11+卡牌总表!AF157*参数!$B$40*参数!$B$2+卡牌总表!AG157*参数!$B$44*参数!$B$2+卡牌总表!AH157*参数!$B$6*参数!$B$2+卡牌总表!AI157*参数!$B$39*参数!$B$2+卡牌总表!AJ157*参数!$B$6*参数!$B$2+卡牌总表!Z157*参数!$B$13-卡牌总表!T157*参数!$B$14-卡牌总表!AD157*参数!$B$13+IF(ISNUMBER(卡牌总表!AU157),卡牌总表!AU157*参数!$B$38,0)-卡牌总表!AV157*参数!$B$41-卡牌总表!AW157*参数!$B$14</f>
        <v>12</v>
      </c>
      <c r="J157">
        <f>IF(AND(卡牌总表!F157="能力",卡牌总表!AL157="能力持续"),(参数!$B$2-1)*参数!$B$3,0)</f>
        <v>0</v>
      </c>
      <c r="K157">
        <f t="shared" si="7"/>
        <v>12</v>
      </c>
      <c r="L157">
        <f>卡牌总表!N157*卡牌总表!O157*参数!$B$5*IF(AND(卡牌总表!F157="能力",卡牌总表!AL157="能力持续"),参数!$B$2,1)+卡牌总表!Q157*参数!$B$6*IF(AND(卡牌总表!F157="能力",卡牌总表!AL157="能力持续"),参数!$B$2,1)+卡牌总表!S157*参数!$B$7*IF(AND(卡牌总表!F157="能力",卡牌总表!AL157="能力持续"),参数!$B$2,1)+卡牌总表!W157*参数!$B$8+IF(卡牌总表!Y157&lt;0,卡牌总表!Y157*参数!$B$13,卡牌总表!Y157*参数!$B$39)+IF(卡牌总表!AE157&lt;0,卡牌总表!AE157*参数!$B$13,卡牌总表!AE157*参数!$B$12)*参数!$B$2+卡牌总表!AR157*参数!$B$15+卡牌总表!AC157*参数!$B$11+卡牌总表!AF157*参数!$B$40*参数!$B$2+卡牌总表!AG157*参数!$B$44*参数!$B$2+卡牌总表!AH157*参数!$B$6*参数!$B$2+卡牌总表!AI157*参数!$B$39*参数!$B$2+卡牌总表!AJ157*参数!$B$6*参数!$B$2+卡牌总表!AA157*参数!$B$13-卡牌总表!U157*参数!$B$14-卡牌总表!AD157*参数!$B$13+IF(ISNUMBER(卡牌总表!AU157),卡牌总表!AU157*参数!$B$38,0)-卡牌总表!AV157*参数!$B$41-卡牌总表!AW157*参数!$B$14</f>
        <v>16</v>
      </c>
      <c r="M157">
        <f>IF(AND(卡牌总表!F157="能力",卡牌总表!AL157="能力持续"),参数!$B$2*参数!$B$3,0)</f>
        <v>0</v>
      </c>
      <c r="N157">
        <f t="shared" si="8"/>
        <v>16</v>
      </c>
      <c r="O157">
        <f>IFERROR(MAX(IF(K157 &gt; 参数!$B$17,参数!$B$17+SQRT(K157-参数!$B$17)*参数!$B$18,K157)-MAX(G157,0)*参数!$B$10,0)/MAX(G157,0.4),0)</f>
        <v>9.1213203435596419</v>
      </c>
      <c r="P157">
        <f>IFERROR(MAX(IF(N157 &gt; 参数!$B$17,参数!$B$17+SQRT(N157-参数!$B$17)*参数!$B$18,N157)-MAX(H157,0)*参数!$B$10,0)/MAX(H157,0.4),0)</f>
        <v>10.674234614174766</v>
      </c>
      <c r="Q157">
        <f>卡牌总表!AO157</f>
        <v>0</v>
      </c>
    </row>
    <row r="158" spans="1:17" x14ac:dyDescent="0.3">
      <c r="A158">
        <f t="shared" si="6"/>
        <v>157</v>
      </c>
      <c r="B158" t="str">
        <f>卡牌总表!B158</f>
        <v>silent_strike</v>
      </c>
      <c r="C158" t="str">
        <f>卡牌总表!D158</f>
        <v>打击</v>
      </c>
      <c r="D158" t="str">
        <f>卡牌总表!F158</f>
        <v>攻击</v>
      </c>
      <c r="E158">
        <f>卡牌总表!AL158</f>
        <v>0</v>
      </c>
      <c r="F158">
        <f>卡牌总表!AN158</f>
        <v>0</v>
      </c>
      <c r="G158">
        <f>卡牌总表!AP158</f>
        <v>1</v>
      </c>
      <c r="H158">
        <f>IF(ISNUMBER(卡牌总表!H158),IF(AND(卡牌总表!H158=0,卡牌总表!V158=0,卡牌总表!AK158="none"),0.4,IF(卡牌总表!AK158="exhaust",MAX(卡牌总表!H158-卡牌总表!V158,0.4),IF(卡牌总表!AK158="ethereal",MAX(卡牌总表!H158-卡牌总表!V158,0.4),MAX(卡牌总表!H158-卡牌总表!V158,0.4)))),IF(OR(卡牌总表!H158="X",卡牌总表!H158="∞"),0.4,0.4))</f>
        <v>1</v>
      </c>
      <c r="I158">
        <f>卡牌总表!M158*卡牌总表!O158*参数!$B$5*IF(AND(卡牌总表!F158="能力",卡牌总表!AL158="能力持续"),参数!$B$2,1)+卡牌总表!P158*参数!$B$6*IF(AND(卡牌总表!F158="能力",卡牌总表!AL158="能力持续"),参数!$B$2,1)+卡牌总表!R158*参数!$B$7*IF(AND(卡牌总表!F158="能力",卡牌总表!AL158="能力持续"),参数!$B$2,1)+卡牌总表!V158*参数!$B$8+IF(卡牌总表!X158&lt;0,卡牌总表!X158*参数!$B$13,卡牌总表!X158*参数!$B$39)+IF(卡牌总表!AE158&lt;0,卡牌总表!AE158*参数!$B$13,卡牌总表!AE158*参数!$B$12)*参数!$B$2+卡牌总表!AQ158*参数!$B$15+卡牌总表!AB158*参数!$B$11+卡牌总表!AF158*参数!$B$40*参数!$B$2+卡牌总表!AG158*参数!$B$44*参数!$B$2+卡牌总表!AH158*参数!$B$6*参数!$B$2+卡牌总表!AI158*参数!$B$39*参数!$B$2+卡牌总表!AJ158*参数!$B$6*参数!$B$2+卡牌总表!Z158*参数!$B$13-卡牌总表!T158*参数!$B$14-卡牌总表!AD158*参数!$B$13+IF(ISNUMBER(卡牌总表!AU158),卡牌总表!AU158*参数!$B$38,0)-卡牌总表!AV158*参数!$B$41-卡牌总表!AW158*参数!$B$14</f>
        <v>6</v>
      </c>
      <c r="J158">
        <f>IF(AND(卡牌总表!F158="能力",卡牌总表!AL158="能力持续"),(参数!$B$2-1)*参数!$B$3,0)</f>
        <v>0</v>
      </c>
      <c r="K158">
        <f t="shared" si="7"/>
        <v>6</v>
      </c>
      <c r="L158">
        <f>卡牌总表!N158*卡牌总表!O158*参数!$B$5*IF(AND(卡牌总表!F158="能力",卡牌总表!AL158="能力持续"),参数!$B$2,1)+卡牌总表!Q158*参数!$B$6*IF(AND(卡牌总表!F158="能力",卡牌总表!AL158="能力持续"),参数!$B$2,1)+卡牌总表!S158*参数!$B$7*IF(AND(卡牌总表!F158="能力",卡牌总表!AL158="能力持续"),参数!$B$2,1)+卡牌总表!W158*参数!$B$8+IF(卡牌总表!Y158&lt;0,卡牌总表!Y158*参数!$B$13,卡牌总表!Y158*参数!$B$39)+IF(卡牌总表!AE158&lt;0,卡牌总表!AE158*参数!$B$13,卡牌总表!AE158*参数!$B$12)*参数!$B$2+卡牌总表!AR158*参数!$B$15+卡牌总表!AC158*参数!$B$11+卡牌总表!AF158*参数!$B$40*参数!$B$2+卡牌总表!AG158*参数!$B$44*参数!$B$2+卡牌总表!AH158*参数!$B$6*参数!$B$2+卡牌总表!AI158*参数!$B$39*参数!$B$2+卡牌总表!AJ158*参数!$B$6*参数!$B$2+卡牌总表!AA158*参数!$B$13-卡牌总表!U158*参数!$B$14-卡牌总表!AD158*参数!$B$13+IF(ISNUMBER(卡牌总表!AU158),卡牌总表!AU158*参数!$B$38,0)-卡牌总表!AV158*参数!$B$41-卡牌总表!AW158*参数!$B$14</f>
        <v>9</v>
      </c>
      <c r="M158">
        <f>IF(AND(卡牌总表!F158="能力",卡牌总表!AL158="能力持续"),参数!$B$2*参数!$B$3,0)</f>
        <v>0</v>
      </c>
      <c r="N158">
        <f t="shared" si="8"/>
        <v>9</v>
      </c>
      <c r="O158">
        <f>IFERROR(MAX(IF(K158 &gt; 参数!$B$17,参数!$B$17+SQRT(K158-参数!$B$17)*参数!$B$18,K158)-MAX(G158,0)*参数!$B$10,0)/MAX(G158,0.4),0)</f>
        <v>3</v>
      </c>
      <c r="P158">
        <f>IFERROR(MAX(IF(N158 &gt; 参数!$B$17,参数!$B$17+SQRT(N158-参数!$B$17)*参数!$B$18,N158)-MAX(H158,0)*参数!$B$10,0)/MAX(H158,0.4),0)</f>
        <v>6</v>
      </c>
      <c r="Q158">
        <f>卡牌总表!AO158</f>
        <v>0</v>
      </c>
    </row>
    <row r="159" spans="1:17" x14ac:dyDescent="0.3">
      <c r="A159">
        <f t="shared" si="6"/>
        <v>158</v>
      </c>
      <c r="B159" t="str">
        <f>卡牌总表!B159</f>
        <v>silent_sucker_punch</v>
      </c>
      <c r="C159" t="str">
        <f>卡牌总表!D159</f>
        <v>突然一拳</v>
      </c>
      <c r="D159" t="str">
        <f>卡牌总表!F159</f>
        <v>攻击</v>
      </c>
      <c r="E159">
        <f>卡牌总表!AL159</f>
        <v>0</v>
      </c>
      <c r="F159">
        <f>卡牌总表!AN159</f>
        <v>0</v>
      </c>
      <c r="G159">
        <f>卡牌总表!AP159</f>
        <v>1</v>
      </c>
      <c r="H159">
        <f>IF(ISNUMBER(卡牌总表!H159),IF(AND(卡牌总表!H159=0,卡牌总表!V159=0,卡牌总表!AK159="none"),0.4,IF(卡牌总表!AK159="exhaust",MAX(卡牌总表!H159-卡牌总表!V159,0.4),IF(卡牌总表!AK159="ethereal",MAX(卡牌总表!H159-卡牌总表!V159,0.4),MAX(卡牌总表!H159-卡牌总表!V159,0.4)))),IF(OR(卡牌总表!H159="X",卡牌总表!H159="∞"),0.4,0.4))</f>
        <v>1</v>
      </c>
      <c r="I159">
        <f>卡牌总表!M159*卡牌总表!O159*参数!$B$5*IF(AND(卡牌总表!F159="能力",卡牌总表!AL159="能力持续"),参数!$B$2,1)+卡牌总表!P159*参数!$B$6*IF(AND(卡牌总表!F159="能力",卡牌总表!AL159="能力持续"),参数!$B$2,1)+卡牌总表!R159*参数!$B$7*IF(AND(卡牌总表!F159="能力",卡牌总表!AL159="能力持续"),参数!$B$2,1)+卡牌总表!V159*参数!$B$8+IF(卡牌总表!X159&lt;0,卡牌总表!X159*参数!$B$13,卡牌总表!X159*参数!$B$39)+IF(卡牌总表!AE159&lt;0,卡牌总表!AE159*参数!$B$13,卡牌总表!AE159*参数!$B$12)*参数!$B$2+卡牌总表!AQ159*参数!$B$15+卡牌总表!AB159*参数!$B$11+卡牌总表!AF159*参数!$B$40*参数!$B$2+卡牌总表!AG159*参数!$B$44*参数!$B$2+卡牌总表!AH159*参数!$B$6*参数!$B$2+卡牌总表!AI159*参数!$B$39*参数!$B$2+卡牌总表!AJ159*参数!$B$6*参数!$B$2+卡牌总表!Z159*参数!$B$13-卡牌总表!T159*参数!$B$14-卡牌总表!AD159*参数!$B$13+IF(ISNUMBER(卡牌总表!AU159),卡牌总表!AU159*参数!$B$38,0)-卡牌总表!AV159*参数!$B$41-卡牌总表!AW159*参数!$B$14</f>
        <v>9.5</v>
      </c>
      <c r="J159">
        <f>IF(AND(卡牌总表!F159="能力",卡牌总表!AL159="能力持续"),(参数!$B$2-1)*参数!$B$3,0)</f>
        <v>0</v>
      </c>
      <c r="K159">
        <f t="shared" si="7"/>
        <v>9.5</v>
      </c>
      <c r="L159">
        <f>卡牌总表!N159*卡牌总表!O159*参数!$B$5*IF(AND(卡牌总表!F159="能力",卡牌总表!AL159="能力持续"),参数!$B$2,1)+卡牌总表!Q159*参数!$B$6*IF(AND(卡牌总表!F159="能力",卡牌总表!AL159="能力持续"),参数!$B$2,1)+卡牌总表!S159*参数!$B$7*IF(AND(卡牌总表!F159="能力",卡牌总表!AL159="能力持续"),参数!$B$2,1)+卡牌总表!W159*参数!$B$8+IF(卡牌总表!Y159&lt;0,卡牌总表!Y159*参数!$B$13,卡牌总表!Y159*参数!$B$39)+IF(卡牌总表!AE159&lt;0,卡牌总表!AE159*参数!$B$13,卡牌总表!AE159*参数!$B$12)*参数!$B$2+卡牌总表!AR159*参数!$B$15+卡牌总表!AC159*参数!$B$11+卡牌总表!AF159*参数!$B$40*参数!$B$2+卡牌总表!AG159*参数!$B$44*参数!$B$2+卡牌总表!AH159*参数!$B$6*参数!$B$2+卡牌总表!AI159*参数!$B$39*参数!$B$2+卡牌总表!AJ159*参数!$B$6*参数!$B$2+卡牌总表!AA159*参数!$B$13-卡牌总表!U159*参数!$B$14-卡牌总表!AD159*参数!$B$13+IF(ISNUMBER(卡牌总表!AU159),卡牌总表!AU159*参数!$B$38,0)-卡牌总表!AV159*参数!$B$41-卡牌总表!AW159*参数!$B$14</f>
        <v>11.5</v>
      </c>
      <c r="M159">
        <f>IF(AND(卡牌总表!F159="能力",卡牌总表!AL159="能力持续"),参数!$B$2*参数!$B$3,0)</f>
        <v>0</v>
      </c>
      <c r="N159">
        <f t="shared" si="8"/>
        <v>11.5</v>
      </c>
      <c r="O159">
        <f>IFERROR(MAX(IF(K159 &gt; 参数!$B$17,参数!$B$17+SQRT(K159-参数!$B$17)*参数!$B$18,K159)-MAX(G159,0)*参数!$B$10,0)/MAX(G159,0.4),0)</f>
        <v>6.5</v>
      </c>
      <c r="P159">
        <f>IFERROR(MAX(IF(N159 &gt; 参数!$B$17,参数!$B$17+SQRT(N159-参数!$B$17)*参数!$B$18,N159)-MAX(H159,0)*参数!$B$10,0)/MAX(H159,0.4),0)</f>
        <v>8.8371173070873841</v>
      </c>
      <c r="Q159">
        <f>卡牌总表!AO159</f>
        <v>0</v>
      </c>
    </row>
    <row r="160" spans="1:17" x14ac:dyDescent="0.3">
      <c r="A160">
        <f t="shared" si="6"/>
        <v>159</v>
      </c>
      <c r="B160" t="str">
        <f>卡牌总表!B160</f>
        <v>silent_suppress</v>
      </c>
      <c r="C160" t="str">
        <f>卡牌总表!D160</f>
        <v>压制</v>
      </c>
      <c r="D160" t="str">
        <f>卡牌总表!F160</f>
        <v>攻击</v>
      </c>
      <c r="E160">
        <f>卡牌总表!AL160</f>
        <v>0</v>
      </c>
      <c r="F160">
        <f>卡牌总表!AN160</f>
        <v>0</v>
      </c>
      <c r="G160">
        <f>卡牌总表!AP160</f>
        <v>0.4</v>
      </c>
      <c r="H160">
        <f>IF(ISNUMBER(卡牌总表!H160),IF(AND(卡牌总表!H160=0,卡牌总表!V160=0,卡牌总表!AK160="none"),0.4,IF(卡牌总表!AK160="exhaust",MAX(卡牌总表!H160-卡牌总表!V160,0.4),IF(卡牌总表!AK160="ethereal",MAX(卡牌总表!H160-卡牌总表!V160,0.4),MAX(卡牌总表!H160-卡牌总表!V160,0.4)))),IF(OR(卡牌总表!H160="X",卡牌总表!H160="∞"),0.4,0.4))</f>
        <v>0.4</v>
      </c>
      <c r="I160">
        <f>卡牌总表!M160*卡牌总表!O160*参数!$B$5*IF(AND(卡牌总表!F160="能力",卡牌总表!AL160="能力持续"),参数!$B$2,1)+卡牌总表!P160*参数!$B$6*IF(AND(卡牌总表!F160="能力",卡牌总表!AL160="能力持续"),参数!$B$2,1)+卡牌总表!R160*参数!$B$7*IF(AND(卡牌总表!F160="能力",卡牌总表!AL160="能力持续"),参数!$B$2,1)+卡牌总表!V160*参数!$B$8+IF(卡牌总表!X160&lt;0,卡牌总表!X160*参数!$B$13,卡牌总表!X160*参数!$B$39)+IF(卡牌总表!AE160&lt;0,卡牌总表!AE160*参数!$B$13,卡牌总表!AE160*参数!$B$12)*参数!$B$2+卡牌总表!AQ160*参数!$B$15+卡牌总表!AB160*参数!$B$11+卡牌总表!AF160*参数!$B$40*参数!$B$2+卡牌总表!AG160*参数!$B$44*参数!$B$2+卡牌总表!AH160*参数!$B$6*参数!$B$2+卡牌总表!AI160*参数!$B$39*参数!$B$2+卡牌总表!AJ160*参数!$B$6*参数!$B$2+卡牌总表!Z160*参数!$B$13-卡牌总表!T160*参数!$B$14-卡牌总表!AD160*参数!$B$13+IF(ISNUMBER(卡牌总表!AU160),卡牌总表!AU160*参数!$B$38,0)-卡牌总表!AV160*参数!$B$41-卡牌总表!AW160*参数!$B$14</f>
        <v>15.5</v>
      </c>
      <c r="J160">
        <f>IF(AND(卡牌总表!F160="能力",卡牌总表!AL160="能力持续"),(参数!$B$2-1)*参数!$B$3,0)</f>
        <v>0</v>
      </c>
      <c r="K160">
        <f t="shared" si="7"/>
        <v>15.5</v>
      </c>
      <c r="L160">
        <f>卡牌总表!N160*卡牌总表!O160*参数!$B$5*IF(AND(卡牌总表!F160="能力",卡牌总表!AL160="能力持续"),参数!$B$2,1)+卡牌总表!Q160*参数!$B$6*IF(AND(卡牌总表!F160="能力",卡牌总表!AL160="能力持续"),参数!$B$2,1)+卡牌总表!S160*参数!$B$7*IF(AND(卡牌总表!F160="能力",卡牌总表!AL160="能力持续"),参数!$B$2,1)+卡牌总表!W160*参数!$B$8+IF(卡牌总表!Y160&lt;0,卡牌总表!Y160*参数!$B$13,卡牌总表!Y160*参数!$B$39)+IF(卡牌总表!AE160&lt;0,卡牌总表!AE160*参数!$B$13,卡牌总表!AE160*参数!$B$12)*参数!$B$2+卡牌总表!AR160*参数!$B$15+卡牌总表!AC160*参数!$B$11+卡牌总表!AF160*参数!$B$40*参数!$B$2+卡牌总表!AG160*参数!$B$44*参数!$B$2+卡牌总表!AH160*参数!$B$6*参数!$B$2+卡牌总表!AI160*参数!$B$39*参数!$B$2+卡牌总表!AJ160*参数!$B$6*参数!$B$2+卡牌总表!AA160*参数!$B$13-卡牌总表!U160*参数!$B$14-卡牌总表!AD160*参数!$B$13+IF(ISNUMBER(卡牌总表!AU160),卡牌总表!AU160*参数!$B$38,0)-卡牌总表!AV160*参数!$B$41-卡牌总表!AW160*参数!$B$14</f>
        <v>21.5</v>
      </c>
      <c r="M160">
        <f>IF(AND(卡牌总表!F160="能力",卡牌总表!AL160="能力持续"),参数!$B$2*参数!$B$3,0)</f>
        <v>0</v>
      </c>
      <c r="N160">
        <f t="shared" si="8"/>
        <v>21.5</v>
      </c>
      <c r="O160">
        <f>IFERROR(MAX(IF(K160 &gt; 参数!$B$17,参数!$B$17+SQRT(K160-参数!$B$17)*参数!$B$18,K160)-MAX(G160,0)*参数!$B$10,0)/MAX(G160,0.4),0)</f>
        <v>30.79452954966893</v>
      </c>
      <c r="P160">
        <f>IFERROR(MAX(IF(N160 &gt; 参数!$B$17,参数!$B$17+SQRT(N160-参数!$B$17)*参数!$B$18,N160)-MAX(H160,0)*参数!$B$10,0)/MAX(H160,0.4),0)</f>
        <v>34.716868718359869</v>
      </c>
      <c r="Q160">
        <f>卡牌总表!AO160</f>
        <v>0</v>
      </c>
    </row>
    <row r="161" spans="1:17" x14ac:dyDescent="0.3">
      <c r="A161">
        <f t="shared" si="6"/>
        <v>160</v>
      </c>
      <c r="B161" t="str">
        <f>卡牌总表!B161</f>
        <v>silent_survivor</v>
      </c>
      <c r="C161" t="str">
        <f>卡牌总表!D161</f>
        <v>生存者</v>
      </c>
      <c r="D161" t="str">
        <f>卡牌总表!F161</f>
        <v>技能</v>
      </c>
      <c r="E161">
        <f>卡牌总表!AL161</f>
        <v>0</v>
      </c>
      <c r="F161">
        <f>卡牌总表!AN161</f>
        <v>0</v>
      </c>
      <c r="G161">
        <f>卡牌总表!AP161</f>
        <v>1</v>
      </c>
      <c r="H161">
        <f>IF(ISNUMBER(卡牌总表!H161),IF(AND(卡牌总表!H161=0,卡牌总表!V161=0,卡牌总表!AK161="none"),0.4,IF(卡牌总表!AK161="exhaust",MAX(卡牌总表!H161-卡牌总表!V161,0.4),IF(卡牌总表!AK161="ethereal",MAX(卡牌总表!H161-卡牌总表!V161,0.4),MAX(卡牌总表!H161-卡牌总表!V161,0.4)))),IF(OR(卡牌总表!H161="X",卡牌总表!H161="∞"),0.4,0.4))</f>
        <v>1</v>
      </c>
      <c r="I161">
        <f>卡牌总表!M161*卡牌总表!O161*参数!$B$5*IF(AND(卡牌总表!F161="能力",卡牌总表!AL161="能力持续"),参数!$B$2,1)+卡牌总表!P161*参数!$B$6*IF(AND(卡牌总表!F161="能力",卡牌总表!AL161="能力持续"),参数!$B$2,1)+卡牌总表!R161*参数!$B$7*IF(AND(卡牌总表!F161="能力",卡牌总表!AL161="能力持续"),参数!$B$2,1)+卡牌总表!V161*参数!$B$8+IF(卡牌总表!X161&lt;0,卡牌总表!X161*参数!$B$13,卡牌总表!X161*参数!$B$39)+IF(卡牌总表!AE161&lt;0,卡牌总表!AE161*参数!$B$13,卡牌总表!AE161*参数!$B$12)*参数!$B$2+卡牌总表!AQ161*参数!$B$15+卡牌总表!AB161*参数!$B$11+卡牌总表!AF161*参数!$B$40*参数!$B$2+卡牌总表!AG161*参数!$B$44*参数!$B$2+卡牌总表!AH161*参数!$B$6*参数!$B$2+卡牌总表!AI161*参数!$B$39*参数!$B$2+卡牌总表!AJ161*参数!$B$6*参数!$B$2+卡牌总表!Z161*参数!$B$13-卡牌总表!T161*参数!$B$14-卡牌总表!AD161*参数!$B$13+IF(ISNUMBER(卡牌总表!AU161),卡牌总表!AU161*参数!$B$38,0)-卡牌总表!AV161*参数!$B$41-卡牌总表!AW161*参数!$B$14</f>
        <v>8.5</v>
      </c>
      <c r="J161">
        <f>IF(AND(卡牌总表!F161="能力",卡牌总表!AL161="能力持续"),(参数!$B$2-1)*参数!$B$3,0)</f>
        <v>0</v>
      </c>
      <c r="K161">
        <f t="shared" si="7"/>
        <v>8.5</v>
      </c>
      <c r="L161">
        <f>卡牌总表!N161*卡牌总表!O161*参数!$B$5*IF(AND(卡牌总表!F161="能力",卡牌总表!AL161="能力持续"),参数!$B$2,1)+卡牌总表!Q161*参数!$B$6*IF(AND(卡牌总表!F161="能力",卡牌总表!AL161="能力持续"),参数!$B$2,1)+卡牌总表!S161*参数!$B$7*IF(AND(卡牌总表!F161="能力",卡牌总表!AL161="能力持续"),参数!$B$2,1)+卡牌总表!W161*参数!$B$8+IF(卡牌总表!Y161&lt;0,卡牌总表!Y161*参数!$B$13,卡牌总表!Y161*参数!$B$39)+IF(卡牌总表!AE161&lt;0,卡牌总表!AE161*参数!$B$13,卡牌总表!AE161*参数!$B$12)*参数!$B$2+卡牌总表!AR161*参数!$B$15+卡牌总表!AC161*参数!$B$11+卡牌总表!AF161*参数!$B$40*参数!$B$2+卡牌总表!AG161*参数!$B$44*参数!$B$2+卡牌总表!AH161*参数!$B$6*参数!$B$2+卡牌总表!AI161*参数!$B$39*参数!$B$2+卡牌总表!AJ161*参数!$B$6*参数!$B$2+卡牌总表!AA161*参数!$B$13-卡牌总表!U161*参数!$B$14-卡牌总表!AD161*参数!$B$13+IF(ISNUMBER(卡牌总表!AU161),卡牌总表!AU161*参数!$B$38,0)-卡牌总表!AV161*参数!$B$41-卡牌总表!AW161*参数!$B$14</f>
        <v>11.8</v>
      </c>
      <c r="M161">
        <f>IF(AND(卡牌总表!F161="能力",卡牌总表!AL161="能力持续"),参数!$B$2*参数!$B$3,0)</f>
        <v>0</v>
      </c>
      <c r="N161">
        <f t="shared" si="8"/>
        <v>11.8</v>
      </c>
      <c r="O161">
        <f>IFERROR(MAX(IF(K161 &gt; 参数!$B$17,参数!$B$17+SQRT(K161-参数!$B$17)*参数!$B$18,K161)-MAX(G161,0)*参数!$B$10,0)/MAX(G161,0.4),0)</f>
        <v>5.5</v>
      </c>
      <c r="P161">
        <f>IFERROR(MAX(IF(N161 &gt; 参数!$B$17,参数!$B$17+SQRT(N161-参数!$B$17)*参数!$B$18,N161)-MAX(H161,0)*参数!$B$10,0)/MAX(H161,0.4),0)</f>
        <v>9.0124611797498115</v>
      </c>
      <c r="Q161">
        <f>卡牌总表!AO161</f>
        <v>0</v>
      </c>
    </row>
    <row r="162" spans="1:17" x14ac:dyDescent="0.3">
      <c r="A162">
        <f t="shared" si="6"/>
        <v>161</v>
      </c>
      <c r="B162" t="str">
        <f>卡牌总表!B162</f>
        <v>defect_adaptive_strike</v>
      </c>
      <c r="C162" t="str">
        <f>卡牌总表!D162</f>
        <v>适应打击</v>
      </c>
      <c r="D162" t="str">
        <f>卡牌总表!F162</f>
        <v>攻击</v>
      </c>
      <c r="E162">
        <f>卡牌总表!AL162</f>
        <v>0</v>
      </c>
      <c r="F162">
        <f>卡牌总表!AN162</f>
        <v>0</v>
      </c>
      <c r="G162">
        <f>卡牌总表!AP162</f>
        <v>2</v>
      </c>
      <c r="H162">
        <f>IF(ISNUMBER(卡牌总表!H162),IF(AND(卡牌总表!H162=0,卡牌总表!V162=0,卡牌总表!AK162="none"),0.4,IF(卡牌总表!AK162="exhaust",MAX(卡牌总表!H162-卡牌总表!V162,0.4),IF(卡牌总表!AK162="ethereal",MAX(卡牌总表!H162-卡牌总表!V162,0.4),MAX(卡牌总表!H162-卡牌总表!V162,0.4)))),IF(OR(卡牌总表!H162="X",卡牌总表!H162="∞"),0.4,0.4))</f>
        <v>2</v>
      </c>
      <c r="I162">
        <f>卡牌总表!M162*卡牌总表!O162*参数!$B$5*IF(AND(卡牌总表!F162="能力",卡牌总表!AL162="能力持续"),参数!$B$2,1)+卡牌总表!P162*参数!$B$6*IF(AND(卡牌总表!F162="能力",卡牌总表!AL162="能力持续"),参数!$B$2,1)+卡牌总表!R162*参数!$B$7*IF(AND(卡牌总表!F162="能力",卡牌总表!AL162="能力持续"),参数!$B$2,1)+卡牌总表!V162*参数!$B$8+IF(卡牌总表!X162&lt;0,卡牌总表!X162*参数!$B$13,卡牌总表!X162*参数!$B$39)+IF(卡牌总表!AE162&lt;0,卡牌总表!AE162*参数!$B$13,卡牌总表!AE162*参数!$B$12)*参数!$B$2+卡牌总表!AQ162*参数!$B$15+卡牌总表!AB162*参数!$B$11+卡牌总表!AF162*参数!$B$40*参数!$B$2+卡牌总表!AG162*参数!$B$44*参数!$B$2+卡牌总表!AH162*参数!$B$6*参数!$B$2+卡牌总表!AI162*参数!$B$39*参数!$B$2+卡牌总表!AJ162*参数!$B$6*参数!$B$2+卡牌总表!Z162*参数!$B$13-卡牌总表!T162*参数!$B$14-卡牌总表!AD162*参数!$B$13+IF(ISNUMBER(卡牌总表!AU162),卡牌总表!AU162*参数!$B$38,0)-卡牌总表!AV162*参数!$B$41-卡牌总表!AW162*参数!$B$14</f>
        <v>18</v>
      </c>
      <c r="J162">
        <f>IF(AND(卡牌总表!F162="能力",卡牌总表!AL162="能力持续"),(参数!$B$2-1)*参数!$B$3,0)</f>
        <v>0</v>
      </c>
      <c r="K162">
        <f t="shared" si="7"/>
        <v>18</v>
      </c>
      <c r="L162">
        <f>卡牌总表!N162*卡牌总表!O162*参数!$B$5*IF(AND(卡牌总表!F162="能力",卡牌总表!AL162="能力持续"),参数!$B$2,1)+卡牌总表!Q162*参数!$B$6*IF(AND(卡牌总表!F162="能力",卡牌总表!AL162="能力持续"),参数!$B$2,1)+卡牌总表!S162*参数!$B$7*IF(AND(卡牌总表!F162="能力",卡牌总表!AL162="能力持续"),参数!$B$2,1)+卡牌总表!W162*参数!$B$8+IF(卡牌总表!Y162&lt;0,卡牌总表!Y162*参数!$B$13,卡牌总表!Y162*参数!$B$39)+IF(卡牌总表!AE162&lt;0,卡牌总表!AE162*参数!$B$13,卡牌总表!AE162*参数!$B$12)*参数!$B$2+卡牌总表!AR162*参数!$B$15+卡牌总表!AC162*参数!$B$11+卡牌总表!AF162*参数!$B$40*参数!$B$2+卡牌总表!AG162*参数!$B$44*参数!$B$2+卡牌总表!AH162*参数!$B$6*参数!$B$2+卡牌总表!AI162*参数!$B$39*参数!$B$2+卡牌总表!AJ162*参数!$B$6*参数!$B$2+卡牌总表!AA162*参数!$B$13-卡牌总表!U162*参数!$B$14-卡牌总表!AD162*参数!$B$13+IF(ISNUMBER(卡牌总表!AU162),卡牌总表!AU162*参数!$B$38,0)-卡牌总表!AV162*参数!$B$41-卡牌总表!AW162*参数!$B$14</f>
        <v>23</v>
      </c>
      <c r="M162">
        <f>IF(AND(卡牌总表!F162="能力",卡牌总表!AL162="能力持续"),参数!$B$2*参数!$B$3,0)</f>
        <v>0</v>
      </c>
      <c r="N162">
        <f t="shared" si="8"/>
        <v>23</v>
      </c>
      <c r="O162">
        <f>IFERROR(MAX(IF(K162 &gt; 参数!$B$17,参数!$B$17+SQRT(K162-参数!$B$17)*参数!$B$18,K162)-MAX(G162,0)*参数!$B$10,0)/MAX(G162,0.4),0)</f>
        <v>4.1213203435596428</v>
      </c>
      <c r="P162">
        <f>IFERROR(MAX(IF(N162 &gt; 参数!$B$17,参数!$B$17+SQRT(N162-参数!$B$17)*参数!$B$18,N162)-MAX(H162,0)*参数!$B$10,0)/MAX(H162,0.4),0)</f>
        <v>4.7041634565979917</v>
      </c>
      <c r="Q162">
        <f>卡牌总表!AO162</f>
        <v>0</v>
      </c>
    </row>
    <row r="163" spans="1:17" x14ac:dyDescent="0.3">
      <c r="A163">
        <f t="shared" si="6"/>
        <v>162</v>
      </c>
      <c r="B163" t="str">
        <f>卡牌总表!B163</f>
        <v>defect_all_for_one</v>
      </c>
      <c r="C163" t="str">
        <f>卡牌总表!D163</f>
        <v>万物一心</v>
      </c>
      <c r="D163" t="str">
        <f>卡牌总表!F163</f>
        <v>攻击</v>
      </c>
      <c r="E163">
        <f>卡牌总表!AL163</f>
        <v>0</v>
      </c>
      <c r="F163">
        <f>卡牌总表!AN163</f>
        <v>0</v>
      </c>
      <c r="G163">
        <f>卡牌总表!AP163</f>
        <v>2</v>
      </c>
      <c r="H163">
        <f>IF(ISNUMBER(卡牌总表!H163),IF(AND(卡牌总表!H163=0,卡牌总表!V163=0,卡牌总表!AK163="none"),0.4,IF(卡牌总表!AK163="exhaust",MAX(卡牌总表!H163-卡牌总表!V163,0.4),IF(卡牌总表!AK163="ethereal",MAX(卡牌总表!H163-卡牌总表!V163,0.4),MAX(卡牌总表!H163-卡牌总表!V163,0.4)))),IF(OR(卡牌总表!H163="X",卡牌总表!H163="∞"),0.4,0.4))</f>
        <v>2</v>
      </c>
      <c r="I163">
        <f>卡牌总表!M163*卡牌总表!O163*参数!$B$5*IF(AND(卡牌总表!F163="能力",卡牌总表!AL163="能力持续"),参数!$B$2,1)+卡牌总表!P163*参数!$B$6*IF(AND(卡牌总表!F163="能力",卡牌总表!AL163="能力持续"),参数!$B$2,1)+卡牌总表!R163*参数!$B$7*IF(AND(卡牌总表!F163="能力",卡牌总表!AL163="能力持续"),参数!$B$2,1)+卡牌总表!V163*参数!$B$8+IF(卡牌总表!X163&lt;0,卡牌总表!X163*参数!$B$13,卡牌总表!X163*参数!$B$39)+IF(卡牌总表!AE163&lt;0,卡牌总表!AE163*参数!$B$13,卡牌总表!AE163*参数!$B$12)*参数!$B$2+卡牌总表!AQ163*参数!$B$15+卡牌总表!AB163*参数!$B$11+卡牌总表!AF163*参数!$B$40*参数!$B$2+卡牌总表!AG163*参数!$B$44*参数!$B$2+卡牌总表!AH163*参数!$B$6*参数!$B$2+卡牌总表!AI163*参数!$B$39*参数!$B$2+卡牌总表!AJ163*参数!$B$6*参数!$B$2+卡牌总表!Z163*参数!$B$13-卡牌总表!T163*参数!$B$14-卡牌总表!AD163*参数!$B$13+IF(ISNUMBER(卡牌总表!AU163),卡牌总表!AU163*参数!$B$38,0)-卡牌总表!AV163*参数!$B$41-卡牌总表!AW163*参数!$B$14</f>
        <v>10</v>
      </c>
      <c r="J163">
        <f>IF(AND(卡牌总表!F163="能力",卡牌总表!AL163="能力持续"),(参数!$B$2-1)*参数!$B$3,0)</f>
        <v>0</v>
      </c>
      <c r="K163">
        <f t="shared" si="7"/>
        <v>10</v>
      </c>
      <c r="L163">
        <f>卡牌总表!N163*卡牌总表!O163*参数!$B$5*IF(AND(卡牌总表!F163="能力",卡牌总表!AL163="能力持续"),参数!$B$2,1)+卡牌总表!Q163*参数!$B$6*IF(AND(卡牌总表!F163="能力",卡牌总表!AL163="能力持续"),参数!$B$2,1)+卡牌总表!S163*参数!$B$7*IF(AND(卡牌总表!F163="能力",卡牌总表!AL163="能力持续"),参数!$B$2,1)+卡牌总表!W163*参数!$B$8+IF(卡牌总表!Y163&lt;0,卡牌总表!Y163*参数!$B$13,卡牌总表!Y163*参数!$B$39)+IF(卡牌总表!AE163&lt;0,卡牌总表!AE163*参数!$B$13,卡牌总表!AE163*参数!$B$12)*参数!$B$2+卡牌总表!AR163*参数!$B$15+卡牌总表!AC163*参数!$B$11+卡牌总表!AF163*参数!$B$40*参数!$B$2+卡牌总表!AG163*参数!$B$44*参数!$B$2+卡牌总表!AH163*参数!$B$6*参数!$B$2+卡牌总表!AI163*参数!$B$39*参数!$B$2+卡牌总表!AJ163*参数!$B$6*参数!$B$2+卡牌总表!AA163*参数!$B$13-卡牌总表!U163*参数!$B$14-卡牌总表!AD163*参数!$B$13+IF(ISNUMBER(卡牌总表!AU163),卡牌总表!AU163*参数!$B$38,0)-卡牌总表!AV163*参数!$B$41-卡牌总表!AW163*参数!$B$14</f>
        <v>14</v>
      </c>
      <c r="M163">
        <f>IF(AND(卡牌总表!F163="能力",卡牌总表!AL163="能力持续"),参数!$B$2*参数!$B$3,0)</f>
        <v>0</v>
      </c>
      <c r="N163">
        <f t="shared" si="8"/>
        <v>14</v>
      </c>
      <c r="O163">
        <f>IFERROR(MAX(IF(K163 &gt; 参数!$B$17,参数!$B$17+SQRT(K163-参数!$B$17)*参数!$B$18,K163)-MAX(G163,0)*参数!$B$10,0)/MAX(G163,0.4),0)</f>
        <v>2</v>
      </c>
      <c r="P163">
        <f>IFERROR(MAX(IF(N163 &gt; 参数!$B$17,参数!$B$17+SQRT(N163-参数!$B$17)*参数!$B$18,N163)-MAX(H163,0)*参数!$B$10,0)/MAX(H163,0.4),0)</f>
        <v>3.5</v>
      </c>
      <c r="Q163">
        <f>卡牌总表!AO163</f>
        <v>0</v>
      </c>
    </row>
    <row r="164" spans="1:17" x14ac:dyDescent="0.3">
      <c r="A164">
        <f t="shared" si="6"/>
        <v>163</v>
      </c>
      <c r="B164" t="str">
        <f>卡牌总表!B164</f>
        <v>defect_ball_lightning</v>
      </c>
      <c r="C164" t="str">
        <f>卡牌总表!D164</f>
        <v>球状闪电</v>
      </c>
      <c r="D164" t="str">
        <f>卡牌总表!F164</f>
        <v>攻击</v>
      </c>
      <c r="E164">
        <f>卡牌总表!AL164</f>
        <v>0</v>
      </c>
      <c r="F164">
        <f>卡牌总表!AN164</f>
        <v>0</v>
      </c>
      <c r="G164">
        <f>卡牌总表!AP164</f>
        <v>1</v>
      </c>
      <c r="H164">
        <f>IF(ISNUMBER(卡牌总表!H164),IF(AND(卡牌总表!H164=0,卡牌总表!V164=0,卡牌总表!AK164="none"),0.4,IF(卡牌总表!AK164="exhaust",MAX(卡牌总表!H164-卡牌总表!V164,0.4),IF(卡牌总表!AK164="ethereal",MAX(卡牌总表!H164-卡牌总表!V164,0.4),MAX(卡牌总表!H164-卡牌总表!V164,0.4)))),IF(OR(卡牌总表!H164="X",卡牌总表!H164="∞"),0.4,0.4))</f>
        <v>1</v>
      </c>
      <c r="I164">
        <f>卡牌总表!M164*卡牌总表!O164*参数!$B$5*IF(AND(卡牌总表!F164="能力",卡牌总表!AL164="能力持续"),参数!$B$2,1)+卡牌总表!P164*参数!$B$6*IF(AND(卡牌总表!F164="能力",卡牌总表!AL164="能力持续"),参数!$B$2,1)+卡牌总表!R164*参数!$B$7*IF(AND(卡牌总表!F164="能力",卡牌总表!AL164="能力持续"),参数!$B$2,1)+卡牌总表!V164*参数!$B$8+IF(卡牌总表!X164&lt;0,卡牌总表!X164*参数!$B$13,卡牌总表!X164*参数!$B$39)+IF(卡牌总表!AE164&lt;0,卡牌总表!AE164*参数!$B$13,卡牌总表!AE164*参数!$B$12)*参数!$B$2+卡牌总表!AQ164*参数!$B$15+卡牌总表!AB164*参数!$B$11+卡牌总表!AF164*参数!$B$40*参数!$B$2+卡牌总表!AG164*参数!$B$44*参数!$B$2+卡牌总表!AH164*参数!$B$6*参数!$B$2+卡牌总表!AI164*参数!$B$39*参数!$B$2+卡牌总表!AJ164*参数!$B$6*参数!$B$2+卡牌总表!Z164*参数!$B$13-卡牌总表!T164*参数!$B$14-卡牌总表!AD164*参数!$B$13+IF(ISNUMBER(卡牌总表!AU164),卡牌总表!AU164*参数!$B$38,0)-卡牌总表!AV164*参数!$B$41-卡牌总表!AW164*参数!$B$14</f>
        <v>10</v>
      </c>
      <c r="J164">
        <f>IF(AND(卡牌总表!F164="能力",卡牌总表!AL164="能力持续"),(参数!$B$2-1)*参数!$B$3,0)</f>
        <v>0</v>
      </c>
      <c r="K164">
        <f t="shared" si="7"/>
        <v>10</v>
      </c>
      <c r="L164">
        <f>卡牌总表!N164*卡牌总表!O164*参数!$B$5*IF(AND(卡牌总表!F164="能力",卡牌总表!AL164="能力持续"),参数!$B$2,1)+卡牌总表!Q164*参数!$B$6*IF(AND(卡牌总表!F164="能力",卡牌总表!AL164="能力持续"),参数!$B$2,1)+卡牌总表!S164*参数!$B$7*IF(AND(卡牌总表!F164="能力",卡牌总表!AL164="能力持续"),参数!$B$2,1)+卡牌总表!W164*参数!$B$8+IF(卡牌总表!Y164&lt;0,卡牌总表!Y164*参数!$B$13,卡牌总表!Y164*参数!$B$39)+IF(卡牌总表!AE164&lt;0,卡牌总表!AE164*参数!$B$13,卡牌总表!AE164*参数!$B$12)*参数!$B$2+卡牌总表!AR164*参数!$B$15+卡牌总表!AC164*参数!$B$11+卡牌总表!AF164*参数!$B$40*参数!$B$2+卡牌总表!AG164*参数!$B$44*参数!$B$2+卡牌总表!AH164*参数!$B$6*参数!$B$2+卡牌总表!AI164*参数!$B$39*参数!$B$2+卡牌总表!AJ164*参数!$B$6*参数!$B$2+卡牌总表!AA164*参数!$B$13-卡牌总表!U164*参数!$B$14-卡牌总表!AD164*参数!$B$13+IF(ISNUMBER(卡牌总表!AU164),卡牌总表!AU164*参数!$B$38,0)-卡牌总表!AV164*参数!$B$41-卡牌总表!AW164*参数!$B$14</f>
        <v>13</v>
      </c>
      <c r="M164">
        <f>IF(AND(卡牌总表!F164="能力",卡牌总表!AL164="能力持续"),参数!$B$2*参数!$B$3,0)</f>
        <v>0</v>
      </c>
      <c r="N164">
        <f t="shared" si="8"/>
        <v>13</v>
      </c>
      <c r="O164">
        <f>IFERROR(MAX(IF(K164 &gt; 参数!$B$17,参数!$B$17+SQRT(K164-参数!$B$17)*参数!$B$18,K164)-MAX(G164,0)*参数!$B$10,0)/MAX(G164,0.4),0)</f>
        <v>7</v>
      </c>
      <c r="P164">
        <f>IFERROR(MAX(IF(N164 &gt; 参数!$B$17,参数!$B$17+SQRT(N164-参数!$B$17)*参数!$B$18,N164)-MAX(H164,0)*参数!$B$10,0)/MAX(H164,0.4),0)</f>
        <v>9.598076211353316</v>
      </c>
      <c r="Q164">
        <f>卡牌总表!AO164</f>
        <v>0</v>
      </c>
    </row>
    <row r="165" spans="1:17" x14ac:dyDescent="0.3">
      <c r="A165">
        <f t="shared" si="6"/>
        <v>164</v>
      </c>
      <c r="B165" t="str">
        <f>卡牌总表!B165</f>
        <v>defect_barrage</v>
      </c>
      <c r="C165" t="str">
        <f>卡牌总表!D165</f>
        <v>弹幕齐射</v>
      </c>
      <c r="D165" t="str">
        <f>卡牌总表!F165</f>
        <v>攻击</v>
      </c>
      <c r="E165">
        <f>卡牌总表!AL165</f>
        <v>0</v>
      </c>
      <c r="F165">
        <f>卡牌总表!AN165</f>
        <v>0</v>
      </c>
      <c r="G165">
        <f>卡牌总表!AP165</f>
        <v>1</v>
      </c>
      <c r="H165">
        <f>IF(ISNUMBER(卡牌总表!H165),IF(AND(卡牌总表!H165=0,卡牌总表!V165=0,卡牌总表!AK165="none"),0.4,IF(卡牌总表!AK165="exhaust",MAX(卡牌总表!H165-卡牌总表!V165,0.4),IF(卡牌总表!AK165="ethereal",MAX(卡牌总表!H165-卡牌总表!V165,0.4),MAX(卡牌总表!H165-卡牌总表!V165,0.4)))),IF(OR(卡牌总表!H165="X",卡牌总表!H165="∞"),0.4,0.4))</f>
        <v>1</v>
      </c>
      <c r="I165">
        <f>卡牌总表!M165*卡牌总表!O165*参数!$B$5*IF(AND(卡牌总表!F165="能力",卡牌总表!AL165="能力持续"),参数!$B$2,1)+卡牌总表!P165*参数!$B$6*IF(AND(卡牌总表!F165="能力",卡牌总表!AL165="能力持续"),参数!$B$2,1)+卡牌总表!R165*参数!$B$7*IF(AND(卡牌总表!F165="能力",卡牌总表!AL165="能力持续"),参数!$B$2,1)+卡牌总表!V165*参数!$B$8+IF(卡牌总表!X165&lt;0,卡牌总表!X165*参数!$B$13,卡牌总表!X165*参数!$B$39)+IF(卡牌总表!AE165&lt;0,卡牌总表!AE165*参数!$B$13,卡牌总表!AE165*参数!$B$12)*参数!$B$2+卡牌总表!AQ165*参数!$B$15+卡牌总表!AB165*参数!$B$11+卡牌总表!AF165*参数!$B$40*参数!$B$2+卡牌总表!AG165*参数!$B$44*参数!$B$2+卡牌总表!AH165*参数!$B$6*参数!$B$2+卡牌总表!AI165*参数!$B$39*参数!$B$2+卡牌总表!AJ165*参数!$B$6*参数!$B$2+卡牌总表!Z165*参数!$B$13-卡牌总表!T165*参数!$B$14-卡牌总表!AD165*参数!$B$13+IF(ISNUMBER(卡牌总表!AU165),卡牌总表!AU165*参数!$B$38,0)-卡牌总表!AV165*参数!$B$41-卡牌总表!AW165*参数!$B$14</f>
        <v>10</v>
      </c>
      <c r="J165">
        <f>IF(AND(卡牌总表!F165="能力",卡牌总表!AL165="能力持续"),(参数!$B$2-1)*参数!$B$3,0)</f>
        <v>0</v>
      </c>
      <c r="K165">
        <f t="shared" si="7"/>
        <v>10</v>
      </c>
      <c r="L165">
        <f>卡牌总表!N165*卡牌总表!O165*参数!$B$5*IF(AND(卡牌总表!F165="能力",卡牌总表!AL165="能力持续"),参数!$B$2,1)+卡牌总表!Q165*参数!$B$6*IF(AND(卡牌总表!F165="能力",卡牌总表!AL165="能力持续"),参数!$B$2,1)+卡牌总表!S165*参数!$B$7*IF(AND(卡牌总表!F165="能力",卡牌总表!AL165="能力持续"),参数!$B$2,1)+卡牌总表!W165*参数!$B$8+IF(卡牌总表!Y165&lt;0,卡牌总表!Y165*参数!$B$13,卡牌总表!Y165*参数!$B$39)+IF(卡牌总表!AE165&lt;0,卡牌总表!AE165*参数!$B$13,卡牌总表!AE165*参数!$B$12)*参数!$B$2+卡牌总表!AR165*参数!$B$15+卡牌总表!AC165*参数!$B$11+卡牌总表!AF165*参数!$B$40*参数!$B$2+卡牌总表!AG165*参数!$B$44*参数!$B$2+卡牌总表!AH165*参数!$B$6*参数!$B$2+卡牌总表!AI165*参数!$B$39*参数!$B$2+卡牌总表!AJ165*参数!$B$6*参数!$B$2+卡牌总表!AA165*参数!$B$13-卡牌总表!U165*参数!$B$14-卡牌总表!AD165*参数!$B$13+IF(ISNUMBER(卡牌总表!AU165),卡牌总表!AU165*参数!$B$38,0)-卡牌总表!AV165*参数!$B$41-卡牌总表!AW165*参数!$B$14</f>
        <v>10</v>
      </c>
      <c r="M165">
        <f>IF(AND(卡牌总表!F165="能力",卡牌总表!AL165="能力持续"),参数!$B$2*参数!$B$3,0)</f>
        <v>0</v>
      </c>
      <c r="N165">
        <f t="shared" si="8"/>
        <v>10</v>
      </c>
      <c r="O165">
        <f>IFERROR(MAX(IF(K165 &gt; 参数!$B$17,参数!$B$17+SQRT(K165-参数!$B$17)*参数!$B$18,K165)-MAX(G165,0)*参数!$B$10,0)/MAX(G165,0.4),0)</f>
        <v>7</v>
      </c>
      <c r="P165">
        <f>IFERROR(MAX(IF(N165 &gt; 参数!$B$17,参数!$B$17+SQRT(N165-参数!$B$17)*参数!$B$18,N165)-MAX(H165,0)*参数!$B$10,0)/MAX(H165,0.4),0)</f>
        <v>7</v>
      </c>
      <c r="Q165">
        <f>卡牌总表!AO165</f>
        <v>0</v>
      </c>
    </row>
    <row r="166" spans="1:17" x14ac:dyDescent="0.3">
      <c r="A166">
        <f t="shared" si="6"/>
        <v>165</v>
      </c>
      <c r="B166" t="str">
        <f>卡牌总表!B166</f>
        <v>defect_beam_cell</v>
      </c>
      <c r="C166" t="str">
        <f>卡牌总表!D166</f>
        <v>光束射线</v>
      </c>
      <c r="D166" t="str">
        <f>卡牌总表!F166</f>
        <v>攻击</v>
      </c>
      <c r="E166">
        <f>卡牌总表!AL166</f>
        <v>0</v>
      </c>
      <c r="F166">
        <f>卡牌总表!AN166</f>
        <v>0</v>
      </c>
      <c r="G166">
        <f>卡牌总表!AP166</f>
        <v>0.4</v>
      </c>
      <c r="H166">
        <f>IF(ISNUMBER(卡牌总表!H166),IF(AND(卡牌总表!H166=0,卡牌总表!V166=0,卡牌总表!AK166="none"),0.4,IF(卡牌总表!AK166="exhaust",MAX(卡牌总表!H166-卡牌总表!V166,0.4),IF(卡牌总表!AK166="ethereal",MAX(卡牌总表!H166-卡牌总表!V166,0.4),MAX(卡牌总表!H166-卡牌总表!V166,0.4)))),IF(OR(卡牌总表!H166="X",卡牌总表!H166="∞"),0.4,0.4))</f>
        <v>0.4</v>
      </c>
      <c r="I166">
        <f>卡牌总表!M166*卡牌总表!O166*参数!$B$5*IF(AND(卡牌总表!F166="能力",卡牌总表!AL166="能力持续"),参数!$B$2,1)+卡牌总表!P166*参数!$B$6*IF(AND(卡牌总表!F166="能力",卡牌总表!AL166="能力持续"),参数!$B$2,1)+卡牌总表!R166*参数!$B$7*IF(AND(卡牌总表!F166="能力",卡牌总表!AL166="能力持续"),参数!$B$2,1)+卡牌总表!V166*参数!$B$8+IF(卡牌总表!X166&lt;0,卡牌总表!X166*参数!$B$13,卡牌总表!X166*参数!$B$39)+IF(卡牌总表!AE166&lt;0,卡牌总表!AE166*参数!$B$13,卡牌总表!AE166*参数!$B$12)*参数!$B$2+卡牌总表!AQ166*参数!$B$15+卡牌总表!AB166*参数!$B$11+卡牌总表!AF166*参数!$B$40*参数!$B$2+卡牌总表!AG166*参数!$B$44*参数!$B$2+卡牌总表!AH166*参数!$B$6*参数!$B$2+卡牌总表!AI166*参数!$B$39*参数!$B$2+卡牌总表!AJ166*参数!$B$6*参数!$B$2+卡牌总表!Z166*参数!$B$13-卡牌总表!T166*参数!$B$14-卡牌总表!AD166*参数!$B$13+IF(ISNUMBER(卡牌总表!AU166),卡牌总表!AU166*参数!$B$38,0)-卡牌总表!AV166*参数!$B$41-卡牌总表!AW166*参数!$B$14</f>
        <v>4.3</v>
      </c>
      <c r="J166">
        <f>IF(AND(卡牌总表!F166="能力",卡牌总表!AL166="能力持续"),(参数!$B$2-1)*参数!$B$3,0)</f>
        <v>0</v>
      </c>
      <c r="K166">
        <f t="shared" si="7"/>
        <v>4.3</v>
      </c>
      <c r="L166">
        <f>卡牌总表!N166*卡牌总表!O166*参数!$B$5*IF(AND(卡牌总表!F166="能力",卡牌总表!AL166="能力持续"),参数!$B$2,1)+卡牌总表!Q166*参数!$B$6*IF(AND(卡牌总表!F166="能力",卡牌总表!AL166="能力持续"),参数!$B$2,1)+卡牌总表!S166*参数!$B$7*IF(AND(卡牌总表!F166="能力",卡牌总表!AL166="能力持续"),参数!$B$2,1)+卡牌总表!W166*参数!$B$8+IF(卡牌总表!Y166&lt;0,卡牌总表!Y166*参数!$B$13,卡牌总表!Y166*参数!$B$39)+IF(卡牌总表!AE166&lt;0,卡牌总表!AE166*参数!$B$13,卡牌总表!AE166*参数!$B$12)*参数!$B$2+卡牌总表!AR166*参数!$B$15+卡牌总表!AC166*参数!$B$11+卡牌总表!AF166*参数!$B$40*参数!$B$2+卡牌总表!AG166*参数!$B$44*参数!$B$2+卡牌总表!AH166*参数!$B$6*参数!$B$2+卡牌总表!AI166*参数!$B$39*参数!$B$2+卡牌总表!AJ166*参数!$B$6*参数!$B$2+卡牌总表!AA166*参数!$B$13-卡牌总表!U166*参数!$B$14-卡牌总表!AD166*参数!$B$13+IF(ISNUMBER(卡牌总表!AU166),卡牌总表!AU166*参数!$B$38,0)-卡牌总表!AV166*参数!$B$41-卡牌总表!AW166*参数!$B$14</f>
        <v>5.3</v>
      </c>
      <c r="M166">
        <f>IF(AND(卡牌总表!F166="能力",卡牌总表!AL166="能力持续"),参数!$B$2*参数!$B$3,0)</f>
        <v>0</v>
      </c>
      <c r="N166">
        <f t="shared" si="8"/>
        <v>5.3</v>
      </c>
      <c r="O166">
        <f>IFERROR(MAX(IF(K166 &gt; 参数!$B$17,参数!$B$17+SQRT(K166-参数!$B$17)*参数!$B$18,K166)-MAX(G166,0)*参数!$B$10,0)/MAX(G166,0.4),0)</f>
        <v>7.7499999999999991</v>
      </c>
      <c r="P166">
        <f>IFERROR(MAX(IF(N166 &gt; 参数!$B$17,参数!$B$17+SQRT(N166-参数!$B$17)*参数!$B$18,N166)-MAX(H166,0)*参数!$B$10,0)/MAX(H166,0.4),0)</f>
        <v>10.249999999999998</v>
      </c>
      <c r="Q166">
        <f>卡牌总表!AO166</f>
        <v>0</v>
      </c>
    </row>
    <row r="167" spans="1:17" x14ac:dyDescent="0.3">
      <c r="A167">
        <f t="shared" si="6"/>
        <v>166</v>
      </c>
      <c r="B167" t="str">
        <f>卡牌总表!B167</f>
        <v>defect_biased_cognition</v>
      </c>
      <c r="C167" t="str">
        <f>卡牌总表!D167</f>
        <v>偏差认知</v>
      </c>
      <c r="D167" t="str">
        <f>卡牌总表!F167</f>
        <v>能力</v>
      </c>
      <c r="E167" t="str">
        <f>卡牌总表!AL167</f>
        <v>能力持续</v>
      </c>
      <c r="F167" t="str">
        <f>卡牌总表!AN167</f>
        <v>能力</v>
      </c>
      <c r="G167">
        <f>卡牌总表!AP167</f>
        <v>1</v>
      </c>
      <c r="H167">
        <f>IF(ISNUMBER(卡牌总表!H167),IF(AND(卡牌总表!H167=0,卡牌总表!V167=0,卡牌总表!AK167="none"),0.4,IF(卡牌总表!AK167="exhaust",MAX(卡牌总表!H167-卡牌总表!V167,0.4),IF(卡牌总表!AK167="ethereal",MAX(卡牌总表!H167-卡牌总表!V167,0.4),MAX(卡牌总表!H167-卡牌总表!V167,0.4)))),IF(OR(卡牌总表!H167="X",卡牌总表!H167="∞"),0.4,0.4))</f>
        <v>1</v>
      </c>
      <c r="I167">
        <f>卡牌总表!M167*卡牌总表!O167*参数!$B$5*IF(AND(卡牌总表!F167="能力",卡牌总表!AL167="能力持续"),参数!$B$2,1)+卡牌总表!P167*参数!$B$6*IF(AND(卡牌总表!F167="能力",卡牌总表!AL167="能力持续"),参数!$B$2,1)+卡牌总表!R167*参数!$B$7*IF(AND(卡牌总表!F167="能力",卡牌总表!AL167="能力持续"),参数!$B$2,1)+卡牌总表!V167*参数!$B$8+IF(卡牌总表!X167&lt;0,卡牌总表!X167*参数!$B$13,卡牌总表!X167*参数!$B$39)+IF(卡牌总表!AE167&lt;0,卡牌总表!AE167*参数!$B$13,卡牌总表!AE167*参数!$B$12)*参数!$B$2+卡牌总表!AQ167*参数!$B$15+卡牌总表!AB167*参数!$B$11+卡牌总表!AF167*参数!$B$40*参数!$B$2+卡牌总表!AG167*参数!$B$44*参数!$B$2+卡牌总表!AH167*参数!$B$6*参数!$B$2+卡牌总表!AI167*参数!$B$39*参数!$B$2+卡牌总表!AJ167*参数!$B$6*参数!$B$2+卡牌总表!Z167*参数!$B$13-卡牌总表!T167*参数!$B$14-卡牌总表!AD167*参数!$B$13+IF(ISNUMBER(卡牌总表!AU167),卡牌总表!AU167*参数!$B$38,0)-卡牌总表!AV167*参数!$B$41-卡牌总表!AW167*参数!$B$14</f>
        <v>26</v>
      </c>
      <c r="J167">
        <f>IF(AND(卡牌总表!F167="能力",卡牌总表!AL167="能力持续"),(参数!$B$2-1)*参数!$B$3,0)</f>
        <v>3.5999999999999996</v>
      </c>
      <c r="K167">
        <f t="shared" si="7"/>
        <v>29.6</v>
      </c>
      <c r="L167">
        <f>卡牌总表!N167*卡牌总表!O167*参数!$B$5*IF(AND(卡牌总表!F167="能力",卡牌总表!AL167="能力持续"),参数!$B$2,1)+卡牌总表!Q167*参数!$B$6*IF(AND(卡牌总表!F167="能力",卡牌总表!AL167="能力持续"),参数!$B$2,1)+卡牌总表!S167*参数!$B$7*IF(AND(卡牌总表!F167="能力",卡牌总表!AL167="能力持续"),参数!$B$2,1)+卡牌总表!W167*参数!$B$8+IF(卡牌总表!Y167&lt;0,卡牌总表!Y167*参数!$B$13,卡牌总表!Y167*参数!$B$39)+IF(卡牌总表!AE167&lt;0,卡牌总表!AE167*参数!$B$13,卡牌总表!AE167*参数!$B$12)*参数!$B$2+卡牌总表!AR167*参数!$B$15+卡牌总表!AC167*参数!$B$11+卡牌总表!AF167*参数!$B$40*参数!$B$2+卡牌总表!AG167*参数!$B$44*参数!$B$2+卡牌总表!AH167*参数!$B$6*参数!$B$2+卡牌总表!AI167*参数!$B$39*参数!$B$2+卡牌总表!AJ167*参数!$B$6*参数!$B$2+卡牌总表!AA167*参数!$B$13-卡牌总表!U167*参数!$B$14-卡牌总表!AD167*参数!$B$13+IF(ISNUMBER(卡牌总表!AU167),卡牌总表!AU167*参数!$B$38,0)-卡牌总表!AV167*参数!$B$41-卡牌总表!AW167*参数!$B$14</f>
        <v>26</v>
      </c>
      <c r="M167">
        <f>IF(AND(卡牌总表!F167="能力",卡牌总表!AL167="能力持续"),参数!$B$2*参数!$B$3,0)</f>
        <v>4.8</v>
      </c>
      <c r="N167">
        <f t="shared" si="8"/>
        <v>30.8</v>
      </c>
      <c r="O167">
        <f>IFERROR(MAX(IF(K167 &gt; 参数!$B$17,参数!$B$17+SQRT(K167-参数!$B$17)*参数!$B$18,K167)-MAX(G167,0)*参数!$B$10,0)/MAX(G167,0.4),0)</f>
        <v>13.640783086353597</v>
      </c>
      <c r="P167">
        <f>IFERROR(MAX(IF(N167 &gt; 参数!$B$17,参数!$B$17+SQRT(N167-参数!$B$17)*参数!$B$18,N167)-MAX(H167,0)*参数!$B$10,0)/MAX(H167,0.4),0)</f>
        <v>13.841052550594828</v>
      </c>
      <c r="Q167">
        <f>卡牌总表!AO167</f>
        <v>0</v>
      </c>
    </row>
    <row r="168" spans="1:17" x14ac:dyDescent="0.3">
      <c r="A168">
        <f t="shared" si="6"/>
        <v>167</v>
      </c>
      <c r="B168" t="str">
        <f>卡牌总表!B168</f>
        <v>defect_boost_away</v>
      </c>
      <c r="C168" t="str">
        <f>卡牌总表!D168</f>
        <v>高速脱离</v>
      </c>
      <c r="D168" t="str">
        <f>卡牌总表!F168</f>
        <v>技能</v>
      </c>
      <c r="E168">
        <f>卡牌总表!AL168</f>
        <v>0</v>
      </c>
      <c r="F168">
        <f>卡牌总表!AN168</f>
        <v>0</v>
      </c>
      <c r="G168">
        <f>卡牌总表!AP168</f>
        <v>0.4</v>
      </c>
      <c r="H168">
        <f>IF(ISNUMBER(卡牌总表!H168),IF(AND(卡牌总表!H168=0,卡牌总表!V168=0,卡牌总表!AK168="none"),0.4,IF(卡牌总表!AK168="exhaust",MAX(卡牌总表!H168-卡牌总表!V168,0.4),IF(卡牌总表!AK168="ethereal",MAX(卡牌总表!H168-卡牌总表!V168,0.4),MAX(卡牌总表!H168-卡牌总表!V168,0.4)))),IF(OR(卡牌总表!H168="X",卡牌总表!H168="∞"),0.4,0.4))</f>
        <v>0.4</v>
      </c>
      <c r="I168">
        <f>卡牌总表!M168*卡牌总表!O168*参数!$B$5*IF(AND(卡牌总表!F168="能力",卡牌总表!AL168="能力持续"),参数!$B$2,1)+卡牌总表!P168*参数!$B$6*IF(AND(卡牌总表!F168="能力",卡牌总表!AL168="能力持续"),参数!$B$2,1)+卡牌总表!R168*参数!$B$7*IF(AND(卡牌总表!F168="能力",卡牌总表!AL168="能力持续"),参数!$B$2,1)+卡牌总表!V168*参数!$B$8+IF(卡牌总表!X168&lt;0,卡牌总表!X168*参数!$B$13,卡牌总表!X168*参数!$B$39)+IF(卡牌总表!AE168&lt;0,卡牌总表!AE168*参数!$B$13,卡牌总表!AE168*参数!$B$12)*参数!$B$2+卡牌总表!AQ168*参数!$B$15+卡牌总表!AB168*参数!$B$11+卡牌总表!AF168*参数!$B$40*参数!$B$2+卡牌总表!AG168*参数!$B$44*参数!$B$2+卡牌总表!AH168*参数!$B$6*参数!$B$2+卡牌总表!AI168*参数!$B$39*参数!$B$2+卡牌总表!AJ168*参数!$B$6*参数!$B$2+卡牌总表!Z168*参数!$B$13-卡牌总表!T168*参数!$B$14-卡牌总表!AD168*参数!$B$13+IF(ISNUMBER(卡牌总表!AU168),卡牌总表!AU168*参数!$B$38,0)-卡牌总表!AV168*参数!$B$41-卡牌总表!AW168*参数!$B$14</f>
        <v>5.1000000000000005</v>
      </c>
      <c r="J168">
        <f>IF(AND(卡牌总表!F168="能力",卡牌总表!AL168="能力持续"),(参数!$B$2-1)*参数!$B$3,0)</f>
        <v>0</v>
      </c>
      <c r="K168">
        <f t="shared" si="7"/>
        <v>5.1000000000000005</v>
      </c>
      <c r="L168">
        <f>卡牌总表!N168*卡牌总表!O168*参数!$B$5*IF(AND(卡牌总表!F168="能力",卡牌总表!AL168="能力持续"),参数!$B$2,1)+卡牌总表!Q168*参数!$B$6*IF(AND(卡牌总表!F168="能力",卡牌总表!AL168="能力持续"),参数!$B$2,1)+卡牌总表!S168*参数!$B$7*IF(AND(卡牌总表!F168="能力",卡牌总表!AL168="能力持续"),参数!$B$2,1)+卡牌总表!W168*参数!$B$8+IF(卡牌总表!Y168&lt;0,卡牌总表!Y168*参数!$B$13,卡牌总表!Y168*参数!$B$39)+IF(卡牌总表!AE168&lt;0,卡牌总表!AE168*参数!$B$13,卡牌总表!AE168*参数!$B$12)*参数!$B$2+卡牌总表!AR168*参数!$B$15+卡牌总表!AC168*参数!$B$11+卡牌总表!AF168*参数!$B$40*参数!$B$2+卡牌总表!AG168*参数!$B$44*参数!$B$2+卡牌总表!AH168*参数!$B$6*参数!$B$2+卡牌总表!AI168*参数!$B$39*参数!$B$2+卡牌总表!AJ168*参数!$B$6*参数!$B$2+卡牌总表!AA168*参数!$B$13-卡牌总表!U168*参数!$B$14-卡牌总表!AD168*参数!$B$13+IF(ISNUMBER(卡牌总表!AU168),卡牌总表!AU168*参数!$B$38,0)-卡牌总表!AV168*参数!$B$41-卡牌总表!AW168*参数!$B$14</f>
        <v>8.4</v>
      </c>
      <c r="M168">
        <f>IF(AND(卡牌总表!F168="能力",卡牌总表!AL168="能力持续"),参数!$B$2*参数!$B$3,0)</f>
        <v>0</v>
      </c>
      <c r="N168">
        <f t="shared" si="8"/>
        <v>8.4</v>
      </c>
      <c r="O168">
        <f>IFERROR(MAX(IF(K168 &gt; 参数!$B$17,参数!$B$17+SQRT(K168-参数!$B$17)*参数!$B$18,K168)-MAX(G168,0)*参数!$B$10,0)/MAX(G168,0.4),0)</f>
        <v>9.75</v>
      </c>
      <c r="P168">
        <f>IFERROR(MAX(IF(N168 &gt; 参数!$B$17,参数!$B$17+SQRT(N168-参数!$B$17)*参数!$B$18,N168)-MAX(H168,0)*参数!$B$10,0)/MAX(H168,0.4),0)</f>
        <v>18</v>
      </c>
      <c r="Q168">
        <f>卡牌总表!AO168</f>
        <v>0</v>
      </c>
    </row>
    <row r="169" spans="1:17" x14ac:dyDescent="0.3">
      <c r="A169">
        <f t="shared" si="6"/>
        <v>168</v>
      </c>
      <c r="B169" t="str">
        <f>卡牌总表!B169</f>
        <v>defect_boot_sequence</v>
      </c>
      <c r="C169" t="str">
        <f>卡牌总表!D169</f>
        <v>启动流程</v>
      </c>
      <c r="D169" t="str">
        <f>卡牌总表!F169</f>
        <v>技能</v>
      </c>
      <c r="E169">
        <f>卡牌总表!AL169</f>
        <v>0</v>
      </c>
      <c r="F169">
        <f>卡牌总表!AN169</f>
        <v>0</v>
      </c>
      <c r="G169">
        <f>卡牌总表!AP169</f>
        <v>0.4</v>
      </c>
      <c r="H169">
        <f>IF(ISNUMBER(卡牌总表!H169),IF(AND(卡牌总表!H169=0,卡牌总表!V169=0,卡牌总表!AK169="none"),0.4,IF(卡牌总表!AK169="exhaust",MAX(卡牌总表!H169-卡牌总表!V169,0.4),IF(卡牌总表!AK169="ethereal",MAX(卡牌总表!H169-卡牌总表!V169,0.4),MAX(卡牌总表!H169-卡牌总表!V169,0.4)))),IF(OR(卡牌总表!H169="X",卡牌总表!H169="∞"),0.4,0.4))</f>
        <v>0.4</v>
      </c>
      <c r="I169">
        <f>卡牌总表!M169*卡牌总表!O169*参数!$B$5*IF(AND(卡牌总表!F169="能力",卡牌总表!AL169="能力持续"),参数!$B$2,1)+卡牌总表!P169*参数!$B$6*IF(AND(卡牌总表!F169="能力",卡牌总表!AL169="能力持续"),参数!$B$2,1)+卡牌总表!R169*参数!$B$7*IF(AND(卡牌总表!F169="能力",卡牌总表!AL169="能力持续"),参数!$B$2,1)+卡牌总表!V169*参数!$B$8+IF(卡牌总表!X169&lt;0,卡牌总表!X169*参数!$B$13,卡牌总表!X169*参数!$B$39)+IF(卡牌总表!AE169&lt;0,卡牌总表!AE169*参数!$B$13,卡牌总表!AE169*参数!$B$12)*参数!$B$2+卡牌总表!AQ169*参数!$B$15+卡牌总表!AB169*参数!$B$11+卡牌总表!AF169*参数!$B$40*参数!$B$2+卡牌总表!AG169*参数!$B$44*参数!$B$2+卡牌总表!AH169*参数!$B$6*参数!$B$2+卡牌总表!AI169*参数!$B$39*参数!$B$2+卡牌总表!AJ169*参数!$B$6*参数!$B$2+卡牌总表!Z169*参数!$B$13-卡牌总表!T169*参数!$B$14-卡牌总表!AD169*参数!$B$13+IF(ISNUMBER(卡牌总表!AU169),卡牌总表!AU169*参数!$B$38,0)-卡牌总表!AV169*参数!$B$41-卡牌总表!AW169*参数!$B$14</f>
        <v>11</v>
      </c>
      <c r="J169">
        <f>IF(AND(卡牌总表!F169="能力",卡牌总表!AL169="能力持续"),(参数!$B$2-1)*参数!$B$3,0)</f>
        <v>0</v>
      </c>
      <c r="K169">
        <f t="shared" si="7"/>
        <v>11</v>
      </c>
      <c r="L169">
        <f>卡牌总表!N169*卡牌总表!O169*参数!$B$5*IF(AND(卡牌总表!F169="能力",卡牌总表!AL169="能力持续"),参数!$B$2,1)+卡牌总表!Q169*参数!$B$6*IF(AND(卡牌总表!F169="能力",卡牌总表!AL169="能力持续"),参数!$B$2,1)+卡牌总表!S169*参数!$B$7*IF(AND(卡牌总表!F169="能力",卡牌总表!AL169="能力持续"),参数!$B$2,1)+卡牌总表!W169*参数!$B$8+IF(卡牌总表!Y169&lt;0,卡牌总表!Y169*参数!$B$13,卡牌总表!Y169*参数!$B$39)+IF(卡牌总表!AE169&lt;0,卡牌总表!AE169*参数!$B$13,卡牌总表!AE169*参数!$B$12)*参数!$B$2+卡牌总表!AR169*参数!$B$15+卡牌总表!AC169*参数!$B$11+卡牌总表!AF169*参数!$B$40*参数!$B$2+卡牌总表!AG169*参数!$B$44*参数!$B$2+卡牌总表!AH169*参数!$B$6*参数!$B$2+卡牌总表!AI169*参数!$B$39*参数!$B$2+卡牌总表!AJ169*参数!$B$6*参数!$B$2+卡牌总表!AA169*参数!$B$13-卡牌总表!U169*参数!$B$14-卡牌总表!AD169*参数!$B$13+IF(ISNUMBER(卡牌总表!AU169),卡牌总表!AU169*参数!$B$38,0)-卡牌总表!AV169*参数!$B$41-卡牌总表!AW169*参数!$B$14</f>
        <v>14.3</v>
      </c>
      <c r="M169">
        <f>IF(AND(卡牌总表!F169="能力",卡牌总表!AL169="能力持续"),参数!$B$2*参数!$B$3,0)</f>
        <v>0</v>
      </c>
      <c r="N169">
        <f t="shared" si="8"/>
        <v>14.3</v>
      </c>
      <c r="O169">
        <f>IFERROR(MAX(IF(K169 &gt; 参数!$B$17,参数!$B$17+SQRT(K169-参数!$B$17)*参数!$B$18,K169)-MAX(G169,0)*参数!$B$10,0)/MAX(G169,0.4),0)</f>
        <v>25.75</v>
      </c>
      <c r="P169">
        <f>IFERROR(MAX(IF(N169 &gt; 参数!$B$17,参数!$B$17+SQRT(N169-参数!$B$17)*参数!$B$18,N169)-MAX(H169,0)*参数!$B$10,0)/MAX(H169,0.4),0)</f>
        <v>29.7761655074979</v>
      </c>
      <c r="Q169">
        <f>卡牌总表!AO169</f>
        <v>0</v>
      </c>
    </row>
    <row r="170" spans="1:17" x14ac:dyDescent="0.3">
      <c r="A170">
        <f t="shared" si="6"/>
        <v>169</v>
      </c>
      <c r="B170" t="str">
        <f>卡牌总表!B170</f>
        <v>defect_buffer</v>
      </c>
      <c r="C170" t="str">
        <f>卡牌总表!D170</f>
        <v>缓冲</v>
      </c>
      <c r="D170" t="str">
        <f>卡牌总表!F170</f>
        <v>能力</v>
      </c>
      <c r="E170">
        <f>卡牌总表!AL170</f>
        <v>0</v>
      </c>
      <c r="F170" t="str">
        <f>卡牌总表!AN170</f>
        <v>能力</v>
      </c>
      <c r="G170">
        <f>卡牌总表!AP170</f>
        <v>2</v>
      </c>
      <c r="H170">
        <f>IF(ISNUMBER(卡牌总表!H170),IF(AND(卡牌总表!H170=0,卡牌总表!V170=0,卡牌总表!AK170="none"),0.4,IF(卡牌总表!AK170="exhaust",MAX(卡牌总表!H170-卡牌总表!V170,0.4),IF(卡牌总表!AK170="ethereal",MAX(卡牌总表!H170-卡牌总表!V170,0.4),MAX(卡牌总表!H170-卡牌总表!V170,0.4)))),IF(OR(卡牌总表!H170="X",卡牌总表!H170="∞"),0.4,0.4))</f>
        <v>2</v>
      </c>
      <c r="I170">
        <f>卡牌总表!M170*卡牌总表!O170*参数!$B$5*IF(AND(卡牌总表!F170="能力",卡牌总表!AL170="能力持续"),参数!$B$2,1)+卡牌总表!P170*参数!$B$6*IF(AND(卡牌总表!F170="能力",卡牌总表!AL170="能力持续"),参数!$B$2,1)+卡牌总表!R170*参数!$B$7*IF(AND(卡牌总表!F170="能力",卡牌总表!AL170="能力持续"),参数!$B$2,1)+卡牌总表!V170*参数!$B$8+IF(卡牌总表!X170&lt;0,卡牌总表!X170*参数!$B$13,卡牌总表!X170*参数!$B$39)+IF(卡牌总表!AE170&lt;0,卡牌总表!AE170*参数!$B$13,卡牌总表!AE170*参数!$B$12)*参数!$B$2+卡牌总表!AQ170*参数!$B$15+卡牌总表!AB170*参数!$B$11+卡牌总表!AF170*参数!$B$40*参数!$B$2+卡牌总表!AG170*参数!$B$44*参数!$B$2+卡牌总表!AH170*参数!$B$6*参数!$B$2+卡牌总表!AI170*参数!$B$39*参数!$B$2+卡牌总表!AJ170*参数!$B$6*参数!$B$2+卡牌总表!Z170*参数!$B$13-卡牌总表!T170*参数!$B$14-卡牌总表!AD170*参数!$B$13+IF(ISNUMBER(卡牌总表!AU170),卡牌总表!AU170*参数!$B$38,0)-卡牌总表!AV170*参数!$B$41-卡牌总表!AW170*参数!$B$14</f>
        <v>22</v>
      </c>
      <c r="J170">
        <f>IF(AND(卡牌总表!F170="能力",卡牌总表!AL170="能力持续"),(参数!$B$2-1)*参数!$B$3,0)</f>
        <v>0</v>
      </c>
      <c r="K170">
        <f t="shared" si="7"/>
        <v>22</v>
      </c>
      <c r="L170">
        <f>卡牌总表!N170*卡牌总表!O170*参数!$B$5*IF(AND(卡牌总表!F170="能力",卡牌总表!AL170="能力持续"),参数!$B$2,1)+卡牌总表!Q170*参数!$B$6*IF(AND(卡牌总表!F170="能力",卡牌总表!AL170="能力持续"),参数!$B$2,1)+卡牌总表!S170*参数!$B$7*IF(AND(卡牌总表!F170="能力",卡牌总表!AL170="能力持续"),参数!$B$2,1)+卡牌总表!W170*参数!$B$8+IF(卡牌总表!Y170&lt;0,卡牌总表!Y170*参数!$B$13,卡牌总表!Y170*参数!$B$39)+IF(卡牌总表!AE170&lt;0,卡牌总表!AE170*参数!$B$13,卡牌总表!AE170*参数!$B$12)*参数!$B$2+卡牌总表!AR170*参数!$B$15+卡牌总表!AC170*参数!$B$11+卡牌总表!AF170*参数!$B$40*参数!$B$2+卡牌总表!AG170*参数!$B$44*参数!$B$2+卡牌总表!AH170*参数!$B$6*参数!$B$2+卡牌总表!AI170*参数!$B$39*参数!$B$2+卡牌总表!AJ170*参数!$B$6*参数!$B$2+卡牌总表!AA170*参数!$B$13-卡牌总表!U170*参数!$B$14-卡牌总表!AD170*参数!$B$13+IF(ISNUMBER(卡牌总表!AU170),卡牌总表!AU170*参数!$B$38,0)-卡牌总表!AV170*参数!$B$41-卡牌总表!AW170*参数!$B$14</f>
        <v>0</v>
      </c>
      <c r="M170">
        <f>IF(AND(卡牌总表!F170="能力",卡牌总表!AL170="能力持续"),参数!$B$2*参数!$B$3,0)</f>
        <v>0</v>
      </c>
      <c r="N170">
        <f t="shared" si="8"/>
        <v>0</v>
      </c>
      <c r="O170">
        <f>IFERROR(MAX(IF(K170 &gt; 参数!$B$17,参数!$B$17+SQRT(K170-参数!$B$17)*参数!$B$18,K170)-MAX(G170,0)*参数!$B$10,0)/MAX(G170,0.4),0)</f>
        <v>4.598076211353316</v>
      </c>
      <c r="P170">
        <f>IFERROR(MAX(IF(N170 &gt; 参数!$B$17,参数!$B$17+SQRT(N170-参数!$B$17)*参数!$B$18,N170)-MAX(H170,0)*参数!$B$10,0)/MAX(H170,0.4),0)</f>
        <v>0</v>
      </c>
      <c r="Q170">
        <f>卡牌总表!AO170</f>
        <v>0</v>
      </c>
    </row>
    <row r="171" spans="1:17" x14ac:dyDescent="0.3">
      <c r="A171">
        <f t="shared" si="6"/>
        <v>170</v>
      </c>
      <c r="B171" t="str">
        <f>卡牌总表!B171</f>
        <v>defect_bulk_up</v>
      </c>
      <c r="C171" t="str">
        <f>卡牌总表!D171</f>
        <v>暴涨</v>
      </c>
      <c r="D171" t="str">
        <f>卡牌总表!F171</f>
        <v>能力</v>
      </c>
      <c r="E171">
        <f>卡牌总表!AL171</f>
        <v>0</v>
      </c>
      <c r="F171" t="str">
        <f>卡牌总表!AN171</f>
        <v>能力</v>
      </c>
      <c r="G171">
        <f>卡牌总表!AP171</f>
        <v>2</v>
      </c>
      <c r="H171">
        <f>IF(ISNUMBER(卡牌总表!H171),IF(AND(卡牌总表!H171=0,卡牌总表!V171=0,卡牌总表!AK171="none"),0.4,IF(卡牌总表!AK171="exhaust",MAX(卡牌总表!H171-卡牌总表!V171,0.4),IF(卡牌总表!AK171="ethereal",MAX(卡牌总表!H171-卡牌总表!V171,0.4),MAX(卡牌总表!H171-卡牌总表!V171,0.4)))),IF(OR(卡牌总表!H171="X",卡牌总表!H171="∞"),0.4,0.4))</f>
        <v>2</v>
      </c>
      <c r="I171">
        <f>卡牌总表!M171*卡牌总表!O171*参数!$B$5*IF(AND(卡牌总表!F171="能力",卡牌总表!AL171="能力持续"),参数!$B$2,1)+卡牌总表!P171*参数!$B$6*IF(AND(卡牌总表!F171="能力",卡牌总表!AL171="能力持续"),参数!$B$2,1)+卡牌总表!R171*参数!$B$7*IF(AND(卡牌总表!F171="能力",卡牌总表!AL171="能力持续"),参数!$B$2,1)+卡牌总表!V171*参数!$B$8+IF(卡牌总表!X171&lt;0,卡牌总表!X171*参数!$B$13,卡牌总表!X171*参数!$B$39)+IF(卡牌总表!AE171&lt;0,卡牌总表!AE171*参数!$B$13,卡牌总表!AE171*参数!$B$12)*参数!$B$2+卡牌总表!AQ171*参数!$B$15+卡牌总表!AB171*参数!$B$11+卡牌总表!AF171*参数!$B$40*参数!$B$2+卡牌总表!AG171*参数!$B$44*参数!$B$2+卡牌总表!AH171*参数!$B$6*参数!$B$2+卡牌总表!AI171*参数!$B$39*参数!$B$2+卡牌总表!AJ171*参数!$B$6*参数!$B$2+卡牌总表!Z171*参数!$B$13-卡牌总表!T171*参数!$B$14-卡牌总表!AD171*参数!$B$13+IF(ISNUMBER(卡牌总表!AU171),卡牌总表!AU171*参数!$B$38,0)-卡牌总表!AV171*参数!$B$41-卡牌总表!AW171*参数!$B$14</f>
        <v>18.399999999999999</v>
      </c>
      <c r="J171">
        <f>IF(AND(卡牌总表!F171="能力",卡牌总表!AL171="能力持续"),(参数!$B$2-1)*参数!$B$3,0)</f>
        <v>0</v>
      </c>
      <c r="K171">
        <f t="shared" si="7"/>
        <v>18.399999999999999</v>
      </c>
      <c r="L171">
        <f>卡牌总表!N171*卡牌总表!O171*参数!$B$5*IF(AND(卡牌总表!F171="能力",卡牌总表!AL171="能力持续"),参数!$B$2,1)+卡牌总表!Q171*参数!$B$6*IF(AND(卡牌总表!F171="能力",卡牌总表!AL171="能力持续"),参数!$B$2,1)+卡牌总表!S171*参数!$B$7*IF(AND(卡牌总表!F171="能力",卡牌总表!AL171="能力持续"),参数!$B$2,1)+卡牌总表!W171*参数!$B$8+IF(卡牌总表!Y171&lt;0,卡牌总表!Y171*参数!$B$13,卡牌总表!Y171*参数!$B$39)+IF(卡牌总表!AE171&lt;0,卡牌总表!AE171*参数!$B$13,卡牌总表!AE171*参数!$B$12)*参数!$B$2+卡牌总表!AR171*参数!$B$15+卡牌总表!AC171*参数!$B$11+卡牌总表!AF171*参数!$B$40*参数!$B$2+卡牌总表!AG171*参数!$B$44*参数!$B$2+卡牌总表!AH171*参数!$B$6*参数!$B$2+卡牌总表!AI171*参数!$B$39*参数!$B$2+卡牌总表!AJ171*参数!$B$6*参数!$B$2+卡牌总表!AA171*参数!$B$13-卡牌总表!U171*参数!$B$14-卡牌总表!AD171*参数!$B$13+IF(ISNUMBER(卡牌总表!AU171),卡牌总表!AU171*参数!$B$38,0)-卡牌总表!AV171*参数!$B$41-卡牌总表!AW171*参数!$B$14</f>
        <v>18.399999999999999</v>
      </c>
      <c r="M171">
        <f>IF(AND(卡牌总表!F171="能力",卡牌总表!AL171="能力持续"),参数!$B$2*参数!$B$3,0)</f>
        <v>0</v>
      </c>
      <c r="N171">
        <f t="shared" si="8"/>
        <v>18.399999999999999</v>
      </c>
      <c r="O171">
        <f>IFERROR(MAX(IF(K171 &gt; 参数!$B$17,参数!$B$17+SQRT(K171-参数!$B$17)*参数!$B$18,K171)-MAX(G171,0)*参数!$B$10,0)/MAX(G171,0.4),0)</f>
        <v>4.1737065119284154</v>
      </c>
      <c r="P171">
        <f>IFERROR(MAX(IF(N171 &gt; 参数!$B$17,参数!$B$17+SQRT(N171-参数!$B$17)*参数!$B$18,N171)-MAX(H171,0)*参数!$B$10,0)/MAX(H171,0.4),0)</f>
        <v>4.1737065119284154</v>
      </c>
      <c r="Q171">
        <f>卡牌总表!AO171</f>
        <v>0</v>
      </c>
    </row>
    <row r="172" spans="1:17" x14ac:dyDescent="0.3">
      <c r="A172">
        <f t="shared" si="6"/>
        <v>171</v>
      </c>
      <c r="B172" t="str">
        <f>卡牌总表!B172</f>
        <v>defect_capacitor</v>
      </c>
      <c r="C172" t="str">
        <f>卡牌总表!D172</f>
        <v>扩容</v>
      </c>
      <c r="D172" t="str">
        <f>卡牌总表!F172</f>
        <v>能力</v>
      </c>
      <c r="E172">
        <f>卡牌总表!AL172</f>
        <v>0</v>
      </c>
      <c r="F172" t="str">
        <f>卡牌总表!AN172</f>
        <v>能力</v>
      </c>
      <c r="G172">
        <f>卡牌总表!AP172</f>
        <v>1</v>
      </c>
      <c r="H172">
        <f>IF(ISNUMBER(卡牌总表!H172),IF(AND(卡牌总表!H172=0,卡牌总表!V172=0,卡牌总表!AK172="none"),0.4,IF(卡牌总表!AK172="exhaust",MAX(卡牌总表!H172-卡牌总表!V172,0.4),IF(卡牌总表!AK172="ethereal",MAX(卡牌总表!H172-卡牌总表!V172,0.4),MAX(卡牌总表!H172-卡牌总表!V172,0.4)))),IF(OR(卡牌总表!H172="X",卡牌总表!H172="∞"),0.4,0.4))</f>
        <v>1</v>
      </c>
      <c r="I172">
        <f>卡牌总表!M172*卡牌总表!O172*参数!$B$5*IF(AND(卡牌总表!F172="能力",卡牌总表!AL172="能力持续"),参数!$B$2,1)+卡牌总表!P172*参数!$B$6*IF(AND(卡牌总表!F172="能力",卡牌总表!AL172="能力持续"),参数!$B$2,1)+卡牌总表!R172*参数!$B$7*IF(AND(卡牌总表!F172="能力",卡牌总表!AL172="能力持续"),参数!$B$2,1)+卡牌总表!V172*参数!$B$8+IF(卡牌总表!X172&lt;0,卡牌总表!X172*参数!$B$13,卡牌总表!X172*参数!$B$39)+IF(卡牌总表!AE172&lt;0,卡牌总表!AE172*参数!$B$13,卡牌总表!AE172*参数!$B$12)*参数!$B$2+卡牌总表!AQ172*参数!$B$15+卡牌总表!AB172*参数!$B$11+卡牌总表!AF172*参数!$B$40*参数!$B$2+卡牌总表!AG172*参数!$B$44*参数!$B$2+卡牌总表!AH172*参数!$B$6*参数!$B$2+卡牌总表!AI172*参数!$B$39*参数!$B$2+卡牌总表!AJ172*参数!$B$6*参数!$B$2+卡牌总表!Z172*参数!$B$13-卡牌总表!T172*参数!$B$14-卡牌总表!AD172*参数!$B$13+IF(ISNUMBER(卡牌总表!AU172),卡牌总表!AU172*参数!$B$38,0)-卡牌总表!AV172*参数!$B$41-卡牌总表!AW172*参数!$B$14</f>
        <v>16</v>
      </c>
      <c r="J172">
        <f>IF(AND(卡牌总表!F172="能力",卡牌总表!AL172="能力持续"),(参数!$B$2-1)*参数!$B$3,0)</f>
        <v>0</v>
      </c>
      <c r="K172">
        <f t="shared" si="7"/>
        <v>16</v>
      </c>
      <c r="L172">
        <f>卡牌总表!N172*卡牌总表!O172*参数!$B$5*IF(AND(卡牌总表!F172="能力",卡牌总表!AL172="能力持续"),参数!$B$2,1)+卡牌总表!Q172*参数!$B$6*IF(AND(卡牌总表!F172="能力",卡牌总表!AL172="能力持续"),参数!$B$2,1)+卡牌总表!S172*参数!$B$7*IF(AND(卡牌总表!F172="能力",卡牌总表!AL172="能力持续"),参数!$B$2,1)+卡牌总表!W172*参数!$B$8+IF(卡牌总表!Y172&lt;0,卡牌总表!Y172*参数!$B$13,卡牌总表!Y172*参数!$B$39)+IF(卡牌总表!AE172&lt;0,卡牌总表!AE172*参数!$B$13,卡牌总表!AE172*参数!$B$12)*参数!$B$2+卡牌总表!AR172*参数!$B$15+卡牌总表!AC172*参数!$B$11+卡牌总表!AF172*参数!$B$40*参数!$B$2+卡牌总表!AG172*参数!$B$44*参数!$B$2+卡牌总表!AH172*参数!$B$6*参数!$B$2+卡牌总表!AI172*参数!$B$39*参数!$B$2+卡牌总表!AJ172*参数!$B$6*参数!$B$2+卡牌总表!AA172*参数!$B$13-卡牌总表!U172*参数!$B$14-卡牌总表!AD172*参数!$B$13+IF(ISNUMBER(卡牌总表!AU172),卡牌总表!AU172*参数!$B$38,0)-卡牌总表!AV172*参数!$B$41-卡牌总表!AW172*参数!$B$14</f>
        <v>0</v>
      </c>
      <c r="M172">
        <f>IF(AND(卡牌总表!F172="能力",卡牌总表!AL172="能力持续"),参数!$B$2*参数!$B$3,0)</f>
        <v>0</v>
      </c>
      <c r="N172">
        <f t="shared" si="8"/>
        <v>0</v>
      </c>
      <c r="O172">
        <f>IFERROR(MAX(IF(K172 &gt; 参数!$B$17,参数!$B$17+SQRT(K172-参数!$B$17)*参数!$B$18,K172)-MAX(G172,0)*参数!$B$10,0)/MAX(G172,0.4),0)</f>
        <v>10.674234614174766</v>
      </c>
      <c r="P172">
        <f>IFERROR(MAX(IF(N172 &gt; 参数!$B$17,参数!$B$17+SQRT(N172-参数!$B$17)*参数!$B$18,N172)-MAX(H172,0)*参数!$B$10,0)/MAX(H172,0.4),0)</f>
        <v>0</v>
      </c>
      <c r="Q172">
        <f>卡牌总表!AO172</f>
        <v>0</v>
      </c>
    </row>
    <row r="173" spans="1:17" x14ac:dyDescent="0.3">
      <c r="A173">
        <f t="shared" si="6"/>
        <v>172</v>
      </c>
      <c r="B173" t="str">
        <f>卡牌总表!B173</f>
        <v>defect_chaos</v>
      </c>
      <c r="C173" t="str">
        <f>卡牌总表!D173</f>
        <v>混沌</v>
      </c>
      <c r="D173" t="str">
        <f>卡牌总表!F173</f>
        <v>技能</v>
      </c>
      <c r="E173">
        <f>卡牌总表!AL173</f>
        <v>0</v>
      </c>
      <c r="F173">
        <f>卡牌总表!AN173</f>
        <v>0</v>
      </c>
      <c r="G173">
        <f>卡牌总表!AP173</f>
        <v>1</v>
      </c>
      <c r="H173">
        <f>IF(ISNUMBER(卡牌总表!H173),IF(AND(卡牌总表!H173=0,卡牌总表!V173=0,卡牌总表!AK173="none"),0.4,IF(卡牌总表!AK173="exhaust",MAX(卡牌总表!H173-卡牌总表!V173,0.4),IF(卡牌总表!AK173="ethereal",MAX(卡牌总表!H173-卡牌总表!V173,0.4),MAX(卡牌总表!H173-卡牌总表!V173,0.4)))),IF(OR(卡牌总表!H173="X",卡牌总表!H173="∞"),0.4,0.4))</f>
        <v>1</v>
      </c>
      <c r="I173">
        <f>卡牌总表!M173*卡牌总表!O173*参数!$B$5*IF(AND(卡牌总表!F173="能力",卡牌总表!AL173="能力持续"),参数!$B$2,1)+卡牌总表!P173*参数!$B$6*IF(AND(卡牌总表!F173="能力",卡牌总表!AL173="能力持续"),参数!$B$2,1)+卡牌总表!R173*参数!$B$7*IF(AND(卡牌总表!F173="能力",卡牌总表!AL173="能力持续"),参数!$B$2,1)+卡牌总表!V173*参数!$B$8+IF(卡牌总表!X173&lt;0,卡牌总表!X173*参数!$B$13,卡牌总表!X173*参数!$B$39)+IF(卡牌总表!AE173&lt;0,卡牌总表!AE173*参数!$B$13,卡牌总表!AE173*参数!$B$12)*参数!$B$2+卡牌总表!AQ173*参数!$B$15+卡牌总表!AB173*参数!$B$11+卡牌总表!AF173*参数!$B$40*参数!$B$2+卡牌总表!AG173*参数!$B$44*参数!$B$2+卡牌总表!AH173*参数!$B$6*参数!$B$2+卡牌总表!AI173*参数!$B$39*参数!$B$2+卡牌总表!AJ173*参数!$B$6*参数!$B$2+卡牌总表!Z173*参数!$B$13-卡牌总表!T173*参数!$B$14-卡牌总表!AD173*参数!$B$13+IF(ISNUMBER(卡牌总表!AU173),卡牌总表!AU173*参数!$B$38,0)-卡牌总表!AV173*参数!$B$41-卡牌总表!AW173*参数!$B$14</f>
        <v>8</v>
      </c>
      <c r="J173">
        <f>IF(AND(卡牌总表!F173="能力",卡牌总表!AL173="能力持续"),(参数!$B$2-1)*参数!$B$3,0)</f>
        <v>0</v>
      </c>
      <c r="K173">
        <f t="shared" si="7"/>
        <v>8</v>
      </c>
      <c r="L173">
        <f>卡牌总表!N173*卡牌总表!O173*参数!$B$5*IF(AND(卡牌总表!F173="能力",卡牌总表!AL173="能力持续"),参数!$B$2,1)+卡牌总表!Q173*参数!$B$6*IF(AND(卡牌总表!F173="能力",卡牌总表!AL173="能力持续"),参数!$B$2,1)+卡牌总表!S173*参数!$B$7*IF(AND(卡牌总表!F173="能力",卡牌总表!AL173="能力持续"),参数!$B$2,1)+卡牌总表!W173*参数!$B$8+IF(卡牌总表!Y173&lt;0,卡牌总表!Y173*参数!$B$13,卡牌总表!Y173*参数!$B$39)+IF(卡牌总表!AE173&lt;0,卡牌总表!AE173*参数!$B$13,卡牌总表!AE173*参数!$B$12)*参数!$B$2+卡牌总表!AR173*参数!$B$15+卡牌总表!AC173*参数!$B$11+卡牌总表!AF173*参数!$B$40*参数!$B$2+卡牌总表!AG173*参数!$B$44*参数!$B$2+卡牌总表!AH173*参数!$B$6*参数!$B$2+卡牌总表!AI173*参数!$B$39*参数!$B$2+卡牌总表!AJ173*参数!$B$6*参数!$B$2+卡牌总表!AA173*参数!$B$13-卡牌总表!U173*参数!$B$14-卡牌总表!AD173*参数!$B$13+IF(ISNUMBER(卡牌总表!AU173),卡牌总表!AU173*参数!$B$38,0)-卡牌总表!AV173*参数!$B$41-卡牌总表!AW173*参数!$B$14</f>
        <v>0</v>
      </c>
      <c r="M173">
        <f>IF(AND(卡牌总表!F173="能力",卡牌总表!AL173="能力持续"),参数!$B$2*参数!$B$3,0)</f>
        <v>0</v>
      </c>
      <c r="N173">
        <f t="shared" si="8"/>
        <v>0</v>
      </c>
      <c r="O173">
        <f>IFERROR(MAX(IF(K173 &gt; 参数!$B$17,参数!$B$17+SQRT(K173-参数!$B$17)*参数!$B$18,K173)-MAX(G173,0)*参数!$B$10,0)/MAX(G173,0.4),0)</f>
        <v>5</v>
      </c>
      <c r="P173">
        <f>IFERROR(MAX(IF(N173 &gt; 参数!$B$17,参数!$B$17+SQRT(N173-参数!$B$17)*参数!$B$18,N173)-MAX(H173,0)*参数!$B$10,0)/MAX(H173,0.4),0)</f>
        <v>0</v>
      </c>
      <c r="Q173">
        <f>卡牌总表!AO173</f>
        <v>0</v>
      </c>
    </row>
    <row r="174" spans="1:17" x14ac:dyDescent="0.3">
      <c r="A174">
        <f t="shared" si="6"/>
        <v>173</v>
      </c>
      <c r="B174" t="str">
        <f>卡牌总表!B174</f>
        <v>defect_charge_battery</v>
      </c>
      <c r="C174" t="str">
        <f>卡牌总表!D174</f>
        <v>充电</v>
      </c>
      <c r="D174" t="str">
        <f>卡牌总表!F174</f>
        <v>技能</v>
      </c>
      <c r="E174">
        <f>卡牌总表!AL174</f>
        <v>0</v>
      </c>
      <c r="F174">
        <f>卡牌总表!AN174</f>
        <v>0</v>
      </c>
      <c r="G174">
        <f>卡牌总表!AP174</f>
        <v>0.4</v>
      </c>
      <c r="H174">
        <f>IF(ISNUMBER(卡牌总表!H174),IF(AND(卡牌总表!H174=0,卡牌总表!V174=0,卡牌总表!AK174="none"),0.4,IF(卡牌总表!AK174="exhaust",MAX(卡牌总表!H174-卡牌总表!V174,0.4),IF(卡牌总表!AK174="ethereal",MAX(卡牌总表!H174-卡牌总表!V174,0.4),MAX(卡牌总表!H174-卡牌总表!V174,0.4)))),IF(OR(卡牌总表!H174="X",卡牌总表!H174="∞"),0.4,0.4))</f>
        <v>0.4</v>
      </c>
      <c r="I174">
        <f>卡牌总表!M174*卡牌总表!O174*参数!$B$5*IF(AND(卡牌总表!F174="能力",卡牌总表!AL174="能力持续"),参数!$B$2,1)+卡牌总表!P174*参数!$B$6*IF(AND(卡牌总表!F174="能力",卡牌总表!AL174="能力持续"),参数!$B$2,1)+卡牌总表!R174*参数!$B$7*IF(AND(卡牌总表!F174="能力",卡牌总表!AL174="能力持续"),参数!$B$2,1)+卡牌总表!V174*参数!$B$8+IF(卡牌总表!X174&lt;0,卡牌总表!X174*参数!$B$13,卡牌总表!X174*参数!$B$39)+IF(卡牌总表!AE174&lt;0,卡牌总表!AE174*参数!$B$13,卡牌总表!AE174*参数!$B$12)*参数!$B$2+卡牌总表!AQ174*参数!$B$15+卡牌总表!AB174*参数!$B$11+卡牌总表!AF174*参数!$B$40*参数!$B$2+卡牌总表!AG174*参数!$B$44*参数!$B$2+卡牌总表!AH174*参数!$B$6*参数!$B$2+卡牌总表!AI174*参数!$B$39*参数!$B$2+卡牌总表!AJ174*参数!$B$6*参数!$B$2+卡牌总表!Z174*参数!$B$13-卡牌总表!T174*参数!$B$14-卡牌总表!AD174*参数!$B$13+IF(ISNUMBER(卡牌总表!AU174),卡牌总表!AU174*参数!$B$38,0)-卡牌总表!AV174*参数!$B$41-卡牌总表!AW174*参数!$B$14</f>
        <v>10.700000000000001</v>
      </c>
      <c r="J174">
        <f>IF(AND(卡牌总表!F174="能力",卡牌总表!AL174="能力持续"),(参数!$B$2-1)*参数!$B$3,0)</f>
        <v>0</v>
      </c>
      <c r="K174">
        <f t="shared" si="7"/>
        <v>10.700000000000001</v>
      </c>
      <c r="L174">
        <f>卡牌总表!N174*卡牌总表!O174*参数!$B$5*IF(AND(卡牌总表!F174="能力",卡牌总表!AL174="能力持续"),参数!$B$2,1)+卡牌总表!Q174*参数!$B$6*IF(AND(卡牌总表!F174="能力",卡牌总表!AL174="能力持续"),参数!$B$2,1)+卡牌总表!S174*参数!$B$7*IF(AND(卡牌总表!F174="能力",卡牌总表!AL174="能力持续"),参数!$B$2,1)+卡牌总表!W174*参数!$B$8+IF(卡牌总表!Y174&lt;0,卡牌总表!Y174*参数!$B$13,卡牌总表!Y174*参数!$B$39)+IF(卡牌总表!AE174&lt;0,卡牌总表!AE174*参数!$B$13,卡牌总表!AE174*参数!$B$12)*参数!$B$2+卡牌总表!AR174*参数!$B$15+卡牌总表!AC174*参数!$B$11+卡牌总表!AF174*参数!$B$40*参数!$B$2+卡牌总表!AG174*参数!$B$44*参数!$B$2+卡牌总表!AH174*参数!$B$6*参数!$B$2+卡牌总表!AI174*参数!$B$39*参数!$B$2+卡牌总表!AJ174*参数!$B$6*参数!$B$2+卡牌总表!AA174*参数!$B$13-卡牌总表!U174*参数!$B$14-卡牌总表!AD174*参数!$B$13+IF(ISNUMBER(卡牌总表!AU174),卡牌总表!AU174*参数!$B$38,0)-卡牌总表!AV174*参数!$B$41-卡牌总表!AW174*参数!$B$14</f>
        <v>14</v>
      </c>
      <c r="M174">
        <f>IF(AND(卡牌总表!F174="能力",卡牌总表!AL174="能力持续"),参数!$B$2*参数!$B$3,0)</f>
        <v>0</v>
      </c>
      <c r="N174">
        <f t="shared" si="8"/>
        <v>14</v>
      </c>
      <c r="O174">
        <f>IFERROR(MAX(IF(K174 &gt; 参数!$B$17,参数!$B$17+SQRT(K174-参数!$B$17)*参数!$B$18,K174)-MAX(G174,0)*参数!$B$10,0)/MAX(G174,0.4),0)</f>
        <v>25.137475099502787</v>
      </c>
      <c r="P174">
        <f>IFERROR(MAX(IF(N174 &gt; 参数!$B$17,参数!$B$17+SQRT(N174-参数!$B$17)*参数!$B$18,N174)-MAX(H174,0)*参数!$B$10,0)/MAX(H174,0.4),0)</f>
        <v>29.5</v>
      </c>
      <c r="Q174">
        <f>卡牌总表!AO174</f>
        <v>0</v>
      </c>
    </row>
    <row r="175" spans="1:17" x14ac:dyDescent="0.3">
      <c r="A175">
        <f t="shared" si="6"/>
        <v>174</v>
      </c>
      <c r="B175" t="str">
        <f>卡牌总表!B175</f>
        <v>defect_chill</v>
      </c>
      <c r="C175" t="str">
        <f>卡牌总表!D175</f>
        <v>冰寒</v>
      </c>
      <c r="D175" t="str">
        <f>卡牌总表!F175</f>
        <v>技能</v>
      </c>
      <c r="E175">
        <f>卡牌总表!AL175</f>
        <v>0</v>
      </c>
      <c r="F175">
        <f>卡牌总表!AN175</f>
        <v>0</v>
      </c>
      <c r="G175">
        <f>卡牌总表!AP175</f>
        <v>0.4</v>
      </c>
      <c r="H175">
        <f>IF(ISNUMBER(卡牌总表!H175),IF(AND(卡牌总表!H175=0,卡牌总表!V175=0,卡牌总表!AK175="none"),0.4,IF(卡牌总表!AK175="exhaust",MAX(卡牌总表!H175-卡牌总表!V175,0.4),IF(卡牌总表!AK175="ethereal",MAX(卡牌总表!H175-卡牌总表!V175,0.4),MAX(卡牌总表!H175-卡牌总表!V175,0.4)))),IF(OR(卡牌总表!H175="X",卡牌总表!H175="∞"),0.4,0.4))</f>
        <v>0.4</v>
      </c>
      <c r="I175">
        <f>卡牌总表!M175*卡牌总表!O175*参数!$B$5*IF(AND(卡牌总表!F175="能力",卡牌总表!AL175="能力持续"),参数!$B$2,1)+卡牌总表!P175*参数!$B$6*IF(AND(卡牌总表!F175="能力",卡牌总表!AL175="能力持续"),参数!$B$2,1)+卡牌总表!R175*参数!$B$7*IF(AND(卡牌总表!F175="能力",卡牌总表!AL175="能力持续"),参数!$B$2,1)+卡牌总表!V175*参数!$B$8+IF(卡牌总表!X175&lt;0,卡牌总表!X175*参数!$B$13,卡牌总表!X175*参数!$B$39)+IF(卡牌总表!AE175&lt;0,卡牌总表!AE175*参数!$B$13,卡牌总表!AE175*参数!$B$12)*参数!$B$2+卡牌总表!AQ175*参数!$B$15+卡牌总表!AB175*参数!$B$11+卡牌总表!AF175*参数!$B$40*参数!$B$2+卡牌总表!AG175*参数!$B$44*参数!$B$2+卡牌总表!AH175*参数!$B$6*参数!$B$2+卡牌总表!AI175*参数!$B$39*参数!$B$2+卡牌总表!AJ175*参数!$B$6*参数!$B$2+卡牌总表!Z175*参数!$B$13-卡牌总表!T175*参数!$B$14-卡牌总表!AD175*参数!$B$13+IF(ISNUMBER(卡牌总表!AU175),卡牌总表!AU175*参数!$B$38,0)-卡牌总表!AV175*参数!$B$41-卡牌总表!AW175*参数!$B$14</f>
        <v>4.4000000000000004</v>
      </c>
      <c r="J175">
        <f>IF(AND(卡牌总表!F175="能力",卡牌总表!AL175="能力持续"),(参数!$B$2-1)*参数!$B$3,0)</f>
        <v>0</v>
      </c>
      <c r="K175">
        <f t="shared" si="7"/>
        <v>4.4000000000000004</v>
      </c>
      <c r="L175">
        <f>卡牌总表!N175*卡牌总表!O175*参数!$B$5*IF(AND(卡牌总表!F175="能力",卡牌总表!AL175="能力持续"),参数!$B$2,1)+卡牌总表!Q175*参数!$B$6*IF(AND(卡牌总表!F175="能力",卡牌总表!AL175="能力持续"),参数!$B$2,1)+卡牌总表!S175*参数!$B$7*IF(AND(卡牌总表!F175="能力",卡牌总表!AL175="能力持续"),参数!$B$2,1)+卡牌总表!W175*参数!$B$8+IF(卡牌总表!Y175&lt;0,卡牌总表!Y175*参数!$B$13,卡牌总表!Y175*参数!$B$39)+IF(卡牌总表!AE175&lt;0,卡牌总表!AE175*参数!$B$13,卡牌总表!AE175*参数!$B$12)*参数!$B$2+卡牌总表!AR175*参数!$B$15+卡牌总表!AC175*参数!$B$11+卡牌总表!AF175*参数!$B$40*参数!$B$2+卡牌总表!AG175*参数!$B$44*参数!$B$2+卡牌总表!AH175*参数!$B$6*参数!$B$2+卡牌总表!AI175*参数!$B$39*参数!$B$2+卡牌总表!AJ175*参数!$B$6*参数!$B$2+卡牌总表!AA175*参数!$B$13-卡牌总表!U175*参数!$B$14-卡牌总表!AD175*参数!$B$13+IF(ISNUMBER(卡牌总表!AU175),卡牌总表!AU175*参数!$B$38,0)-卡牌总表!AV175*参数!$B$41-卡牌总表!AW175*参数!$B$14</f>
        <v>4.4000000000000004</v>
      </c>
      <c r="M175">
        <f>IF(AND(卡牌总表!F175="能力",卡牌总表!AL175="能力持续"),参数!$B$2*参数!$B$3,0)</f>
        <v>0</v>
      </c>
      <c r="N175">
        <f t="shared" si="8"/>
        <v>4.4000000000000004</v>
      </c>
      <c r="O175">
        <f>IFERROR(MAX(IF(K175 &gt; 参数!$B$17,参数!$B$17+SQRT(K175-参数!$B$17)*参数!$B$18,K175)-MAX(G175,0)*参数!$B$10,0)/MAX(G175,0.4),0)</f>
        <v>8</v>
      </c>
      <c r="P175">
        <f>IFERROR(MAX(IF(N175 &gt; 参数!$B$17,参数!$B$17+SQRT(N175-参数!$B$17)*参数!$B$18,N175)-MAX(H175,0)*参数!$B$10,0)/MAX(H175,0.4),0)</f>
        <v>8</v>
      </c>
      <c r="Q175">
        <f>卡牌总表!AO175</f>
        <v>0</v>
      </c>
    </row>
    <row r="176" spans="1:17" x14ac:dyDescent="0.3">
      <c r="A176">
        <f t="shared" si="6"/>
        <v>175</v>
      </c>
      <c r="B176" t="str">
        <f>卡牌总表!B176</f>
        <v>defect_claw</v>
      </c>
      <c r="C176" t="str">
        <f>卡牌总表!D176</f>
        <v>爪击</v>
      </c>
      <c r="D176" t="str">
        <f>卡牌总表!F176</f>
        <v>攻击</v>
      </c>
      <c r="E176">
        <f>卡牌总表!AL176</f>
        <v>0</v>
      </c>
      <c r="F176">
        <f>卡牌总表!AN176</f>
        <v>0</v>
      </c>
      <c r="G176">
        <f>卡牌总表!AP176</f>
        <v>0.4</v>
      </c>
      <c r="H176">
        <f>IF(ISNUMBER(卡牌总表!H176),IF(AND(卡牌总表!H176=0,卡牌总表!V176=0,卡牌总表!AK176="none"),0.4,IF(卡牌总表!AK176="exhaust",MAX(卡牌总表!H176-卡牌总表!V176,0.4),IF(卡牌总表!AK176="ethereal",MAX(卡牌总表!H176-卡牌总表!V176,0.4),MAX(卡牌总表!H176-卡牌总表!V176,0.4)))),IF(OR(卡牌总表!H176="X",卡牌总表!H176="∞"),0.4,0.4))</f>
        <v>0.4</v>
      </c>
      <c r="I176">
        <f>卡牌总表!M176*卡牌总表!O176*参数!$B$5*IF(AND(卡牌总表!F176="能力",卡牌总表!AL176="能力持续"),参数!$B$2,1)+卡牌总表!P176*参数!$B$6*IF(AND(卡牌总表!F176="能力",卡牌总表!AL176="能力持续"),参数!$B$2,1)+卡牌总表!R176*参数!$B$7*IF(AND(卡牌总表!F176="能力",卡牌总表!AL176="能力持续"),参数!$B$2,1)+卡牌总表!V176*参数!$B$8+IF(卡牌总表!X176&lt;0,卡牌总表!X176*参数!$B$13,卡牌总表!X176*参数!$B$39)+IF(卡牌总表!AE176&lt;0,卡牌总表!AE176*参数!$B$13,卡牌总表!AE176*参数!$B$12)*参数!$B$2+卡牌总表!AQ176*参数!$B$15+卡牌总表!AB176*参数!$B$11+卡牌总表!AF176*参数!$B$40*参数!$B$2+卡牌总表!AG176*参数!$B$44*参数!$B$2+卡牌总表!AH176*参数!$B$6*参数!$B$2+卡牌总表!AI176*参数!$B$39*参数!$B$2+卡牌总表!AJ176*参数!$B$6*参数!$B$2+卡牌总表!Z176*参数!$B$13-卡牌总表!T176*参数!$B$14-卡牌总表!AD176*参数!$B$13+IF(ISNUMBER(卡牌总表!AU176),卡牌总表!AU176*参数!$B$38,0)-卡牌总表!AV176*参数!$B$41-卡牌总表!AW176*参数!$B$14</f>
        <v>3</v>
      </c>
      <c r="J176">
        <f>IF(AND(卡牌总表!F176="能力",卡牌总表!AL176="能力持续"),(参数!$B$2-1)*参数!$B$3,0)</f>
        <v>0</v>
      </c>
      <c r="K176">
        <f t="shared" si="7"/>
        <v>3</v>
      </c>
      <c r="L176">
        <f>卡牌总表!N176*卡牌总表!O176*参数!$B$5*IF(AND(卡牌总表!F176="能力",卡牌总表!AL176="能力持续"),参数!$B$2,1)+卡牌总表!Q176*参数!$B$6*IF(AND(卡牌总表!F176="能力",卡牌总表!AL176="能力持续"),参数!$B$2,1)+卡牌总表!S176*参数!$B$7*IF(AND(卡牌总表!F176="能力",卡牌总表!AL176="能力持续"),参数!$B$2,1)+卡牌总表!W176*参数!$B$8+IF(卡牌总表!Y176&lt;0,卡牌总表!Y176*参数!$B$13,卡牌总表!Y176*参数!$B$39)+IF(卡牌总表!AE176&lt;0,卡牌总表!AE176*参数!$B$13,卡牌总表!AE176*参数!$B$12)*参数!$B$2+卡牌总表!AR176*参数!$B$15+卡牌总表!AC176*参数!$B$11+卡牌总表!AF176*参数!$B$40*参数!$B$2+卡牌总表!AG176*参数!$B$44*参数!$B$2+卡牌总表!AH176*参数!$B$6*参数!$B$2+卡牌总表!AI176*参数!$B$39*参数!$B$2+卡牌总表!AJ176*参数!$B$6*参数!$B$2+卡牌总表!AA176*参数!$B$13-卡牌总表!U176*参数!$B$14-卡牌总表!AD176*参数!$B$13+IF(ISNUMBER(卡牌总表!AU176),卡牌总表!AU176*参数!$B$38,0)-卡牌总表!AV176*参数!$B$41-卡牌总表!AW176*参数!$B$14</f>
        <v>4</v>
      </c>
      <c r="M176">
        <f>IF(AND(卡牌总表!F176="能力",卡牌总表!AL176="能力持续"),参数!$B$2*参数!$B$3,0)</f>
        <v>0</v>
      </c>
      <c r="N176">
        <f t="shared" si="8"/>
        <v>4</v>
      </c>
      <c r="O176">
        <f>IFERROR(MAX(IF(K176 &gt; 参数!$B$17,参数!$B$17+SQRT(K176-参数!$B$17)*参数!$B$18,K176)-MAX(G176,0)*参数!$B$10,0)/MAX(G176,0.4),0)</f>
        <v>4.4999999999999991</v>
      </c>
      <c r="P176">
        <f>IFERROR(MAX(IF(N176 &gt; 参数!$B$17,参数!$B$17+SQRT(N176-参数!$B$17)*参数!$B$18,N176)-MAX(H176,0)*参数!$B$10,0)/MAX(H176,0.4),0)</f>
        <v>6.9999999999999991</v>
      </c>
      <c r="Q176">
        <f>卡牌总表!AO176</f>
        <v>0</v>
      </c>
    </row>
    <row r="177" spans="1:17" x14ac:dyDescent="0.3">
      <c r="A177">
        <f t="shared" si="6"/>
        <v>176</v>
      </c>
      <c r="B177" t="str">
        <f>卡牌总表!B177</f>
        <v>defect_cold_snap</v>
      </c>
      <c r="C177" t="str">
        <f>卡牌总表!D177</f>
        <v>寒流</v>
      </c>
      <c r="D177" t="str">
        <f>卡牌总表!F177</f>
        <v>攻击</v>
      </c>
      <c r="E177">
        <f>卡牌总表!AL177</f>
        <v>0</v>
      </c>
      <c r="F177">
        <f>卡牌总表!AN177</f>
        <v>0</v>
      </c>
      <c r="G177">
        <f>卡牌总表!AP177</f>
        <v>1</v>
      </c>
      <c r="H177">
        <f>IF(ISNUMBER(卡牌总表!H177),IF(AND(卡牌总表!H177=0,卡牌总表!V177=0,卡牌总表!AK177="none"),0.4,IF(卡牌总表!AK177="exhaust",MAX(卡牌总表!H177-卡牌总表!V177,0.4),IF(卡牌总表!AK177="ethereal",MAX(卡牌总表!H177-卡牌总表!V177,0.4),MAX(卡牌总表!H177-卡牌总表!V177,0.4)))),IF(OR(卡牌总表!H177="X",卡牌总表!H177="∞"),0.4,0.4))</f>
        <v>1</v>
      </c>
      <c r="I177">
        <f>卡牌总表!M177*卡牌总表!O177*参数!$B$5*IF(AND(卡牌总表!F177="能力",卡牌总表!AL177="能力持续"),参数!$B$2,1)+卡牌总表!P177*参数!$B$6*IF(AND(卡牌总表!F177="能力",卡牌总表!AL177="能力持续"),参数!$B$2,1)+卡牌总表!R177*参数!$B$7*IF(AND(卡牌总表!F177="能力",卡牌总表!AL177="能力持续"),参数!$B$2,1)+卡牌总表!V177*参数!$B$8+IF(卡牌总表!X177&lt;0,卡牌总表!X177*参数!$B$13,卡牌总表!X177*参数!$B$39)+IF(卡牌总表!AE177&lt;0,卡牌总表!AE177*参数!$B$13,卡牌总表!AE177*参数!$B$12)*参数!$B$2+卡牌总表!AQ177*参数!$B$15+卡牌总表!AB177*参数!$B$11+卡牌总表!AF177*参数!$B$40*参数!$B$2+卡牌总表!AG177*参数!$B$44*参数!$B$2+卡牌总表!AH177*参数!$B$6*参数!$B$2+卡牌总表!AI177*参数!$B$39*参数!$B$2+卡牌总表!AJ177*参数!$B$6*参数!$B$2+卡牌总表!Z177*参数!$B$13-卡牌总表!T177*参数!$B$14-卡牌总表!AD177*参数!$B$13+IF(ISNUMBER(卡牌总表!AU177),卡牌总表!AU177*参数!$B$38,0)-卡牌总表!AV177*参数!$B$41-卡牌总表!AW177*参数!$B$14</f>
        <v>6</v>
      </c>
      <c r="J177">
        <f>IF(AND(卡牌总表!F177="能力",卡牌总表!AL177="能力持续"),(参数!$B$2-1)*参数!$B$3,0)</f>
        <v>0</v>
      </c>
      <c r="K177">
        <f t="shared" si="7"/>
        <v>6</v>
      </c>
      <c r="L177">
        <f>卡牌总表!N177*卡牌总表!O177*参数!$B$5*IF(AND(卡牌总表!F177="能力",卡牌总表!AL177="能力持续"),参数!$B$2,1)+卡牌总表!Q177*参数!$B$6*IF(AND(卡牌总表!F177="能力",卡牌总表!AL177="能力持续"),参数!$B$2,1)+卡牌总表!S177*参数!$B$7*IF(AND(卡牌总表!F177="能力",卡牌总表!AL177="能力持续"),参数!$B$2,1)+卡牌总表!W177*参数!$B$8+IF(卡牌总表!Y177&lt;0,卡牌总表!Y177*参数!$B$13,卡牌总表!Y177*参数!$B$39)+IF(卡牌总表!AE177&lt;0,卡牌总表!AE177*参数!$B$13,卡牌总表!AE177*参数!$B$12)*参数!$B$2+卡牌总表!AR177*参数!$B$15+卡牌总表!AC177*参数!$B$11+卡牌总表!AF177*参数!$B$40*参数!$B$2+卡牌总表!AG177*参数!$B$44*参数!$B$2+卡牌总表!AH177*参数!$B$6*参数!$B$2+卡牌总表!AI177*参数!$B$39*参数!$B$2+卡牌总表!AJ177*参数!$B$6*参数!$B$2+卡牌总表!AA177*参数!$B$13-卡牌总表!U177*参数!$B$14-卡牌总表!AD177*参数!$B$13+IF(ISNUMBER(卡牌总表!AU177),卡牌总表!AU177*参数!$B$38,0)-卡牌总表!AV177*参数!$B$41-卡牌总表!AW177*参数!$B$14</f>
        <v>9</v>
      </c>
      <c r="M177">
        <f>IF(AND(卡牌总表!F177="能力",卡牌总表!AL177="能力持续"),参数!$B$2*参数!$B$3,0)</f>
        <v>0</v>
      </c>
      <c r="N177">
        <f t="shared" si="8"/>
        <v>9</v>
      </c>
      <c r="O177">
        <f>IFERROR(MAX(IF(K177 &gt; 参数!$B$17,参数!$B$17+SQRT(K177-参数!$B$17)*参数!$B$18,K177)-MAX(G177,0)*参数!$B$10,0)/MAX(G177,0.4),0)</f>
        <v>3</v>
      </c>
      <c r="P177">
        <f>IFERROR(MAX(IF(N177 &gt; 参数!$B$17,参数!$B$17+SQRT(N177-参数!$B$17)*参数!$B$18,N177)-MAX(H177,0)*参数!$B$10,0)/MAX(H177,0.4),0)</f>
        <v>6</v>
      </c>
      <c r="Q177">
        <f>卡牌总表!AO177</f>
        <v>0</v>
      </c>
    </row>
    <row r="178" spans="1:17" x14ac:dyDescent="0.3">
      <c r="A178">
        <f t="shared" si="6"/>
        <v>177</v>
      </c>
      <c r="B178" t="str">
        <f>卡牌总表!B178</f>
        <v>defect_compact</v>
      </c>
      <c r="C178" t="str">
        <f>卡牌总表!D178</f>
        <v>压缩</v>
      </c>
      <c r="D178" t="str">
        <f>卡牌总表!F178</f>
        <v>技能</v>
      </c>
      <c r="E178">
        <f>卡牌总表!AL178</f>
        <v>0</v>
      </c>
      <c r="F178">
        <f>卡牌总表!AN178</f>
        <v>0</v>
      </c>
      <c r="G178">
        <f>卡牌总表!AP178</f>
        <v>1</v>
      </c>
      <c r="H178">
        <f>IF(ISNUMBER(卡牌总表!H178),IF(AND(卡牌总表!H178=0,卡牌总表!V178=0,卡牌总表!AK178="none"),0.4,IF(卡牌总表!AK178="exhaust",MAX(卡牌总表!H178-卡牌总表!V178,0.4),IF(卡牌总表!AK178="ethereal",MAX(卡牌总表!H178-卡牌总表!V178,0.4),MAX(卡牌总表!H178-卡牌总表!V178,0.4)))),IF(OR(卡牌总表!H178="X",卡牌总表!H178="∞"),0.4,0.4))</f>
        <v>1</v>
      </c>
      <c r="I178">
        <f>卡牌总表!M178*卡牌总表!O178*参数!$B$5*IF(AND(卡牌总表!F178="能力",卡牌总表!AL178="能力持续"),参数!$B$2,1)+卡牌总表!P178*参数!$B$6*IF(AND(卡牌总表!F178="能力",卡牌总表!AL178="能力持续"),参数!$B$2,1)+卡牌总表!R178*参数!$B$7*IF(AND(卡牌总表!F178="能力",卡牌总表!AL178="能力持续"),参数!$B$2,1)+卡牌总表!V178*参数!$B$8+IF(卡牌总表!X178&lt;0,卡牌总表!X178*参数!$B$13,卡牌总表!X178*参数!$B$39)+IF(卡牌总表!AE178&lt;0,卡牌总表!AE178*参数!$B$13,卡牌总表!AE178*参数!$B$12)*参数!$B$2+卡牌总表!AQ178*参数!$B$15+卡牌总表!AB178*参数!$B$11+卡牌总表!AF178*参数!$B$40*参数!$B$2+卡牌总表!AG178*参数!$B$44*参数!$B$2+卡牌总表!AH178*参数!$B$6*参数!$B$2+卡牌总表!AI178*参数!$B$39*参数!$B$2+卡牌总表!AJ178*参数!$B$6*参数!$B$2+卡牌总表!Z178*参数!$B$13-卡牌总表!T178*参数!$B$14-卡牌总表!AD178*参数!$B$13+IF(ISNUMBER(卡牌总表!AU178),卡牌总表!AU178*参数!$B$38,0)-卡牌总表!AV178*参数!$B$41-卡牌总表!AW178*参数!$B$14</f>
        <v>8</v>
      </c>
      <c r="J178">
        <f>IF(AND(卡牌总表!F178="能力",卡牌总表!AL178="能力持续"),(参数!$B$2-1)*参数!$B$3,0)</f>
        <v>0</v>
      </c>
      <c r="K178">
        <f t="shared" si="7"/>
        <v>8</v>
      </c>
      <c r="L178">
        <f>卡牌总表!N178*卡牌总表!O178*参数!$B$5*IF(AND(卡牌总表!F178="能力",卡牌总表!AL178="能力持续"),参数!$B$2,1)+卡牌总表!Q178*参数!$B$6*IF(AND(卡牌总表!F178="能力",卡牌总表!AL178="能力持续"),参数!$B$2,1)+卡牌总表!S178*参数!$B$7*IF(AND(卡牌总表!F178="能力",卡牌总表!AL178="能力持续"),参数!$B$2,1)+卡牌总表!W178*参数!$B$8+IF(卡牌总表!Y178&lt;0,卡牌总表!Y178*参数!$B$13,卡牌总表!Y178*参数!$B$39)+IF(卡牌总表!AE178&lt;0,卡牌总表!AE178*参数!$B$13,卡牌总表!AE178*参数!$B$12)*参数!$B$2+卡牌总表!AR178*参数!$B$15+卡牌总表!AC178*参数!$B$11+卡牌总表!AF178*参数!$B$40*参数!$B$2+卡牌总表!AG178*参数!$B$44*参数!$B$2+卡牌总表!AH178*参数!$B$6*参数!$B$2+卡牌总表!AI178*参数!$B$39*参数!$B$2+卡牌总表!AJ178*参数!$B$6*参数!$B$2+卡牌总表!AA178*参数!$B$13-卡牌总表!U178*参数!$B$14-卡牌总表!AD178*参数!$B$13+IF(ISNUMBER(卡牌总表!AU178),卡牌总表!AU178*参数!$B$38,0)-卡牌总表!AV178*参数!$B$41-卡牌总表!AW178*参数!$B$14</f>
        <v>11.200000000000001</v>
      </c>
      <c r="M178">
        <f>IF(AND(卡牌总表!F178="能力",卡牌总表!AL178="能力持续"),参数!$B$2*参数!$B$3,0)</f>
        <v>0</v>
      </c>
      <c r="N178">
        <f t="shared" si="8"/>
        <v>11.200000000000001</v>
      </c>
      <c r="O178">
        <f>IFERROR(MAX(IF(K178 &gt; 参数!$B$17,参数!$B$17+SQRT(K178-参数!$B$17)*参数!$B$18,K178)-MAX(G178,0)*参数!$B$10,0)/MAX(G178,0.4),0)</f>
        <v>5</v>
      </c>
      <c r="P178">
        <f>IFERROR(MAX(IF(N178 &gt; 参数!$B$17,参数!$B$17+SQRT(N178-参数!$B$17)*参数!$B$18,N178)-MAX(H178,0)*参数!$B$10,0)/MAX(H178,0.4),0)</f>
        <v>8.6431676725154993</v>
      </c>
      <c r="Q178">
        <f>卡牌总表!AO178</f>
        <v>0</v>
      </c>
    </row>
    <row r="179" spans="1:17" x14ac:dyDescent="0.3">
      <c r="A179">
        <f t="shared" si="6"/>
        <v>178</v>
      </c>
      <c r="B179" t="str">
        <f>卡牌总表!B179</f>
        <v>defect_compile_driver</v>
      </c>
      <c r="C179" t="str">
        <f>卡牌总表!D179</f>
        <v>编译冲击</v>
      </c>
      <c r="D179" t="str">
        <f>卡牌总表!F179</f>
        <v>攻击</v>
      </c>
      <c r="E179">
        <f>卡牌总表!AL179</f>
        <v>0</v>
      </c>
      <c r="F179">
        <f>卡牌总表!AN179</f>
        <v>0</v>
      </c>
      <c r="G179">
        <f>卡牌总表!AP179</f>
        <v>1</v>
      </c>
      <c r="H179">
        <f>IF(ISNUMBER(卡牌总表!H179),IF(AND(卡牌总表!H179=0,卡牌总表!V179=0,卡牌总表!AK179="none"),0.4,IF(卡牌总表!AK179="exhaust",MAX(卡牌总表!H179-卡牌总表!V179,0.4),IF(卡牌总表!AK179="ethereal",MAX(卡牌总表!H179-卡牌总表!V179,0.4),MAX(卡牌总表!H179-卡牌总表!V179,0.4)))),IF(OR(卡牌总表!H179="X",卡牌总表!H179="∞"),0.4,0.4))</f>
        <v>1</v>
      </c>
      <c r="I179">
        <f>卡牌总表!M179*卡牌总表!O179*参数!$B$5*IF(AND(卡牌总表!F179="能力",卡牌总表!AL179="能力持续"),参数!$B$2,1)+卡牌总表!P179*参数!$B$6*IF(AND(卡牌总表!F179="能力",卡牌总表!AL179="能力持续"),参数!$B$2,1)+卡牌总表!R179*参数!$B$7*IF(AND(卡牌总表!F179="能力",卡牌总表!AL179="能力持续"),参数!$B$2,1)+卡牌总表!V179*参数!$B$8+IF(卡牌总表!X179&lt;0,卡牌总表!X179*参数!$B$13,卡牌总表!X179*参数!$B$39)+IF(卡牌总表!AE179&lt;0,卡牌总表!AE179*参数!$B$13,卡牌总表!AE179*参数!$B$12)*参数!$B$2+卡牌总表!AQ179*参数!$B$15+卡牌总表!AB179*参数!$B$11+卡牌总表!AF179*参数!$B$40*参数!$B$2+卡牌总表!AG179*参数!$B$44*参数!$B$2+卡牌总表!AH179*参数!$B$6*参数!$B$2+卡牌总表!AI179*参数!$B$39*参数!$B$2+卡牌总表!AJ179*参数!$B$6*参数!$B$2+卡牌总表!Z179*参数!$B$13-卡牌总表!T179*参数!$B$14-卡牌总表!AD179*参数!$B$13+IF(ISNUMBER(卡牌总表!AU179),卡牌总表!AU179*参数!$B$38,0)-卡牌总表!AV179*参数!$B$41-卡牌总表!AW179*参数!$B$14</f>
        <v>8.4</v>
      </c>
      <c r="J179">
        <f>IF(AND(卡牌总表!F179="能力",卡牌总表!AL179="能力持续"),(参数!$B$2-1)*参数!$B$3,0)</f>
        <v>0</v>
      </c>
      <c r="K179">
        <f t="shared" si="7"/>
        <v>8.4</v>
      </c>
      <c r="L179">
        <f>卡牌总表!N179*卡牌总表!O179*参数!$B$5*IF(AND(卡牌总表!F179="能力",卡牌总表!AL179="能力持续"),参数!$B$2,1)+卡牌总表!Q179*参数!$B$6*IF(AND(卡牌总表!F179="能力",卡牌总表!AL179="能力持续"),参数!$B$2,1)+卡牌总表!S179*参数!$B$7*IF(AND(卡牌总表!F179="能力",卡牌总表!AL179="能力持续"),参数!$B$2,1)+卡牌总表!W179*参数!$B$8+IF(卡牌总表!Y179&lt;0,卡牌总表!Y179*参数!$B$13,卡牌总表!Y179*参数!$B$39)+IF(卡牌总表!AE179&lt;0,卡牌总表!AE179*参数!$B$13,卡牌总表!AE179*参数!$B$12)*参数!$B$2+卡牌总表!AR179*参数!$B$15+卡牌总表!AC179*参数!$B$11+卡牌总表!AF179*参数!$B$40*参数!$B$2+卡牌总表!AG179*参数!$B$44*参数!$B$2+卡牌总表!AH179*参数!$B$6*参数!$B$2+卡牌总表!AI179*参数!$B$39*参数!$B$2+卡牌总表!AJ179*参数!$B$6*参数!$B$2+卡牌总表!AA179*参数!$B$13-卡牌总表!U179*参数!$B$14-卡牌总表!AD179*参数!$B$13+IF(ISNUMBER(卡牌总表!AU179),卡牌总表!AU179*参数!$B$38,0)-卡牌总表!AV179*参数!$B$41-卡牌总表!AW179*参数!$B$14</f>
        <v>11.4</v>
      </c>
      <c r="M179">
        <f>IF(AND(卡牌总表!F179="能力",卡牌总表!AL179="能力持续"),参数!$B$2*参数!$B$3,0)</f>
        <v>0</v>
      </c>
      <c r="N179">
        <f t="shared" si="8"/>
        <v>11.4</v>
      </c>
      <c r="O179">
        <f>IFERROR(MAX(IF(K179 &gt; 参数!$B$17,参数!$B$17+SQRT(K179-参数!$B$17)*参数!$B$18,K179)-MAX(G179,0)*参数!$B$10,0)/MAX(G179,0.4),0)</f>
        <v>5.4</v>
      </c>
      <c r="P179">
        <f>IFERROR(MAX(IF(N179 &gt; 参数!$B$17,参数!$B$17+SQRT(N179-参数!$B$17)*参数!$B$18,N179)-MAX(H179,0)*参数!$B$10,0)/MAX(H179,0.4),0)</f>
        <v>8.7748239349298842</v>
      </c>
      <c r="Q179">
        <f>卡牌总表!AO179</f>
        <v>0</v>
      </c>
    </row>
    <row r="180" spans="1:17" x14ac:dyDescent="0.3">
      <c r="A180">
        <f t="shared" si="6"/>
        <v>179</v>
      </c>
      <c r="B180" t="str">
        <f>卡牌总表!B180</f>
        <v>defect_consuming_shadow</v>
      </c>
      <c r="C180" t="str">
        <f>卡牌总表!D180</f>
        <v>吞噬暗影</v>
      </c>
      <c r="D180" t="str">
        <f>卡牌总表!F180</f>
        <v>能力</v>
      </c>
      <c r="E180">
        <f>卡牌总表!AL180</f>
        <v>0</v>
      </c>
      <c r="F180" t="str">
        <f>卡牌总表!AN180</f>
        <v>能力</v>
      </c>
      <c r="G180">
        <f>卡牌总表!AP180</f>
        <v>2</v>
      </c>
      <c r="H180">
        <f>IF(ISNUMBER(卡牌总表!H180),IF(AND(卡牌总表!H180=0,卡牌总表!V180=0,卡牌总表!AK180="none"),0.4,IF(卡牌总表!AK180="exhaust",MAX(卡牌总表!H180-卡牌总表!V180,0.4),IF(卡牌总表!AK180="ethereal",MAX(卡牌总表!H180-卡牌总表!V180,0.4),MAX(卡牌总表!H180-卡牌总表!V180,0.4)))),IF(OR(卡牌总表!H180="X",卡牌总表!H180="∞"),0.4,0.4))</f>
        <v>2</v>
      </c>
      <c r="I180">
        <f>卡牌总表!M180*卡牌总表!O180*参数!$B$5*IF(AND(卡牌总表!F180="能力",卡牌总表!AL180="能力持续"),参数!$B$2,1)+卡牌总表!P180*参数!$B$6*IF(AND(卡牌总表!F180="能力",卡牌总表!AL180="能力持续"),参数!$B$2,1)+卡牌总表!R180*参数!$B$7*IF(AND(卡牌总表!F180="能力",卡牌总表!AL180="能力持续"),参数!$B$2,1)+卡牌总表!V180*参数!$B$8+IF(卡牌总表!X180&lt;0,卡牌总表!X180*参数!$B$13,卡牌总表!X180*参数!$B$39)+IF(卡牌总表!AE180&lt;0,卡牌总表!AE180*参数!$B$13,卡牌总表!AE180*参数!$B$12)*参数!$B$2+卡牌总表!AQ180*参数!$B$15+卡牌总表!AB180*参数!$B$11+卡牌总表!AF180*参数!$B$40*参数!$B$2+卡牌总表!AG180*参数!$B$44*参数!$B$2+卡牌总表!AH180*参数!$B$6*参数!$B$2+卡牌总表!AI180*参数!$B$39*参数!$B$2+卡牌总表!AJ180*参数!$B$6*参数!$B$2+卡牌总表!Z180*参数!$B$13-卡牌总表!T180*参数!$B$14-卡牌总表!AD180*参数!$B$13+IF(ISNUMBER(卡牌总表!AU180),卡牌总表!AU180*参数!$B$38,0)-卡牌总表!AV180*参数!$B$41-卡牌总表!AW180*参数!$B$14</f>
        <v>16</v>
      </c>
      <c r="J180">
        <f>IF(AND(卡牌总表!F180="能力",卡牌总表!AL180="能力持续"),(参数!$B$2-1)*参数!$B$3,0)</f>
        <v>0</v>
      </c>
      <c r="K180">
        <f t="shared" si="7"/>
        <v>16</v>
      </c>
      <c r="L180">
        <f>卡牌总表!N180*卡牌总表!O180*参数!$B$5*IF(AND(卡牌总表!F180="能力",卡牌总表!AL180="能力持续"),参数!$B$2,1)+卡牌总表!Q180*参数!$B$6*IF(AND(卡牌总表!F180="能力",卡牌总表!AL180="能力持续"),参数!$B$2,1)+卡牌总表!S180*参数!$B$7*IF(AND(卡牌总表!F180="能力",卡牌总表!AL180="能力持续"),参数!$B$2,1)+卡牌总表!W180*参数!$B$8+IF(卡牌总表!Y180&lt;0,卡牌总表!Y180*参数!$B$13,卡牌总表!Y180*参数!$B$39)+IF(卡牌总表!AE180&lt;0,卡牌总表!AE180*参数!$B$13,卡牌总表!AE180*参数!$B$12)*参数!$B$2+卡牌总表!AR180*参数!$B$15+卡牌总表!AC180*参数!$B$11+卡牌总表!AF180*参数!$B$40*参数!$B$2+卡牌总表!AG180*参数!$B$44*参数!$B$2+卡牌总表!AH180*参数!$B$6*参数!$B$2+卡牌总表!AI180*参数!$B$39*参数!$B$2+卡牌总表!AJ180*参数!$B$6*参数!$B$2+卡牌总表!AA180*参数!$B$13-卡牌总表!U180*参数!$B$14-卡牌总表!AD180*参数!$B$13+IF(ISNUMBER(卡牌总表!AU180),卡牌总表!AU180*参数!$B$38,0)-卡牌总表!AV180*参数!$B$41-卡牌总表!AW180*参数!$B$14</f>
        <v>0</v>
      </c>
      <c r="M180">
        <f>IF(AND(卡牌总表!F180="能力",卡牌总表!AL180="能力持续"),参数!$B$2*参数!$B$3,0)</f>
        <v>0</v>
      </c>
      <c r="N180">
        <f t="shared" si="8"/>
        <v>0</v>
      </c>
      <c r="O180">
        <f>IFERROR(MAX(IF(K180 &gt; 参数!$B$17,参数!$B$17+SQRT(K180-参数!$B$17)*参数!$B$18,K180)-MAX(G180,0)*参数!$B$10,0)/MAX(G180,0.4),0)</f>
        <v>3.8371173070873832</v>
      </c>
      <c r="P180">
        <f>IFERROR(MAX(IF(N180 &gt; 参数!$B$17,参数!$B$17+SQRT(N180-参数!$B$17)*参数!$B$18,N180)-MAX(H180,0)*参数!$B$10,0)/MAX(H180,0.4),0)</f>
        <v>0</v>
      </c>
      <c r="Q180">
        <f>卡牌总表!AO180</f>
        <v>0</v>
      </c>
    </row>
    <row r="181" spans="1:17" x14ac:dyDescent="0.3">
      <c r="A181">
        <f t="shared" si="6"/>
        <v>180</v>
      </c>
      <c r="B181" t="str">
        <f>卡牌总表!B181</f>
        <v>defect_coolant</v>
      </c>
      <c r="C181" t="str">
        <f>卡牌总表!D181</f>
        <v>冷却剂</v>
      </c>
      <c r="D181" t="str">
        <f>卡牌总表!F181</f>
        <v>能力</v>
      </c>
      <c r="E181" t="str">
        <f>卡牌总表!AL181</f>
        <v>能力持续</v>
      </c>
      <c r="F181" t="str">
        <f>卡牌总表!AN181</f>
        <v>能力</v>
      </c>
      <c r="G181">
        <f>卡牌总表!AP181</f>
        <v>1</v>
      </c>
      <c r="H181">
        <f>IF(ISNUMBER(卡牌总表!H181),IF(AND(卡牌总表!H181=0,卡牌总表!V181=0,卡牌总表!AK181="none"),0.4,IF(卡牌总表!AK181="exhaust",MAX(卡牌总表!H181-卡牌总表!V181,0.4),IF(卡牌总表!AK181="ethereal",MAX(卡牌总表!H181-卡牌总表!V181,0.4),MAX(卡牌总表!H181-卡牌总表!V181,0.4)))),IF(OR(卡牌总表!H181="X",卡牌总表!H181="∞"),0.4,0.4))</f>
        <v>1</v>
      </c>
      <c r="I181">
        <f>卡牌总表!M181*卡牌总表!O181*参数!$B$5*IF(AND(卡牌总表!F181="能力",卡牌总表!AL181="能力持续"),参数!$B$2,1)+卡牌总表!P181*参数!$B$6*IF(AND(卡牌总表!F181="能力",卡牌总表!AL181="能力持续"),参数!$B$2,1)+卡牌总表!R181*参数!$B$7*IF(AND(卡牌总表!F181="能力",卡牌总表!AL181="能力持续"),参数!$B$2,1)+卡牌总表!V181*参数!$B$8+IF(卡牌总表!X181&lt;0,卡牌总表!X181*参数!$B$13,卡牌总表!X181*参数!$B$39)+IF(卡牌总表!AE181&lt;0,卡牌总表!AE181*参数!$B$13,卡牌总表!AE181*参数!$B$12)*参数!$B$2+卡牌总表!AQ181*参数!$B$15+卡牌总表!AB181*参数!$B$11+卡牌总表!AF181*参数!$B$40*参数!$B$2+卡牌总表!AG181*参数!$B$44*参数!$B$2+卡牌总表!AH181*参数!$B$6*参数!$B$2+卡牌总表!AI181*参数!$B$39*参数!$B$2+卡牌总表!AJ181*参数!$B$6*参数!$B$2+卡牌总表!Z181*参数!$B$13-卡牌总表!T181*参数!$B$14-卡牌总表!AD181*参数!$B$13+IF(ISNUMBER(卡牌总表!AU181),卡牌总表!AU181*参数!$B$38,0)-卡牌总表!AV181*参数!$B$41-卡牌总表!AW181*参数!$B$14</f>
        <v>0</v>
      </c>
      <c r="J181">
        <f>IF(AND(卡牌总表!F181="能力",卡牌总表!AL181="能力持续"),(参数!$B$2-1)*参数!$B$3,0)</f>
        <v>3.5999999999999996</v>
      </c>
      <c r="K181">
        <f t="shared" si="7"/>
        <v>3.5999999999999996</v>
      </c>
      <c r="L181">
        <f>卡牌总表!N181*卡牌总表!O181*参数!$B$5*IF(AND(卡牌总表!F181="能力",卡牌总表!AL181="能力持续"),参数!$B$2,1)+卡牌总表!Q181*参数!$B$6*IF(AND(卡牌总表!F181="能力",卡牌总表!AL181="能力持续"),参数!$B$2,1)+卡牌总表!S181*参数!$B$7*IF(AND(卡牌总表!F181="能力",卡牌总表!AL181="能力持续"),参数!$B$2,1)+卡牌总表!W181*参数!$B$8+IF(卡牌总表!Y181&lt;0,卡牌总表!Y181*参数!$B$13,卡牌总表!Y181*参数!$B$39)+IF(卡牌总表!AE181&lt;0,卡牌总表!AE181*参数!$B$13,卡牌总表!AE181*参数!$B$12)*参数!$B$2+卡牌总表!AR181*参数!$B$15+卡牌总表!AC181*参数!$B$11+卡牌总表!AF181*参数!$B$40*参数!$B$2+卡牌总表!AG181*参数!$B$44*参数!$B$2+卡牌总表!AH181*参数!$B$6*参数!$B$2+卡牌总表!AI181*参数!$B$39*参数!$B$2+卡牌总表!AJ181*参数!$B$6*参数!$B$2+卡牌总表!AA181*参数!$B$13-卡牌总表!U181*参数!$B$14-卡牌总表!AD181*参数!$B$13+IF(ISNUMBER(卡牌总表!AU181),卡牌总表!AU181*参数!$B$38,0)-卡牌总表!AV181*参数!$B$41-卡牌总表!AW181*参数!$B$14</f>
        <v>0</v>
      </c>
      <c r="M181">
        <f>IF(AND(卡牌总表!F181="能力",卡牌总表!AL181="能力持续"),参数!$B$2*参数!$B$3,0)</f>
        <v>4.8</v>
      </c>
      <c r="N181">
        <f t="shared" si="8"/>
        <v>4.8</v>
      </c>
      <c r="O181">
        <f>IFERROR(MAX(IF(K181 &gt; 参数!$B$17,参数!$B$17+SQRT(K181-参数!$B$17)*参数!$B$18,K181)-MAX(G181,0)*参数!$B$10,0)/MAX(G181,0.4),0)</f>
        <v>0.59999999999999964</v>
      </c>
      <c r="P181">
        <f>IFERROR(MAX(IF(N181 &gt; 参数!$B$17,参数!$B$17+SQRT(N181-参数!$B$17)*参数!$B$18,N181)-MAX(H181,0)*参数!$B$10,0)/MAX(H181,0.4),0)</f>
        <v>1.7999999999999998</v>
      </c>
      <c r="Q181">
        <f>卡牌总表!AO181</f>
        <v>0</v>
      </c>
    </row>
    <row r="182" spans="1:17" x14ac:dyDescent="0.3">
      <c r="A182">
        <f t="shared" si="6"/>
        <v>181</v>
      </c>
      <c r="B182" t="str">
        <f>卡牌总表!B182</f>
        <v>defect_coolheaded</v>
      </c>
      <c r="C182" t="str">
        <f>卡牌总表!D182</f>
        <v>冷静头脑</v>
      </c>
      <c r="D182" t="str">
        <f>卡牌总表!F182</f>
        <v>技能</v>
      </c>
      <c r="E182">
        <f>卡牌总表!AL182</f>
        <v>0</v>
      </c>
      <c r="F182">
        <f>卡牌总表!AN182</f>
        <v>0</v>
      </c>
      <c r="G182">
        <f>卡牌总表!AP182</f>
        <v>1</v>
      </c>
      <c r="H182">
        <f>IF(ISNUMBER(卡牌总表!H182),IF(AND(卡牌总表!H182=0,卡牌总表!V182=0,卡牌总表!AK182="none"),0.4,IF(卡牌总表!AK182="exhaust",MAX(卡牌总表!H182-卡牌总表!V182,0.4),IF(卡牌总表!AK182="ethereal",MAX(卡牌总表!H182-卡牌总表!V182,0.4),MAX(卡牌总表!H182-卡牌总表!V182,0.4)))),IF(OR(卡牌总表!H182="X",卡牌总表!H182="∞"),0.4,0.4))</f>
        <v>1</v>
      </c>
      <c r="I182">
        <f>卡牌总表!M182*卡牌总表!O182*参数!$B$5*IF(AND(卡牌总表!F182="能力",卡牌总表!AL182="能力持续"),参数!$B$2,1)+卡牌总表!P182*参数!$B$6*IF(AND(卡牌总表!F182="能力",卡牌总表!AL182="能力持续"),参数!$B$2,1)+卡牌总表!R182*参数!$B$7*IF(AND(卡牌总表!F182="能力",卡牌总表!AL182="能力持续"),参数!$B$2,1)+卡牌总表!V182*参数!$B$8+IF(卡牌总表!X182&lt;0,卡牌总表!X182*参数!$B$13,卡牌总表!X182*参数!$B$39)+IF(卡牌总表!AE182&lt;0,卡牌总表!AE182*参数!$B$13,卡牌总表!AE182*参数!$B$12)*参数!$B$2+卡牌总表!AQ182*参数!$B$15+卡牌总表!AB182*参数!$B$11+卡牌总表!AF182*参数!$B$40*参数!$B$2+卡牌总表!AG182*参数!$B$44*参数!$B$2+卡牌总表!AH182*参数!$B$6*参数!$B$2+卡牌总表!AI182*参数!$B$39*参数!$B$2+卡牌总表!AJ182*参数!$B$6*参数!$B$2+卡牌总表!Z182*参数!$B$13-卡牌总表!T182*参数!$B$14-卡牌总表!AD182*参数!$B$13+IF(ISNUMBER(卡牌总表!AU182),卡牌总表!AU182*参数!$B$38,0)-卡牌总表!AV182*参数!$B$41-卡牌总表!AW182*参数!$B$14</f>
        <v>2.9000000000000004</v>
      </c>
      <c r="J182">
        <f>IF(AND(卡牌总表!F182="能力",卡牌总表!AL182="能力持续"),(参数!$B$2-1)*参数!$B$3,0)</f>
        <v>0</v>
      </c>
      <c r="K182">
        <f t="shared" si="7"/>
        <v>2.9000000000000004</v>
      </c>
      <c r="L182">
        <f>卡牌总表!N182*卡牌总表!O182*参数!$B$5*IF(AND(卡牌总表!F182="能力",卡牌总表!AL182="能力持续"),参数!$B$2,1)+卡牌总表!Q182*参数!$B$6*IF(AND(卡牌总表!F182="能力",卡牌总表!AL182="能力持续"),参数!$B$2,1)+卡牌总表!S182*参数!$B$7*IF(AND(卡牌总表!F182="能力",卡牌总表!AL182="能力持续"),参数!$B$2,1)+卡牌总表!W182*参数!$B$8+IF(卡牌总表!Y182&lt;0,卡牌总表!Y182*参数!$B$13,卡牌总表!Y182*参数!$B$39)+IF(卡牌总表!AE182&lt;0,卡牌总表!AE182*参数!$B$13,卡牌总表!AE182*参数!$B$12)*参数!$B$2+卡牌总表!AR182*参数!$B$15+卡牌总表!AC182*参数!$B$11+卡牌总表!AF182*参数!$B$40*参数!$B$2+卡牌总表!AG182*参数!$B$44*参数!$B$2+卡牌总表!AH182*参数!$B$6*参数!$B$2+卡牌总表!AI182*参数!$B$39*参数!$B$2+卡牌总表!AJ182*参数!$B$6*参数!$B$2+卡牌总表!AA182*参数!$B$13-卡牌总表!U182*参数!$B$14-卡牌总表!AD182*参数!$B$13+IF(ISNUMBER(卡牌总表!AU182),卡牌总表!AU182*参数!$B$38,0)-卡牌总表!AV182*参数!$B$41-卡牌总表!AW182*参数!$B$14</f>
        <v>3.6</v>
      </c>
      <c r="M182">
        <f>IF(AND(卡牌总表!F182="能力",卡牌总表!AL182="能力持续"),参数!$B$2*参数!$B$3,0)</f>
        <v>0</v>
      </c>
      <c r="N182">
        <f t="shared" si="8"/>
        <v>3.6</v>
      </c>
      <c r="O182">
        <f>IFERROR(MAX(IF(K182 &gt; 参数!$B$17,参数!$B$17+SQRT(K182-参数!$B$17)*参数!$B$18,K182)-MAX(G182,0)*参数!$B$10,0)/MAX(G182,0.4),0)</f>
        <v>0</v>
      </c>
      <c r="P182">
        <f>IFERROR(MAX(IF(N182 &gt; 参数!$B$17,参数!$B$17+SQRT(N182-参数!$B$17)*参数!$B$18,N182)-MAX(H182,0)*参数!$B$10,0)/MAX(H182,0.4),0)</f>
        <v>0.60000000000000009</v>
      </c>
      <c r="Q182">
        <f>卡牌总表!AO182</f>
        <v>0</v>
      </c>
    </row>
    <row r="183" spans="1:17" x14ac:dyDescent="0.3">
      <c r="A183">
        <f t="shared" si="6"/>
        <v>182</v>
      </c>
      <c r="B183" t="str">
        <f>卡牌总表!B183</f>
        <v>defect_creative_ai</v>
      </c>
      <c r="C183" t="str">
        <f>卡牌总表!D183</f>
        <v>创造性AI</v>
      </c>
      <c r="D183" t="str">
        <f>卡牌总表!F183</f>
        <v>能力</v>
      </c>
      <c r="E183" t="str">
        <f>卡牌总表!AL183</f>
        <v>能力持续</v>
      </c>
      <c r="F183" t="str">
        <f>卡牌总表!AN183</f>
        <v>能力</v>
      </c>
      <c r="G183">
        <f>卡牌总表!AP183</f>
        <v>3</v>
      </c>
      <c r="H183">
        <f>IF(ISNUMBER(卡牌总表!H183),IF(AND(卡牌总表!H183=0,卡牌总表!V183=0,卡牌总表!AK183="none"),0.4,IF(卡牌总表!AK183="exhaust",MAX(卡牌总表!H183-卡牌总表!V183,0.4),IF(卡牌总表!AK183="ethereal",MAX(卡牌总表!H183-卡牌总表!V183,0.4),MAX(卡牌总表!H183-卡牌总表!V183,0.4)))),IF(OR(卡牌总表!H183="X",卡牌总表!H183="∞"),0.4,0.4))</f>
        <v>3</v>
      </c>
      <c r="I183">
        <f>卡牌总表!M183*卡牌总表!O183*参数!$B$5*IF(AND(卡牌总表!F183="能力",卡牌总表!AL183="能力持续"),参数!$B$2,1)+卡牌总表!P183*参数!$B$6*IF(AND(卡牌总表!F183="能力",卡牌总表!AL183="能力持续"),参数!$B$2,1)+卡牌总表!R183*参数!$B$7*IF(AND(卡牌总表!F183="能力",卡牌总表!AL183="能力持续"),参数!$B$2,1)+卡牌总表!V183*参数!$B$8+IF(卡牌总表!X183&lt;0,卡牌总表!X183*参数!$B$13,卡牌总表!X183*参数!$B$39)+IF(卡牌总表!AE183&lt;0,卡牌总表!AE183*参数!$B$13,卡牌总表!AE183*参数!$B$12)*参数!$B$2+卡牌总表!AQ183*参数!$B$15+卡牌总表!AB183*参数!$B$11+卡牌总表!AF183*参数!$B$40*参数!$B$2+卡牌总表!AG183*参数!$B$44*参数!$B$2+卡牌总表!AH183*参数!$B$6*参数!$B$2+卡牌总表!AI183*参数!$B$39*参数!$B$2+卡牌总表!AJ183*参数!$B$6*参数!$B$2+卡牌总表!Z183*参数!$B$13-卡牌总表!T183*参数!$B$14-卡牌总表!AD183*参数!$B$13+IF(ISNUMBER(卡牌总表!AU183),卡牌总表!AU183*参数!$B$38,0)-卡牌总表!AV183*参数!$B$41-卡牌总表!AW183*参数!$B$14</f>
        <v>0</v>
      </c>
      <c r="J183">
        <f>IF(AND(卡牌总表!F183="能力",卡牌总表!AL183="能力持续"),(参数!$B$2-1)*参数!$B$3,0)</f>
        <v>3.5999999999999996</v>
      </c>
      <c r="K183">
        <f t="shared" si="7"/>
        <v>3.5999999999999996</v>
      </c>
      <c r="L183">
        <f>卡牌总表!N183*卡牌总表!O183*参数!$B$5*IF(AND(卡牌总表!F183="能力",卡牌总表!AL183="能力持续"),参数!$B$2,1)+卡牌总表!Q183*参数!$B$6*IF(AND(卡牌总表!F183="能力",卡牌总表!AL183="能力持续"),参数!$B$2,1)+卡牌总表!S183*参数!$B$7*IF(AND(卡牌总表!F183="能力",卡牌总表!AL183="能力持续"),参数!$B$2,1)+卡牌总表!W183*参数!$B$8+IF(卡牌总表!Y183&lt;0,卡牌总表!Y183*参数!$B$13,卡牌总表!Y183*参数!$B$39)+IF(卡牌总表!AE183&lt;0,卡牌总表!AE183*参数!$B$13,卡牌总表!AE183*参数!$B$12)*参数!$B$2+卡牌总表!AR183*参数!$B$15+卡牌总表!AC183*参数!$B$11+卡牌总表!AF183*参数!$B$40*参数!$B$2+卡牌总表!AG183*参数!$B$44*参数!$B$2+卡牌总表!AH183*参数!$B$6*参数!$B$2+卡牌总表!AI183*参数!$B$39*参数!$B$2+卡牌总表!AJ183*参数!$B$6*参数!$B$2+卡牌总表!AA183*参数!$B$13-卡牌总表!U183*参数!$B$14-卡牌总表!AD183*参数!$B$13+IF(ISNUMBER(卡牌总表!AU183),卡牌总表!AU183*参数!$B$38,0)-卡牌总表!AV183*参数!$B$41-卡牌总表!AW183*参数!$B$14</f>
        <v>0</v>
      </c>
      <c r="M183">
        <f>IF(AND(卡牌总表!F183="能力",卡牌总表!AL183="能力持续"),参数!$B$2*参数!$B$3,0)</f>
        <v>4.8</v>
      </c>
      <c r="N183">
        <f t="shared" si="8"/>
        <v>4.8</v>
      </c>
      <c r="O183">
        <f>IFERROR(MAX(IF(K183 &gt; 参数!$B$17,参数!$B$17+SQRT(K183-参数!$B$17)*参数!$B$18,K183)-MAX(G183,0)*参数!$B$10,0)/MAX(G183,0.4),0)</f>
        <v>0</v>
      </c>
      <c r="P183">
        <f>IFERROR(MAX(IF(N183 &gt; 参数!$B$17,参数!$B$17+SQRT(N183-参数!$B$17)*参数!$B$18,N183)-MAX(H183,0)*参数!$B$10,0)/MAX(H183,0.4),0)</f>
        <v>0</v>
      </c>
      <c r="Q183">
        <f>卡牌总表!AO183</f>
        <v>0</v>
      </c>
    </row>
    <row r="184" spans="1:17" x14ac:dyDescent="0.3">
      <c r="A184">
        <f t="shared" si="6"/>
        <v>183</v>
      </c>
      <c r="B184" t="str">
        <f>卡牌总表!B184</f>
        <v>defect_darkness</v>
      </c>
      <c r="C184" t="str">
        <f>卡牌总表!D184</f>
        <v>漆黑</v>
      </c>
      <c r="D184" t="str">
        <f>卡牌总表!F184</f>
        <v>技能</v>
      </c>
      <c r="E184">
        <f>卡牌总表!AL184</f>
        <v>0</v>
      </c>
      <c r="F184">
        <f>卡牌总表!AN184</f>
        <v>0</v>
      </c>
      <c r="G184">
        <f>卡牌总表!AP184</f>
        <v>1</v>
      </c>
      <c r="H184">
        <f>IF(ISNUMBER(卡牌总表!H184),IF(AND(卡牌总表!H184=0,卡牌总表!V184=0,卡牌总表!AK184="none"),0.4,IF(卡牌总表!AK184="exhaust",MAX(卡牌总表!H184-卡牌总表!V184,0.4),IF(卡牌总表!AK184="ethereal",MAX(卡牌总表!H184-卡牌总表!V184,0.4),MAX(卡牌总表!H184-卡牌总表!V184,0.4)))),IF(OR(卡牌总表!H184="X",卡牌总表!H184="∞"),0.4,0.4))</f>
        <v>1</v>
      </c>
      <c r="I184">
        <f>卡牌总表!M184*卡牌总表!O184*参数!$B$5*IF(AND(卡牌总表!F184="能力",卡牌总表!AL184="能力持续"),参数!$B$2,1)+卡牌总表!P184*参数!$B$6*IF(AND(卡牌总表!F184="能力",卡牌总表!AL184="能力持续"),参数!$B$2,1)+卡牌总表!R184*参数!$B$7*IF(AND(卡牌总表!F184="能力",卡牌总表!AL184="能力持续"),参数!$B$2,1)+卡牌总表!V184*参数!$B$8+IF(卡牌总表!X184&lt;0,卡牌总表!X184*参数!$B$13,卡牌总表!X184*参数!$B$39)+IF(卡牌总表!AE184&lt;0,卡牌总表!AE184*参数!$B$13,卡牌总表!AE184*参数!$B$12)*参数!$B$2+卡牌总表!AQ184*参数!$B$15+卡牌总表!AB184*参数!$B$11+卡牌总表!AF184*参数!$B$40*参数!$B$2+卡牌总表!AG184*参数!$B$44*参数!$B$2+卡牌总表!AH184*参数!$B$6*参数!$B$2+卡牌总表!AI184*参数!$B$39*参数!$B$2+卡牌总表!AJ184*参数!$B$6*参数!$B$2+卡牌总表!Z184*参数!$B$13-卡牌总表!T184*参数!$B$14-卡牌总表!AD184*参数!$B$13+IF(ISNUMBER(卡牌总表!AU184),卡牌总表!AU184*参数!$B$38,0)-卡牌总表!AV184*参数!$B$41-卡牌总表!AW184*参数!$B$14</f>
        <v>12</v>
      </c>
      <c r="J184">
        <f>IF(AND(卡牌总表!F184="能力",卡牌总表!AL184="能力持续"),(参数!$B$2-1)*参数!$B$3,0)</f>
        <v>0</v>
      </c>
      <c r="K184">
        <f t="shared" si="7"/>
        <v>12</v>
      </c>
      <c r="L184">
        <f>卡牌总表!N184*卡牌总表!O184*参数!$B$5*IF(AND(卡牌总表!F184="能力",卡牌总表!AL184="能力持续"),参数!$B$2,1)+卡牌总表!Q184*参数!$B$6*IF(AND(卡牌总表!F184="能力",卡牌总表!AL184="能力持续"),参数!$B$2,1)+卡牌总表!S184*参数!$B$7*IF(AND(卡牌总表!F184="能力",卡牌总表!AL184="能力持续"),参数!$B$2,1)+卡牌总表!W184*参数!$B$8+IF(卡牌总表!Y184&lt;0,卡牌总表!Y184*参数!$B$13,卡牌总表!Y184*参数!$B$39)+IF(卡牌总表!AE184&lt;0,卡牌总表!AE184*参数!$B$13,卡牌总表!AE184*参数!$B$12)*参数!$B$2+卡牌总表!AR184*参数!$B$15+卡牌总表!AC184*参数!$B$11+卡牌总表!AF184*参数!$B$40*参数!$B$2+卡牌总表!AG184*参数!$B$44*参数!$B$2+卡牌总表!AH184*参数!$B$6*参数!$B$2+卡牌总表!AI184*参数!$B$39*参数!$B$2+卡牌总表!AJ184*参数!$B$6*参数!$B$2+卡牌总表!AA184*参数!$B$13-卡牌总表!U184*参数!$B$14-卡牌总表!AD184*参数!$B$13+IF(ISNUMBER(卡牌总表!AU184),卡牌总表!AU184*参数!$B$38,0)-卡牌总表!AV184*参数!$B$41-卡牌总表!AW184*参数!$B$14</f>
        <v>0</v>
      </c>
      <c r="M184">
        <f>IF(AND(卡牌总表!F184="能力",卡牌总表!AL184="能力持续"),参数!$B$2*参数!$B$3,0)</f>
        <v>0</v>
      </c>
      <c r="N184">
        <f t="shared" si="8"/>
        <v>0</v>
      </c>
      <c r="O184">
        <f>IFERROR(MAX(IF(K184 &gt; 参数!$B$17,参数!$B$17+SQRT(K184-参数!$B$17)*参数!$B$18,K184)-MAX(G184,0)*参数!$B$10,0)/MAX(G184,0.4),0)</f>
        <v>9.1213203435596419</v>
      </c>
      <c r="P184">
        <f>IFERROR(MAX(IF(N184 &gt; 参数!$B$17,参数!$B$17+SQRT(N184-参数!$B$17)*参数!$B$18,N184)-MAX(H184,0)*参数!$B$10,0)/MAX(H184,0.4),0)</f>
        <v>0</v>
      </c>
      <c r="Q184">
        <f>卡牌总表!AO184</f>
        <v>0</v>
      </c>
    </row>
    <row r="185" spans="1:17" x14ac:dyDescent="0.3">
      <c r="A185">
        <f t="shared" si="6"/>
        <v>184</v>
      </c>
      <c r="B185" t="str">
        <f>卡牌总表!B185</f>
        <v>defect_defend</v>
      </c>
      <c r="C185" t="str">
        <f>卡牌总表!D185</f>
        <v>防御</v>
      </c>
      <c r="D185" t="str">
        <f>卡牌总表!F185</f>
        <v>技能</v>
      </c>
      <c r="E185">
        <f>卡牌总表!AL185</f>
        <v>0</v>
      </c>
      <c r="F185">
        <f>卡牌总表!AN185</f>
        <v>0</v>
      </c>
      <c r="G185">
        <f>卡牌总表!AP185</f>
        <v>1</v>
      </c>
      <c r="H185">
        <f>IF(ISNUMBER(卡牌总表!H185),IF(AND(卡牌总表!H185=0,卡牌总表!V185=0,卡牌总表!AK185="none"),0.4,IF(卡牌总表!AK185="exhaust",MAX(卡牌总表!H185-卡牌总表!V185,0.4),IF(卡牌总表!AK185="ethereal",MAX(卡牌总表!H185-卡牌总表!V185,0.4),MAX(卡牌总表!H185-卡牌总表!V185,0.4)))),IF(OR(卡牌总表!H185="X",卡牌总表!H185="∞"),0.4,0.4))</f>
        <v>1</v>
      </c>
      <c r="I185">
        <f>卡牌总表!M185*卡牌总表!O185*参数!$B$5*IF(AND(卡牌总表!F185="能力",卡牌总表!AL185="能力持续"),参数!$B$2,1)+卡牌总表!P185*参数!$B$6*IF(AND(卡牌总表!F185="能力",卡牌总表!AL185="能力持续"),参数!$B$2,1)+卡牌总表!R185*参数!$B$7*IF(AND(卡牌总表!F185="能力",卡牌总表!AL185="能力持续"),参数!$B$2,1)+卡牌总表!V185*参数!$B$8+IF(卡牌总表!X185&lt;0,卡牌总表!X185*参数!$B$13,卡牌总表!X185*参数!$B$39)+IF(卡牌总表!AE185&lt;0,卡牌总表!AE185*参数!$B$13,卡牌总表!AE185*参数!$B$12)*参数!$B$2+卡牌总表!AQ185*参数!$B$15+卡牌总表!AB185*参数!$B$11+卡牌总表!AF185*参数!$B$40*参数!$B$2+卡牌总表!AG185*参数!$B$44*参数!$B$2+卡牌总表!AH185*参数!$B$6*参数!$B$2+卡牌总表!AI185*参数!$B$39*参数!$B$2+卡牌总表!AJ185*参数!$B$6*参数!$B$2+卡牌总表!Z185*参数!$B$13-卡牌总表!T185*参数!$B$14-卡牌总表!AD185*参数!$B$13+IF(ISNUMBER(卡牌总表!AU185),卡牌总表!AU185*参数!$B$38,0)-卡牌总表!AV185*参数!$B$41-卡牌总表!AW185*参数!$B$14</f>
        <v>5.5</v>
      </c>
      <c r="J185">
        <f>IF(AND(卡牌总表!F185="能力",卡牌总表!AL185="能力持续"),(参数!$B$2-1)*参数!$B$3,0)</f>
        <v>0</v>
      </c>
      <c r="K185">
        <f t="shared" si="7"/>
        <v>5.5</v>
      </c>
      <c r="L185">
        <f>卡牌总表!N185*卡牌总表!O185*参数!$B$5*IF(AND(卡牌总表!F185="能力",卡牌总表!AL185="能力持续"),参数!$B$2,1)+卡牌总表!Q185*参数!$B$6*IF(AND(卡牌总表!F185="能力",卡牌总表!AL185="能力持续"),参数!$B$2,1)+卡牌总表!S185*参数!$B$7*IF(AND(卡牌总表!F185="能力",卡牌总表!AL185="能力持续"),参数!$B$2,1)+卡牌总表!W185*参数!$B$8+IF(卡牌总表!Y185&lt;0,卡牌总表!Y185*参数!$B$13,卡牌总表!Y185*参数!$B$39)+IF(卡牌总表!AE185&lt;0,卡牌总表!AE185*参数!$B$13,卡牌总表!AE185*参数!$B$12)*参数!$B$2+卡牌总表!AR185*参数!$B$15+卡牌总表!AC185*参数!$B$11+卡牌总表!AF185*参数!$B$40*参数!$B$2+卡牌总表!AG185*参数!$B$44*参数!$B$2+卡牌总表!AH185*参数!$B$6*参数!$B$2+卡牌总表!AI185*参数!$B$39*参数!$B$2+卡牌总表!AJ185*参数!$B$6*参数!$B$2+卡牌总表!AA185*参数!$B$13-卡牌总表!U185*参数!$B$14-卡牌总表!AD185*参数!$B$13+IF(ISNUMBER(卡牌总表!AU185),卡牌总表!AU185*参数!$B$38,0)-卡牌总表!AV185*参数!$B$41-卡牌总表!AW185*参数!$B$14</f>
        <v>8.8000000000000007</v>
      </c>
      <c r="M185">
        <f>IF(AND(卡牌总表!F185="能力",卡牌总表!AL185="能力持续"),参数!$B$2*参数!$B$3,0)</f>
        <v>0</v>
      </c>
      <c r="N185">
        <f t="shared" si="8"/>
        <v>8.8000000000000007</v>
      </c>
      <c r="O185">
        <f>IFERROR(MAX(IF(K185 &gt; 参数!$B$17,参数!$B$17+SQRT(K185-参数!$B$17)*参数!$B$18,K185)-MAX(G185,0)*参数!$B$10,0)/MAX(G185,0.4),0)</f>
        <v>2.5</v>
      </c>
      <c r="P185">
        <f>IFERROR(MAX(IF(N185 &gt; 参数!$B$17,参数!$B$17+SQRT(N185-参数!$B$17)*参数!$B$18,N185)-MAX(H185,0)*参数!$B$10,0)/MAX(H185,0.4),0)</f>
        <v>5.8000000000000007</v>
      </c>
      <c r="Q185">
        <f>卡牌总表!AO185</f>
        <v>0</v>
      </c>
    </row>
    <row r="186" spans="1:17" x14ac:dyDescent="0.3">
      <c r="A186">
        <f t="shared" si="6"/>
        <v>185</v>
      </c>
      <c r="B186" t="str">
        <f>卡牌总表!B186</f>
        <v>defect_defragment</v>
      </c>
      <c r="C186" t="str">
        <f>卡牌总表!D186</f>
        <v>碎片整理</v>
      </c>
      <c r="D186" t="str">
        <f>卡牌总表!F186</f>
        <v>能力</v>
      </c>
      <c r="E186">
        <f>卡牌总表!AL186</f>
        <v>0</v>
      </c>
      <c r="F186" t="str">
        <f>卡牌总表!AN186</f>
        <v>能力</v>
      </c>
      <c r="G186">
        <f>卡牌总表!AP186</f>
        <v>1</v>
      </c>
      <c r="H186">
        <f>IF(ISNUMBER(卡牌总表!H186),IF(AND(卡牌总表!H186=0,卡牌总表!V186=0,卡牌总表!AK186="none"),0.4,IF(卡牌总表!AK186="exhaust",MAX(卡牌总表!H186-卡牌总表!V186,0.4),IF(卡牌总表!AK186="ethereal",MAX(卡牌总表!H186-卡牌总表!V186,0.4),MAX(卡牌总表!H186-卡牌总表!V186,0.4)))),IF(OR(卡牌总表!H186="X",卡牌总表!H186="∞"),0.4,0.4))</f>
        <v>1</v>
      </c>
      <c r="I186">
        <f>卡牌总表!M186*卡牌总表!O186*参数!$B$5*IF(AND(卡牌总表!F186="能力",卡牌总表!AL186="能力持续"),参数!$B$2,1)+卡牌总表!P186*参数!$B$6*IF(AND(卡牌总表!F186="能力",卡牌总表!AL186="能力持续"),参数!$B$2,1)+卡牌总表!R186*参数!$B$7*IF(AND(卡牌总表!F186="能力",卡牌总表!AL186="能力持续"),参数!$B$2,1)+卡牌总表!V186*参数!$B$8+IF(卡牌总表!X186&lt;0,卡牌总表!X186*参数!$B$13,卡牌总表!X186*参数!$B$39)+IF(卡牌总表!AE186&lt;0,卡牌总表!AE186*参数!$B$13,卡牌总表!AE186*参数!$B$12)*参数!$B$2+卡牌总表!AQ186*参数!$B$15+卡牌总表!AB186*参数!$B$11+卡牌总表!AF186*参数!$B$40*参数!$B$2+卡牌总表!AG186*参数!$B$44*参数!$B$2+卡牌总表!AH186*参数!$B$6*参数!$B$2+卡牌总表!AI186*参数!$B$39*参数!$B$2+卡牌总表!AJ186*参数!$B$6*参数!$B$2+卡牌总表!Z186*参数!$B$13-卡牌总表!T186*参数!$B$14-卡牌总表!AD186*参数!$B$13+IF(ISNUMBER(卡牌总表!AU186),卡牌总表!AU186*参数!$B$38,0)-卡牌总表!AV186*参数!$B$41-卡牌总表!AW186*参数!$B$14</f>
        <v>5.2</v>
      </c>
      <c r="J186">
        <f>IF(AND(卡牌总表!F186="能力",卡牌总表!AL186="能力持续"),(参数!$B$2-1)*参数!$B$3,0)</f>
        <v>0</v>
      </c>
      <c r="K186">
        <f t="shared" si="7"/>
        <v>5.2</v>
      </c>
      <c r="L186">
        <f>卡牌总表!N186*卡牌总表!O186*参数!$B$5*IF(AND(卡牌总表!F186="能力",卡牌总表!AL186="能力持续"),参数!$B$2,1)+卡牌总表!Q186*参数!$B$6*IF(AND(卡牌总表!F186="能力",卡牌总表!AL186="能力持续"),参数!$B$2,1)+卡牌总表!S186*参数!$B$7*IF(AND(卡牌总表!F186="能力",卡牌总表!AL186="能力持续"),参数!$B$2,1)+卡牌总表!W186*参数!$B$8+IF(卡牌总表!Y186&lt;0,卡牌总表!Y186*参数!$B$13,卡牌总表!Y186*参数!$B$39)+IF(卡牌总表!AE186&lt;0,卡牌总表!AE186*参数!$B$13,卡牌总表!AE186*参数!$B$12)*参数!$B$2+卡牌总表!AR186*参数!$B$15+卡牌总表!AC186*参数!$B$11+卡牌总表!AF186*参数!$B$40*参数!$B$2+卡牌总表!AG186*参数!$B$44*参数!$B$2+卡牌总表!AH186*参数!$B$6*参数!$B$2+卡牌总表!AI186*参数!$B$39*参数!$B$2+卡牌总表!AJ186*参数!$B$6*参数!$B$2+卡牌总表!AA186*参数!$B$13-卡牌总表!U186*参数!$B$14-卡牌总表!AD186*参数!$B$13+IF(ISNUMBER(卡牌总表!AU186),卡牌总表!AU186*参数!$B$38,0)-卡牌总表!AV186*参数!$B$41-卡牌总表!AW186*参数!$B$14</f>
        <v>5.2</v>
      </c>
      <c r="M186">
        <f>IF(AND(卡牌总表!F186="能力",卡牌总表!AL186="能力持续"),参数!$B$2*参数!$B$3,0)</f>
        <v>0</v>
      </c>
      <c r="N186">
        <f t="shared" si="8"/>
        <v>5.2</v>
      </c>
      <c r="O186">
        <f>IFERROR(MAX(IF(K186 &gt; 参数!$B$17,参数!$B$17+SQRT(K186-参数!$B$17)*参数!$B$18,K186)-MAX(G186,0)*参数!$B$10,0)/MAX(G186,0.4),0)</f>
        <v>2.2000000000000002</v>
      </c>
      <c r="P186">
        <f>IFERROR(MAX(IF(N186 &gt; 参数!$B$17,参数!$B$17+SQRT(N186-参数!$B$17)*参数!$B$18,N186)-MAX(H186,0)*参数!$B$10,0)/MAX(H186,0.4),0)</f>
        <v>2.2000000000000002</v>
      </c>
      <c r="Q186">
        <f>卡牌总表!AO186</f>
        <v>0</v>
      </c>
    </row>
    <row r="187" spans="1:17" x14ac:dyDescent="0.3">
      <c r="A187">
        <f t="shared" si="6"/>
        <v>186</v>
      </c>
      <c r="B187" t="str">
        <f>卡牌总表!B187</f>
        <v>defect_double_energy</v>
      </c>
      <c r="C187" t="str">
        <f>卡牌总表!D187</f>
        <v>双倍能量</v>
      </c>
      <c r="D187" t="str">
        <f>卡牌总表!F187</f>
        <v>技能</v>
      </c>
      <c r="E187">
        <f>卡牌总表!AL187</f>
        <v>0</v>
      </c>
      <c r="F187">
        <f>卡牌总表!AN187</f>
        <v>0</v>
      </c>
      <c r="G187">
        <f>卡牌总表!AP187</f>
        <v>0.4</v>
      </c>
      <c r="H187">
        <f>IF(ISNUMBER(卡牌总表!H187),IF(AND(卡牌总表!H187=0,卡牌总表!V187=0,卡牌总表!AK187="none"),0.4,IF(卡牌总表!AK187="exhaust",MAX(卡牌总表!H187-卡牌总表!V187,0.4),IF(卡牌总表!AK187="ethereal",MAX(卡牌总表!H187-卡牌总表!V187,0.4),MAX(卡牌总表!H187-卡牌总表!V187,0.4)))),IF(OR(卡牌总表!H187="X",卡牌总表!H187="∞"),0.4,0.4))</f>
        <v>0.4</v>
      </c>
      <c r="I187">
        <f>卡牌总表!M187*卡牌总表!O187*参数!$B$5*IF(AND(卡牌总表!F187="能力",卡牌总表!AL187="能力持续"),参数!$B$2,1)+卡牌总表!P187*参数!$B$6*IF(AND(卡牌总表!F187="能力",卡牌总表!AL187="能力持续"),参数!$B$2,1)+卡牌总表!R187*参数!$B$7*IF(AND(卡牌总表!F187="能力",卡牌总表!AL187="能力持续"),参数!$B$2,1)+卡牌总表!V187*参数!$B$8+IF(卡牌总表!X187&lt;0,卡牌总表!X187*参数!$B$13,卡牌总表!X187*参数!$B$39)+IF(卡牌总表!AE187&lt;0,卡牌总表!AE187*参数!$B$13,卡牌总表!AE187*参数!$B$12)*参数!$B$2+卡牌总表!AQ187*参数!$B$15+卡牌总表!AB187*参数!$B$11+卡牌总表!AF187*参数!$B$40*参数!$B$2+卡牌总表!AG187*参数!$B$44*参数!$B$2+卡牌总表!AH187*参数!$B$6*参数!$B$2+卡牌总表!AI187*参数!$B$39*参数!$B$2+卡牌总表!AJ187*参数!$B$6*参数!$B$2+卡牌总表!Z187*参数!$B$13-卡牌总表!T187*参数!$B$14-卡牌总表!AD187*参数!$B$13+IF(ISNUMBER(卡牌总表!AU187),卡牌总表!AU187*参数!$B$38,0)-卡牌总表!AV187*参数!$B$41-卡牌总表!AW187*参数!$B$14</f>
        <v>15</v>
      </c>
      <c r="J187">
        <f>IF(AND(卡牌总表!F187="能力",卡牌总表!AL187="能力持续"),(参数!$B$2-1)*参数!$B$3,0)</f>
        <v>0</v>
      </c>
      <c r="K187">
        <f t="shared" si="7"/>
        <v>15</v>
      </c>
      <c r="L187">
        <f>卡牌总表!N187*卡牌总表!O187*参数!$B$5*IF(AND(卡牌总表!F187="能力",卡牌总表!AL187="能力持续"),参数!$B$2,1)+卡牌总表!Q187*参数!$B$6*IF(AND(卡牌总表!F187="能力",卡牌总表!AL187="能力持续"),参数!$B$2,1)+卡牌总表!S187*参数!$B$7*IF(AND(卡牌总表!F187="能力",卡牌总表!AL187="能力持续"),参数!$B$2,1)+卡牌总表!W187*参数!$B$8+IF(卡牌总表!Y187&lt;0,卡牌总表!Y187*参数!$B$13,卡牌总表!Y187*参数!$B$39)+IF(卡牌总表!AE187&lt;0,卡牌总表!AE187*参数!$B$13,卡牌总表!AE187*参数!$B$12)*参数!$B$2+卡牌总表!AR187*参数!$B$15+卡牌总表!AC187*参数!$B$11+卡牌总表!AF187*参数!$B$40*参数!$B$2+卡牌总表!AG187*参数!$B$44*参数!$B$2+卡牌总表!AH187*参数!$B$6*参数!$B$2+卡牌总表!AI187*参数!$B$39*参数!$B$2+卡牌总表!AJ187*参数!$B$6*参数!$B$2+卡牌总表!AA187*参数!$B$13-卡牌总表!U187*参数!$B$14-卡牌总表!AD187*参数!$B$13+IF(ISNUMBER(卡牌总表!AU187),卡牌总表!AU187*参数!$B$38,0)-卡牌总表!AV187*参数!$B$41-卡牌总表!AW187*参数!$B$14</f>
        <v>0</v>
      </c>
      <c r="M187">
        <f>IF(AND(卡牌总表!F187="能力",卡牌总表!AL187="能力持续"),参数!$B$2*参数!$B$3,0)</f>
        <v>0</v>
      </c>
      <c r="N187">
        <f t="shared" si="8"/>
        <v>0</v>
      </c>
      <c r="O187">
        <f>IFERROR(MAX(IF(K187 &gt; 参数!$B$17,参数!$B$17+SQRT(K187-参数!$B$17)*参数!$B$18,K187)-MAX(G187,0)*参数!$B$10,0)/MAX(G187,0.4),0)</f>
        <v>30.385254915624209</v>
      </c>
      <c r="P187">
        <f>IFERROR(MAX(IF(N187 &gt; 参数!$B$17,参数!$B$17+SQRT(N187-参数!$B$17)*参数!$B$18,N187)-MAX(H187,0)*参数!$B$10,0)/MAX(H187,0.4),0)</f>
        <v>0</v>
      </c>
      <c r="Q187">
        <f>卡牌总表!AO187</f>
        <v>0</v>
      </c>
    </row>
    <row r="188" spans="1:17" x14ac:dyDescent="0.3">
      <c r="A188">
        <f t="shared" si="6"/>
        <v>187</v>
      </c>
      <c r="B188" t="str">
        <f>卡牌总表!B188</f>
        <v>defect_dualcast</v>
      </c>
      <c r="C188" t="str">
        <f>卡牌总表!D188</f>
        <v>双重释放</v>
      </c>
      <c r="D188" t="str">
        <f>卡牌总表!F188</f>
        <v>技能</v>
      </c>
      <c r="E188">
        <f>卡牌总表!AL188</f>
        <v>0</v>
      </c>
      <c r="F188">
        <f>卡牌总表!AN188</f>
        <v>0</v>
      </c>
      <c r="G188">
        <f>卡牌总表!AP188</f>
        <v>1</v>
      </c>
      <c r="H188">
        <f>IF(ISNUMBER(卡牌总表!H188),IF(AND(卡牌总表!H188=0,卡牌总表!V188=0,卡牌总表!AK188="none"),0.4,IF(卡牌总表!AK188="exhaust",MAX(卡牌总表!H188-卡牌总表!V188,0.4),IF(卡牌总表!AK188="ethereal",MAX(卡牌总表!H188-卡牌总表!V188,0.4),MAX(卡牌总表!H188-卡牌总表!V188,0.4)))),IF(OR(卡牌总表!H188="X",卡牌总表!H188="∞"),0.4,0.4))</f>
        <v>1</v>
      </c>
      <c r="I188">
        <f>卡牌总表!M188*卡牌总表!O188*参数!$B$5*IF(AND(卡牌总表!F188="能力",卡牌总表!AL188="能力持续"),参数!$B$2,1)+卡牌总表!P188*参数!$B$6*IF(AND(卡牌总表!F188="能力",卡牌总表!AL188="能力持续"),参数!$B$2,1)+卡牌总表!R188*参数!$B$7*IF(AND(卡牌总表!F188="能力",卡牌总表!AL188="能力持续"),参数!$B$2,1)+卡牌总表!V188*参数!$B$8+IF(卡牌总表!X188&lt;0,卡牌总表!X188*参数!$B$13,卡牌总表!X188*参数!$B$39)+IF(卡牌总表!AE188&lt;0,卡牌总表!AE188*参数!$B$13,卡牌总表!AE188*参数!$B$12)*参数!$B$2+卡牌总表!AQ188*参数!$B$15+卡牌总表!AB188*参数!$B$11+卡牌总表!AF188*参数!$B$40*参数!$B$2+卡牌总表!AG188*参数!$B$44*参数!$B$2+卡牌总表!AH188*参数!$B$6*参数!$B$2+卡牌总表!AI188*参数!$B$39*参数!$B$2+卡牌总表!AJ188*参数!$B$6*参数!$B$2+卡牌总表!Z188*参数!$B$13-卡牌总表!T188*参数!$B$14-卡牌总表!AD188*参数!$B$13+IF(ISNUMBER(卡牌总表!AU188),卡牌总表!AU188*参数!$B$38,0)-卡牌总表!AV188*参数!$B$41-卡牌总表!AW188*参数!$B$14</f>
        <v>32</v>
      </c>
      <c r="J188">
        <f>IF(AND(卡牌总表!F188="能力",卡牌总表!AL188="能力持续"),(参数!$B$2-1)*参数!$B$3,0)</f>
        <v>0</v>
      </c>
      <c r="K188">
        <f t="shared" si="7"/>
        <v>32</v>
      </c>
      <c r="L188">
        <f>卡牌总表!N188*卡牌总表!O188*参数!$B$5*IF(AND(卡牌总表!F188="能力",卡牌总表!AL188="能力持续"),参数!$B$2,1)+卡牌总表!Q188*参数!$B$6*IF(AND(卡牌总表!F188="能力",卡牌总表!AL188="能力持续"),参数!$B$2,1)+卡牌总表!S188*参数!$B$7*IF(AND(卡牌总表!F188="能力",卡牌总表!AL188="能力持续"),参数!$B$2,1)+卡牌总表!W188*参数!$B$8+IF(卡牌总表!Y188&lt;0,卡牌总表!Y188*参数!$B$13,卡牌总表!Y188*参数!$B$39)+IF(卡牌总表!AE188&lt;0,卡牌总表!AE188*参数!$B$13,卡牌总表!AE188*参数!$B$12)*参数!$B$2+卡牌总表!AR188*参数!$B$15+卡牌总表!AC188*参数!$B$11+卡牌总表!AF188*参数!$B$40*参数!$B$2+卡牌总表!AG188*参数!$B$44*参数!$B$2+卡牌总表!AH188*参数!$B$6*参数!$B$2+卡牌总表!AI188*参数!$B$39*参数!$B$2+卡牌总表!AJ188*参数!$B$6*参数!$B$2+卡牌总表!AA188*参数!$B$13-卡牌总表!U188*参数!$B$14-卡牌总表!AD188*参数!$B$13+IF(ISNUMBER(卡牌总表!AU188),卡牌总表!AU188*参数!$B$38,0)-卡牌总表!AV188*参数!$B$41-卡牌总表!AW188*参数!$B$14</f>
        <v>0</v>
      </c>
      <c r="M188">
        <f>IF(AND(卡牌总表!F188="能力",卡牌总表!AL188="能力持续"),参数!$B$2*参数!$B$3,0)</f>
        <v>0</v>
      </c>
      <c r="N188">
        <f t="shared" si="8"/>
        <v>0</v>
      </c>
      <c r="O188">
        <f>IFERROR(MAX(IF(K188 &gt; 参数!$B$17,参数!$B$17+SQRT(K188-参数!$B$17)*参数!$B$18,K188)-MAX(G188,0)*参数!$B$10,0)/MAX(G188,0.4),0)</f>
        <v>14.035623639735142</v>
      </c>
      <c r="P188">
        <f>IFERROR(MAX(IF(N188 &gt; 参数!$B$17,参数!$B$17+SQRT(N188-参数!$B$17)*参数!$B$18,N188)-MAX(H188,0)*参数!$B$10,0)/MAX(H188,0.4),0)</f>
        <v>0</v>
      </c>
      <c r="Q188">
        <f>卡牌总表!AO188</f>
        <v>0</v>
      </c>
    </row>
    <row r="189" spans="1:17" x14ac:dyDescent="0.3">
      <c r="A189">
        <f t="shared" si="6"/>
        <v>188</v>
      </c>
      <c r="B189" t="str">
        <f>卡牌总表!B189</f>
        <v>defect_echo_form</v>
      </c>
      <c r="C189" t="str">
        <f>卡牌总表!D189</f>
        <v>回响形态</v>
      </c>
      <c r="D189" t="str">
        <f>卡牌总表!F189</f>
        <v>能力</v>
      </c>
      <c r="E189" t="str">
        <f>卡牌总表!AL189</f>
        <v>能力持续</v>
      </c>
      <c r="F189" t="str">
        <f>卡牌总表!AN189</f>
        <v>能力</v>
      </c>
      <c r="G189">
        <f>卡牌总表!AP189</f>
        <v>3</v>
      </c>
      <c r="H189">
        <f>IF(ISNUMBER(卡牌总表!H189),IF(AND(卡牌总表!H189=0,卡牌总表!V189=0,卡牌总表!AK189="none"),0.4,IF(卡牌总表!AK189="exhaust",MAX(卡牌总表!H189-卡牌总表!V189,0.4),IF(卡牌总表!AK189="ethereal",MAX(卡牌总表!H189-卡牌总表!V189,0.4),MAX(卡牌总表!H189-卡牌总表!V189,0.4)))),IF(OR(卡牌总表!H189="X",卡牌总表!H189="∞"),0.4,0.4))</f>
        <v>3</v>
      </c>
      <c r="I189">
        <f>卡牌总表!M189*卡牌总表!O189*参数!$B$5*IF(AND(卡牌总表!F189="能力",卡牌总表!AL189="能力持续"),参数!$B$2,1)+卡牌总表!P189*参数!$B$6*IF(AND(卡牌总表!F189="能力",卡牌总表!AL189="能力持续"),参数!$B$2,1)+卡牌总表!R189*参数!$B$7*IF(AND(卡牌总表!F189="能力",卡牌总表!AL189="能力持续"),参数!$B$2,1)+卡牌总表!V189*参数!$B$8+IF(卡牌总表!X189&lt;0,卡牌总表!X189*参数!$B$13,卡牌总表!X189*参数!$B$39)+IF(卡牌总表!AE189&lt;0,卡牌总表!AE189*参数!$B$13,卡牌总表!AE189*参数!$B$12)*参数!$B$2+卡牌总表!AQ189*参数!$B$15+卡牌总表!AB189*参数!$B$11+卡牌总表!AF189*参数!$B$40*参数!$B$2+卡牌总表!AG189*参数!$B$44*参数!$B$2+卡牌总表!AH189*参数!$B$6*参数!$B$2+卡牌总表!AI189*参数!$B$39*参数!$B$2+卡牌总表!AJ189*参数!$B$6*参数!$B$2+卡牌总表!Z189*参数!$B$13-卡牌总表!T189*参数!$B$14-卡牌总表!AD189*参数!$B$13+IF(ISNUMBER(卡牌总表!AU189),卡牌总表!AU189*参数!$B$38,0)-卡牌总表!AV189*参数!$B$41-卡牌总表!AW189*参数!$B$14</f>
        <v>48</v>
      </c>
      <c r="J189">
        <f>IF(AND(卡牌总表!F189="能力",卡牌总表!AL189="能力持续"),(参数!$B$2-1)*参数!$B$3,0)</f>
        <v>3.5999999999999996</v>
      </c>
      <c r="K189">
        <f t="shared" si="7"/>
        <v>51.6</v>
      </c>
      <c r="L189">
        <f>卡牌总表!N189*卡牌总表!O189*参数!$B$5*IF(AND(卡牌总表!F189="能力",卡牌总表!AL189="能力持续"),参数!$B$2,1)+卡牌总表!Q189*参数!$B$6*IF(AND(卡牌总表!F189="能力",卡牌总表!AL189="能力持续"),参数!$B$2,1)+卡牌总表!S189*参数!$B$7*IF(AND(卡牌总表!F189="能力",卡牌总表!AL189="能力持续"),参数!$B$2,1)+卡牌总表!W189*参数!$B$8+IF(卡牌总表!Y189&lt;0,卡牌总表!Y189*参数!$B$13,卡牌总表!Y189*参数!$B$39)+IF(卡牌总表!AE189&lt;0,卡牌总表!AE189*参数!$B$13,卡牌总表!AE189*参数!$B$12)*参数!$B$2+卡牌总表!AR189*参数!$B$15+卡牌总表!AC189*参数!$B$11+卡牌总表!AF189*参数!$B$40*参数!$B$2+卡牌总表!AG189*参数!$B$44*参数!$B$2+卡牌总表!AH189*参数!$B$6*参数!$B$2+卡牌总表!AI189*参数!$B$39*参数!$B$2+卡牌总表!AJ189*参数!$B$6*参数!$B$2+卡牌总表!AA189*参数!$B$13-卡牌总表!U189*参数!$B$14-卡牌总表!AD189*参数!$B$13+IF(ISNUMBER(卡牌总表!AU189),卡牌总表!AU189*参数!$B$38,0)-卡牌总表!AV189*参数!$B$41-卡牌总表!AW189*参数!$B$14</f>
        <v>0</v>
      </c>
      <c r="M189">
        <f>IF(AND(卡牌总表!F189="能力",卡牌总表!AL189="能力持续"),参数!$B$2*参数!$B$3,0)</f>
        <v>4.8</v>
      </c>
      <c r="N189">
        <f t="shared" si="8"/>
        <v>4.8</v>
      </c>
      <c r="O189">
        <f>IFERROR(MAX(IF(K189 &gt; 参数!$B$17,参数!$B$17+SQRT(K189-参数!$B$17)*参数!$B$18,K189)-MAX(G189,0)*参数!$B$10,0)/MAX(G189,0.4),0)</f>
        <v>3.5582364326527531</v>
      </c>
      <c r="P189">
        <f>IFERROR(MAX(IF(N189 &gt; 参数!$B$17,参数!$B$17+SQRT(N189-参数!$B$17)*参数!$B$18,N189)-MAX(H189,0)*参数!$B$10,0)/MAX(H189,0.4),0)</f>
        <v>0</v>
      </c>
      <c r="Q189">
        <f>卡牌总表!AO189</f>
        <v>0</v>
      </c>
    </row>
    <row r="190" spans="1:17" x14ac:dyDescent="0.3">
      <c r="A190">
        <f t="shared" si="6"/>
        <v>189</v>
      </c>
      <c r="B190" t="str">
        <f>卡牌总表!B190</f>
        <v>defect_energy_surge</v>
      </c>
      <c r="C190" t="str">
        <f>卡牌总表!D190</f>
        <v>能量涌动</v>
      </c>
      <c r="D190" t="str">
        <f>卡牌总表!F190</f>
        <v>技能</v>
      </c>
      <c r="E190">
        <f>卡牌总表!AL190</f>
        <v>0</v>
      </c>
      <c r="F190">
        <f>卡牌总表!AN190</f>
        <v>0</v>
      </c>
      <c r="G190">
        <f>卡牌总表!AP190</f>
        <v>0.4</v>
      </c>
      <c r="H190">
        <f>IF(ISNUMBER(卡牌总表!H190),IF(AND(卡牌总表!H190=0,卡牌总表!V190=0,卡牌总表!AK190="none"),0.4,IF(卡牌总表!AK190="exhaust",MAX(卡牌总表!H190-卡牌总表!V190,0.4),IF(卡牌总表!AK190="ethereal",MAX(卡牌总表!H190-卡牌总表!V190,0.4),MAX(卡牌总表!H190-卡牌总表!V190,0.4)))),IF(OR(卡牌总表!H190="X",卡牌总表!H190="∞"),0.4,0.4))</f>
        <v>0.4</v>
      </c>
      <c r="I190">
        <f>卡牌总表!M190*卡牌总表!O190*参数!$B$5*IF(AND(卡牌总表!F190="能力",卡牌总表!AL190="能力持续"),参数!$B$2,1)+卡牌总表!P190*参数!$B$6*IF(AND(卡牌总表!F190="能力",卡牌总表!AL190="能力持续"),参数!$B$2,1)+卡牌总表!R190*参数!$B$7*IF(AND(卡牌总表!F190="能力",卡牌总表!AL190="能力持续"),参数!$B$2,1)+卡牌总表!V190*参数!$B$8+IF(卡牌总表!X190&lt;0,卡牌总表!X190*参数!$B$13,卡牌总表!X190*参数!$B$39)+IF(卡牌总表!AE190&lt;0,卡牌总表!AE190*参数!$B$13,卡牌总表!AE190*参数!$B$12)*参数!$B$2+卡牌总表!AQ190*参数!$B$15+卡牌总表!AB190*参数!$B$11+卡牌总表!AF190*参数!$B$40*参数!$B$2+卡牌总表!AG190*参数!$B$44*参数!$B$2+卡牌总表!AH190*参数!$B$6*参数!$B$2+卡牌总表!AI190*参数!$B$39*参数!$B$2+卡牌总表!AJ190*参数!$B$6*参数!$B$2+卡牌总表!Z190*参数!$B$13-卡牌总表!T190*参数!$B$14-卡牌总表!AD190*参数!$B$13+IF(ISNUMBER(卡牌总表!AU190),卡牌总表!AU190*参数!$B$38,0)-卡牌总表!AV190*参数!$B$41-卡牌总表!AW190*参数!$B$14</f>
        <v>6</v>
      </c>
      <c r="J190">
        <f>IF(AND(卡牌总表!F190="能力",卡牌总表!AL190="能力持续"),(参数!$B$2-1)*参数!$B$3,0)</f>
        <v>0</v>
      </c>
      <c r="K190">
        <f t="shared" si="7"/>
        <v>6</v>
      </c>
      <c r="L190">
        <f>卡牌总表!N190*卡牌总表!O190*参数!$B$5*IF(AND(卡牌总表!F190="能力",卡牌总表!AL190="能力持续"),参数!$B$2,1)+卡牌总表!Q190*参数!$B$6*IF(AND(卡牌总表!F190="能力",卡牌总表!AL190="能力持续"),参数!$B$2,1)+卡牌总表!S190*参数!$B$7*IF(AND(卡牌总表!F190="能力",卡牌总表!AL190="能力持续"),参数!$B$2,1)+卡牌总表!W190*参数!$B$8+IF(卡牌总表!Y190&lt;0,卡牌总表!Y190*参数!$B$13,卡牌总表!Y190*参数!$B$39)+IF(卡牌总表!AE190&lt;0,卡牌总表!AE190*参数!$B$13,卡牌总表!AE190*参数!$B$12)*参数!$B$2+卡牌总表!AR190*参数!$B$15+卡牌总表!AC190*参数!$B$11+卡牌总表!AF190*参数!$B$40*参数!$B$2+卡牌总表!AG190*参数!$B$44*参数!$B$2+卡牌总表!AH190*参数!$B$6*参数!$B$2+卡牌总表!AI190*参数!$B$39*参数!$B$2+卡牌总表!AJ190*参数!$B$6*参数!$B$2+卡牌总表!AA190*参数!$B$13-卡牌总表!U190*参数!$B$14-卡牌总表!AD190*参数!$B$13+IF(ISNUMBER(卡牌总表!AU190),卡牌总表!AU190*参数!$B$38,0)-卡牌总表!AV190*参数!$B$41-卡牌总表!AW190*参数!$B$14</f>
        <v>9</v>
      </c>
      <c r="M190">
        <f>IF(AND(卡牌总表!F190="能力",卡牌总表!AL190="能力持续"),参数!$B$2*参数!$B$3,0)</f>
        <v>0</v>
      </c>
      <c r="N190">
        <f t="shared" si="8"/>
        <v>9</v>
      </c>
      <c r="O190">
        <f>IFERROR(MAX(IF(K190 &gt; 参数!$B$17,参数!$B$17+SQRT(K190-参数!$B$17)*参数!$B$18,K190)-MAX(G190,0)*参数!$B$10,0)/MAX(G190,0.4),0)</f>
        <v>11.999999999999998</v>
      </c>
      <c r="P190">
        <f>IFERROR(MAX(IF(N190 &gt; 参数!$B$17,参数!$B$17+SQRT(N190-参数!$B$17)*参数!$B$18,N190)-MAX(H190,0)*参数!$B$10,0)/MAX(H190,0.4),0)</f>
        <v>19.5</v>
      </c>
      <c r="Q190">
        <f>卡牌总表!AO190</f>
        <v>0</v>
      </c>
    </row>
    <row r="191" spans="1:17" x14ac:dyDescent="0.3">
      <c r="A191">
        <f t="shared" si="6"/>
        <v>190</v>
      </c>
      <c r="B191" t="str">
        <f>卡牌总表!B191</f>
        <v>defect_feral</v>
      </c>
      <c r="C191" t="str">
        <f>卡牌总表!D191</f>
        <v>野性</v>
      </c>
      <c r="D191" t="str">
        <f>卡牌总表!F191</f>
        <v>能力</v>
      </c>
      <c r="E191" t="str">
        <f>卡牌总表!AL191</f>
        <v>能力持续</v>
      </c>
      <c r="F191" t="str">
        <f>卡牌总表!AN191</f>
        <v>能力</v>
      </c>
      <c r="G191">
        <f>卡牌总表!AP191</f>
        <v>2</v>
      </c>
      <c r="H191">
        <f>IF(ISNUMBER(卡牌总表!H191),IF(AND(卡牌总表!H191=0,卡牌总表!V191=0,卡牌总表!AK191="none"),0.4,IF(卡牌总表!AK191="exhaust",MAX(卡牌总表!H191-卡牌总表!V191,0.4),IF(卡牌总表!AK191="ethereal",MAX(卡牌总表!H191-卡牌总表!V191,0.4),MAX(卡牌总表!H191-卡牌总表!V191,0.4)))),IF(OR(卡牌总表!H191="X",卡牌总表!H191="∞"),0.4,0.4))</f>
        <v>2</v>
      </c>
      <c r="I191">
        <f>卡牌总表!M191*卡牌总表!O191*参数!$B$5*IF(AND(卡牌总表!F191="能力",卡牌总表!AL191="能力持续"),参数!$B$2,1)+卡牌总表!P191*参数!$B$6*IF(AND(卡牌总表!F191="能力",卡牌总表!AL191="能力持续"),参数!$B$2,1)+卡牌总表!R191*参数!$B$7*IF(AND(卡牌总表!F191="能力",卡牌总表!AL191="能力持续"),参数!$B$2,1)+卡牌总表!V191*参数!$B$8+IF(卡牌总表!X191&lt;0,卡牌总表!X191*参数!$B$13,卡牌总表!X191*参数!$B$39)+IF(卡牌总表!AE191&lt;0,卡牌总表!AE191*参数!$B$13,卡牌总表!AE191*参数!$B$12)*参数!$B$2+卡牌总表!AQ191*参数!$B$15+卡牌总表!AB191*参数!$B$11+卡牌总表!AF191*参数!$B$40*参数!$B$2+卡牌总表!AG191*参数!$B$44*参数!$B$2+卡牌总表!AH191*参数!$B$6*参数!$B$2+卡牌总表!AI191*参数!$B$39*参数!$B$2+卡牌总表!AJ191*参数!$B$6*参数!$B$2+卡牌总表!Z191*参数!$B$13-卡牌总表!T191*参数!$B$14-卡牌总表!AD191*参数!$B$13+IF(ISNUMBER(卡牌总表!AU191),卡牌总表!AU191*参数!$B$38,0)-卡牌总表!AV191*参数!$B$41-卡牌总表!AW191*参数!$B$14</f>
        <v>24</v>
      </c>
      <c r="J191">
        <f>IF(AND(卡牌总表!F191="能力",卡牌总表!AL191="能力持续"),(参数!$B$2-1)*参数!$B$3,0)</f>
        <v>3.5999999999999996</v>
      </c>
      <c r="K191">
        <f t="shared" si="7"/>
        <v>27.6</v>
      </c>
      <c r="L191">
        <f>卡牌总表!N191*卡牌总表!O191*参数!$B$5*IF(AND(卡牌总表!F191="能力",卡牌总表!AL191="能力持续"),参数!$B$2,1)+卡牌总表!Q191*参数!$B$6*IF(AND(卡牌总表!F191="能力",卡牌总表!AL191="能力持续"),参数!$B$2,1)+卡牌总表!S191*参数!$B$7*IF(AND(卡牌总表!F191="能力",卡牌总表!AL191="能力持续"),参数!$B$2,1)+卡牌总表!W191*参数!$B$8+IF(卡牌总表!Y191&lt;0,卡牌总表!Y191*参数!$B$13,卡牌总表!Y191*参数!$B$39)+IF(卡牌总表!AE191&lt;0,卡牌总表!AE191*参数!$B$13,卡牌总表!AE191*参数!$B$12)*参数!$B$2+卡牌总表!AR191*参数!$B$15+卡牌总表!AC191*参数!$B$11+卡牌总表!AF191*参数!$B$40*参数!$B$2+卡牌总表!AG191*参数!$B$44*参数!$B$2+卡牌总表!AH191*参数!$B$6*参数!$B$2+卡牌总表!AI191*参数!$B$39*参数!$B$2+卡牌总表!AJ191*参数!$B$6*参数!$B$2+卡牌总表!AA191*参数!$B$13-卡牌总表!U191*参数!$B$14-卡牌总表!AD191*参数!$B$13+IF(ISNUMBER(卡牌总表!AU191),卡牌总表!AU191*参数!$B$38,0)-卡牌总表!AV191*参数!$B$41-卡牌总表!AW191*参数!$B$14</f>
        <v>0</v>
      </c>
      <c r="M191">
        <f>IF(AND(卡牌总表!F191="能力",卡牌总表!AL191="能力持续"),参数!$B$2*参数!$B$3,0)</f>
        <v>4.8</v>
      </c>
      <c r="N191">
        <f t="shared" si="8"/>
        <v>4.8</v>
      </c>
      <c r="O191">
        <f>IFERROR(MAX(IF(K191 &gt; 参数!$B$17,参数!$B$17+SQRT(K191-参数!$B$17)*参数!$B$18,K191)-MAX(G191,0)*参数!$B$10,0)/MAX(G191,0.4),0)</f>
        <v>5.1464265445104544</v>
      </c>
      <c r="P191">
        <f>IFERROR(MAX(IF(N191 &gt; 参数!$B$17,参数!$B$17+SQRT(N191-参数!$B$17)*参数!$B$18,N191)-MAX(H191,0)*参数!$B$10,0)/MAX(H191,0.4),0)</f>
        <v>0</v>
      </c>
      <c r="Q191">
        <f>卡牌总表!AO191</f>
        <v>0</v>
      </c>
    </row>
    <row r="192" spans="1:17" x14ac:dyDescent="0.3">
      <c r="A192">
        <f t="shared" si="6"/>
        <v>191</v>
      </c>
      <c r="B192" t="str">
        <f>卡牌总表!B192</f>
        <v>defect_fight_through</v>
      </c>
      <c r="C192" t="str">
        <f>卡牌总表!D192</f>
        <v>强撑</v>
      </c>
      <c r="D192" t="str">
        <f>卡牌总表!F192</f>
        <v>技能</v>
      </c>
      <c r="E192">
        <f>卡牌总表!AL192</f>
        <v>0</v>
      </c>
      <c r="F192">
        <f>卡牌总表!AN192</f>
        <v>0</v>
      </c>
      <c r="G192">
        <f>卡牌总表!AP192</f>
        <v>1</v>
      </c>
      <c r="H192">
        <f>IF(ISNUMBER(卡牌总表!H192),IF(AND(卡牌总表!H192=0,卡牌总表!V192=0,卡牌总表!AK192="none"),0.4,IF(卡牌总表!AK192="exhaust",MAX(卡牌总表!H192-卡牌总表!V192,0.4),IF(卡牌总表!AK192="ethereal",MAX(卡牌总表!H192-卡牌总表!V192,0.4),MAX(卡牌总表!H192-卡牌总表!V192,0.4)))),IF(OR(卡牌总表!H192="X",卡牌总表!H192="∞"),0.4,0.4))</f>
        <v>1</v>
      </c>
      <c r="I192">
        <f>卡牌总表!M192*卡牌总表!O192*参数!$B$5*IF(AND(卡牌总表!F192="能力",卡牌总表!AL192="能力持续"),参数!$B$2,1)+卡牌总表!P192*参数!$B$6*IF(AND(卡牌总表!F192="能力",卡牌总表!AL192="能力持续"),参数!$B$2,1)+卡牌总表!R192*参数!$B$7*IF(AND(卡牌总表!F192="能力",卡牌总表!AL192="能力持续"),参数!$B$2,1)+卡牌总表!V192*参数!$B$8+IF(卡牌总表!X192&lt;0,卡牌总表!X192*参数!$B$13,卡牌总表!X192*参数!$B$39)+IF(卡牌总表!AE192&lt;0,卡牌总表!AE192*参数!$B$13,卡牌总表!AE192*参数!$B$12)*参数!$B$2+卡牌总表!AQ192*参数!$B$15+卡牌总表!AB192*参数!$B$11+卡牌总表!AF192*参数!$B$40*参数!$B$2+卡牌总表!AG192*参数!$B$44*参数!$B$2+卡牌总表!AH192*参数!$B$6*参数!$B$2+卡牌总表!AI192*参数!$B$39*参数!$B$2+卡牌总表!AJ192*参数!$B$6*参数!$B$2+卡牌总表!Z192*参数!$B$13-卡牌总表!T192*参数!$B$14-卡牌总表!AD192*参数!$B$13+IF(ISNUMBER(卡牌总表!AU192),卡牌总表!AU192*参数!$B$38,0)-卡牌总表!AV192*参数!$B$41-卡牌总表!AW192*参数!$B$14</f>
        <v>11.3</v>
      </c>
      <c r="J192">
        <f>IF(AND(卡牌总表!F192="能力",卡牌总表!AL192="能力持续"),(参数!$B$2-1)*参数!$B$3,0)</f>
        <v>0</v>
      </c>
      <c r="K192">
        <f t="shared" si="7"/>
        <v>11.3</v>
      </c>
      <c r="L192">
        <f>卡牌总表!N192*卡牌总表!O192*参数!$B$5*IF(AND(卡牌总表!F192="能力",卡牌总表!AL192="能力持续"),参数!$B$2,1)+卡牌总表!Q192*参数!$B$6*IF(AND(卡牌总表!F192="能力",卡牌总表!AL192="能力持续"),参数!$B$2,1)+卡牌总表!S192*参数!$B$7*IF(AND(卡牌总表!F192="能力",卡牌总表!AL192="能力持续"),参数!$B$2,1)+卡牌总表!W192*参数!$B$8+IF(卡牌总表!Y192&lt;0,卡牌总表!Y192*参数!$B$13,卡牌总表!Y192*参数!$B$39)+IF(卡牌总表!AE192&lt;0,卡牌总表!AE192*参数!$B$13,卡牌总表!AE192*参数!$B$12)*参数!$B$2+卡牌总表!AR192*参数!$B$15+卡牌总表!AC192*参数!$B$11+卡牌总表!AF192*参数!$B$40*参数!$B$2+卡牌总表!AG192*参数!$B$44*参数!$B$2+卡牌总表!AH192*参数!$B$6*参数!$B$2+卡牌总表!AI192*参数!$B$39*参数!$B$2+卡牌总表!AJ192*参数!$B$6*参数!$B$2+卡牌总表!AA192*参数!$B$13-卡牌总表!U192*参数!$B$14-卡牌总表!AD192*参数!$B$13+IF(ISNUMBER(卡牌总表!AU192),卡牌总表!AU192*参数!$B$38,0)-卡牌总表!AV192*参数!$B$41-卡牌总表!AW192*参数!$B$14</f>
        <v>15.700000000000003</v>
      </c>
      <c r="M192">
        <f>IF(AND(卡牌总表!F192="能力",卡牌总表!AL192="能力持续"),参数!$B$2*参数!$B$3,0)</f>
        <v>0</v>
      </c>
      <c r="N192">
        <f t="shared" si="8"/>
        <v>15.700000000000003</v>
      </c>
      <c r="O192">
        <f>IFERROR(MAX(IF(K192 &gt; 参数!$B$17,参数!$B$17+SQRT(K192-参数!$B$17)*参数!$B$18,K192)-MAX(G192,0)*参数!$B$10,0)/MAX(G192,0.4),0)</f>
        <v>8.7102631376487079</v>
      </c>
      <c r="P192">
        <f>IFERROR(MAX(IF(N192 &gt; 参数!$B$17,参数!$B$17+SQRT(N192-参数!$B$17)*参数!$B$18,N192)-MAX(H192,0)*参数!$B$10,0)/MAX(H192,0.4),0)</f>
        <v>10.581200915893998</v>
      </c>
      <c r="Q192">
        <f>卡牌总表!AO192</f>
        <v>0</v>
      </c>
    </row>
    <row r="193" spans="1:17" x14ac:dyDescent="0.3">
      <c r="A193">
        <f t="shared" si="6"/>
        <v>192</v>
      </c>
      <c r="B193" t="str">
        <f>卡牌总表!B193</f>
        <v>defect_flak_cannon</v>
      </c>
      <c r="C193" t="str">
        <f>卡牌总表!D193</f>
        <v>散射炮</v>
      </c>
      <c r="D193" t="str">
        <f>卡牌总表!F193</f>
        <v>攻击</v>
      </c>
      <c r="E193">
        <f>卡牌总表!AL193</f>
        <v>0</v>
      </c>
      <c r="F193">
        <f>卡牌总表!AN193</f>
        <v>0</v>
      </c>
      <c r="G193">
        <f>卡牌总表!AP193</f>
        <v>2</v>
      </c>
      <c r="H193">
        <f>IF(ISNUMBER(卡牌总表!H193),IF(AND(卡牌总表!H193=0,卡牌总表!V193=0,卡牌总表!AK193="none"),0.4,IF(卡牌总表!AK193="exhaust",MAX(卡牌总表!H193-卡牌总表!V193,0.4),IF(卡牌总表!AK193="ethereal",MAX(卡牌总表!H193-卡牌总表!V193,0.4),MAX(卡牌总表!H193-卡牌总表!V193,0.4)))),IF(OR(卡牌总表!H193="X",卡牌总表!H193="∞"),0.4,0.4))</f>
        <v>2</v>
      </c>
      <c r="I193">
        <f>卡牌总表!M193*卡牌总表!O193*参数!$B$5*IF(AND(卡牌总表!F193="能力",卡牌总表!AL193="能力持续"),参数!$B$2,1)+卡牌总表!P193*参数!$B$6*IF(AND(卡牌总表!F193="能力",卡牌总表!AL193="能力持续"),参数!$B$2,1)+卡牌总表!R193*参数!$B$7*IF(AND(卡牌总表!F193="能力",卡牌总表!AL193="能力持续"),参数!$B$2,1)+卡牌总表!V193*参数!$B$8+IF(卡牌总表!X193&lt;0,卡牌总表!X193*参数!$B$13,卡牌总表!X193*参数!$B$39)+IF(卡牌总表!AE193&lt;0,卡牌总表!AE193*参数!$B$13,卡牌总表!AE193*参数!$B$12)*参数!$B$2+卡牌总表!AQ193*参数!$B$15+卡牌总表!AB193*参数!$B$11+卡牌总表!AF193*参数!$B$40*参数!$B$2+卡牌总表!AG193*参数!$B$44*参数!$B$2+卡牌总表!AH193*参数!$B$6*参数!$B$2+卡牌总表!AI193*参数!$B$39*参数!$B$2+卡牌总表!AJ193*参数!$B$6*参数!$B$2+卡牌总表!Z193*参数!$B$13-卡牌总表!T193*参数!$B$14-卡牌总表!AD193*参数!$B$13+IF(ISNUMBER(卡牌总表!AU193),卡牌总表!AU193*参数!$B$38,0)-卡牌总表!AV193*参数!$B$41-卡牌总表!AW193*参数!$B$14</f>
        <v>24</v>
      </c>
      <c r="J193">
        <f>IF(AND(卡牌总表!F193="能力",卡牌总表!AL193="能力持续"),(参数!$B$2-1)*参数!$B$3,0)</f>
        <v>0</v>
      </c>
      <c r="K193">
        <f t="shared" si="7"/>
        <v>24</v>
      </c>
      <c r="L193">
        <f>卡牌总表!N193*卡牌总表!O193*参数!$B$5*IF(AND(卡牌总表!F193="能力",卡牌总表!AL193="能力持续"),参数!$B$2,1)+卡牌总表!Q193*参数!$B$6*IF(AND(卡牌总表!F193="能力",卡牌总表!AL193="能力持续"),参数!$B$2,1)+卡牌总表!S193*参数!$B$7*IF(AND(卡牌总表!F193="能力",卡牌总表!AL193="能力持续"),参数!$B$2,1)+卡牌总表!W193*参数!$B$8+IF(卡牌总表!Y193&lt;0,卡牌总表!Y193*参数!$B$13,卡牌总表!Y193*参数!$B$39)+IF(卡牌总表!AE193&lt;0,卡牌总表!AE193*参数!$B$13,卡牌总表!AE193*参数!$B$12)*参数!$B$2+卡牌总表!AR193*参数!$B$15+卡牌总表!AC193*参数!$B$11+卡牌总表!AF193*参数!$B$40*参数!$B$2+卡牌总表!AG193*参数!$B$44*参数!$B$2+卡牌总表!AH193*参数!$B$6*参数!$B$2+卡牌总表!AI193*参数!$B$39*参数!$B$2+卡牌总表!AJ193*参数!$B$6*参数!$B$2+卡牌总表!AA193*参数!$B$13-卡牌总表!U193*参数!$B$14-卡牌总表!AD193*参数!$B$13+IF(ISNUMBER(卡牌总表!AU193),卡牌总表!AU193*参数!$B$38,0)-卡牌总表!AV193*参数!$B$41-卡牌总表!AW193*参数!$B$14</f>
        <v>33</v>
      </c>
      <c r="M193">
        <f>IF(AND(卡牌总表!F193="能力",卡牌总表!AL193="能力持续"),参数!$B$2*参数!$B$3,0)</f>
        <v>0</v>
      </c>
      <c r="N193">
        <f t="shared" si="8"/>
        <v>33</v>
      </c>
      <c r="O193">
        <f>IFERROR(MAX(IF(K193 &gt; 参数!$B$17,参数!$B$17+SQRT(K193-参数!$B$17)*参数!$B$18,K193)-MAX(G193,0)*参数!$B$10,0)/MAX(G193,0.4),0)</f>
        <v>4.8062430400804566</v>
      </c>
      <c r="P193">
        <f>IFERROR(MAX(IF(N193 &gt; 参数!$B$17,参数!$B$17+SQRT(N193-参数!$B$17)*参数!$B$18,N193)-MAX(H193,0)*参数!$B$10,0)/MAX(H193,0.4),0)</f>
        <v>5.5968736424845389</v>
      </c>
      <c r="Q193" t="str">
        <f>卡牌总表!AO193</f>
        <v>含消耗其他牌效果</v>
      </c>
    </row>
    <row r="194" spans="1:17" x14ac:dyDescent="0.3">
      <c r="A194">
        <f t="shared" ref="A194:A257" si="9">ROW()-1</f>
        <v>193</v>
      </c>
      <c r="B194" t="str">
        <f>卡牌总表!B194</f>
        <v>defect_focused_strike</v>
      </c>
      <c r="C194" t="str">
        <f>卡牌总表!D194</f>
        <v>集中打击</v>
      </c>
      <c r="D194" t="str">
        <f>卡牌总表!F194</f>
        <v>攻击</v>
      </c>
      <c r="E194">
        <f>卡牌总表!AL194</f>
        <v>0</v>
      </c>
      <c r="F194" t="str">
        <f>卡牌总表!AN194</f>
        <v>本回合</v>
      </c>
      <c r="G194">
        <f>卡牌总表!AP194</f>
        <v>1</v>
      </c>
      <c r="H194">
        <f>IF(ISNUMBER(卡牌总表!H194),IF(AND(卡牌总表!H194=0,卡牌总表!V194=0,卡牌总表!AK194="none"),0.4,IF(卡牌总表!AK194="exhaust",MAX(卡牌总表!H194-卡牌总表!V194,0.4),IF(卡牌总表!AK194="ethereal",MAX(卡牌总表!H194-卡牌总表!V194,0.4),MAX(卡牌总表!H194-卡牌总表!V194,0.4)))),IF(OR(卡牌总表!H194="X",卡牌总表!H194="∞"),0.4,0.4))</f>
        <v>1</v>
      </c>
      <c r="I194">
        <f>卡牌总表!M194*卡牌总表!O194*参数!$B$5*IF(AND(卡牌总表!F194="能力",卡牌总表!AL194="能力持续"),参数!$B$2,1)+卡牌总表!P194*参数!$B$6*IF(AND(卡牌总表!F194="能力",卡牌总表!AL194="能力持续"),参数!$B$2,1)+卡牌总表!R194*参数!$B$7*IF(AND(卡牌总表!F194="能力",卡牌总表!AL194="能力持续"),参数!$B$2,1)+卡牌总表!V194*参数!$B$8+IF(卡牌总表!X194&lt;0,卡牌总表!X194*参数!$B$13,卡牌总表!X194*参数!$B$39)+IF(卡牌总表!AE194&lt;0,卡牌总表!AE194*参数!$B$13,卡牌总表!AE194*参数!$B$12)*参数!$B$2+卡牌总表!AQ194*参数!$B$15+卡牌总表!AB194*参数!$B$11+卡牌总表!AF194*参数!$B$40*参数!$B$2+卡牌总表!AG194*参数!$B$44*参数!$B$2+卡牌总表!AH194*参数!$B$6*参数!$B$2+卡牌总表!AI194*参数!$B$39*参数!$B$2+卡牌总表!AJ194*参数!$B$6*参数!$B$2+卡牌总表!Z194*参数!$B$13-卡牌总表!T194*参数!$B$14-卡牌总表!AD194*参数!$B$13+IF(ISNUMBER(卡牌总表!AU194),卡牌总表!AU194*参数!$B$38,0)-卡牌总表!AV194*参数!$B$41-卡牌总表!AW194*参数!$B$14</f>
        <v>14.2</v>
      </c>
      <c r="J194">
        <f>IF(AND(卡牌总表!F194="能力",卡牌总表!AL194="能力持续"),(参数!$B$2-1)*参数!$B$3,0)</f>
        <v>0</v>
      </c>
      <c r="K194">
        <f t="shared" ref="K194:K257" si="10">I194+J194</f>
        <v>14.2</v>
      </c>
      <c r="L194">
        <f>卡牌总表!N194*卡牌总表!O194*参数!$B$5*IF(AND(卡牌总表!F194="能力",卡牌总表!AL194="能力持续"),参数!$B$2,1)+卡牌总表!Q194*参数!$B$6*IF(AND(卡牌总表!F194="能力",卡牌总表!AL194="能力持续"),参数!$B$2,1)+卡牌总表!S194*参数!$B$7*IF(AND(卡牌总表!F194="能力",卡牌总表!AL194="能力持续"),参数!$B$2,1)+卡牌总表!W194*参数!$B$8+IF(卡牌总表!Y194&lt;0,卡牌总表!Y194*参数!$B$13,卡牌总表!Y194*参数!$B$39)+IF(卡牌总表!AE194&lt;0,卡牌总表!AE194*参数!$B$13,卡牌总表!AE194*参数!$B$12)*参数!$B$2+卡牌总表!AR194*参数!$B$15+卡牌总表!AC194*参数!$B$11+卡牌总表!AF194*参数!$B$40*参数!$B$2+卡牌总表!AG194*参数!$B$44*参数!$B$2+卡牌总表!AH194*参数!$B$6*参数!$B$2+卡牌总表!AI194*参数!$B$39*参数!$B$2+卡牌总表!AJ194*参数!$B$6*参数!$B$2+卡牌总表!AA194*参数!$B$13-卡牌总表!U194*参数!$B$14-卡牌总表!AD194*参数!$B$13+IF(ISNUMBER(卡牌总表!AU194),卡牌总表!AU194*参数!$B$38,0)-卡牌总表!AV194*参数!$B$41-卡牌总表!AW194*参数!$B$14</f>
        <v>16.2</v>
      </c>
      <c r="M194">
        <f>IF(AND(卡牌总表!F194="能力",卡牌总表!AL194="能力持续"),参数!$B$2*参数!$B$3,0)</f>
        <v>0</v>
      </c>
      <c r="N194">
        <f t="shared" ref="N194:N257" si="11">L194+M194</f>
        <v>16.2</v>
      </c>
      <c r="O194">
        <f>IFERROR(MAX(IF(K194 &gt; 参数!$B$17,参数!$B$17+SQRT(K194-参数!$B$17)*参数!$B$18,K194)-MAX(G194,0)*参数!$B$10,0)/MAX(G194,0.4),0)</f>
        <v>10.07408522978788</v>
      </c>
      <c r="P194">
        <f>IFERROR(MAX(IF(N194 &gt; 参数!$B$17,参数!$B$17+SQRT(N194-参数!$B$17)*参数!$B$18,N194)-MAX(H194,0)*参数!$B$10,0)/MAX(H194,0.4),0)</f>
        <v>10.734969879396619</v>
      </c>
      <c r="Q194">
        <f>卡牌总表!AO194</f>
        <v>0</v>
      </c>
    </row>
    <row r="195" spans="1:17" x14ac:dyDescent="0.3">
      <c r="A195">
        <f t="shared" si="9"/>
        <v>194</v>
      </c>
      <c r="B195" t="str">
        <f>卡牌总表!B195</f>
        <v>defect_ftl</v>
      </c>
      <c r="C195" t="str">
        <f>卡牌总表!D195</f>
        <v>超光速</v>
      </c>
      <c r="D195" t="str">
        <f>卡牌总表!F195</f>
        <v>攻击</v>
      </c>
      <c r="E195">
        <f>卡牌总表!AL195</f>
        <v>0</v>
      </c>
      <c r="F195" t="str">
        <f>卡牌总表!AN195</f>
        <v>本回合</v>
      </c>
      <c r="G195">
        <f>卡牌总表!AP195</f>
        <v>0.4</v>
      </c>
      <c r="H195">
        <f>IF(ISNUMBER(卡牌总表!H195),IF(AND(卡牌总表!H195=0,卡牌总表!V195=0,卡牌总表!AK195="none"),0.4,IF(卡牌总表!AK195="exhaust",MAX(卡牌总表!H195-卡牌总表!V195,0.4),IF(卡牌总表!AK195="ethereal",MAX(卡牌总表!H195-卡牌总表!V195,0.4),MAX(卡牌总表!H195-卡牌总表!V195,0.4)))),IF(OR(卡牌总表!H195="X",卡牌总表!H195="∞"),0.4,0.4))</f>
        <v>0.4</v>
      </c>
      <c r="I195">
        <f>卡牌总表!M195*卡牌总表!O195*参数!$B$5*IF(AND(卡牌总表!F195="能力",卡牌总表!AL195="能力持续"),参数!$B$2,1)+卡牌总表!P195*参数!$B$6*IF(AND(卡牌总表!F195="能力",卡牌总表!AL195="能力持续"),参数!$B$2,1)+卡牌总表!R195*参数!$B$7*IF(AND(卡牌总表!F195="能力",卡牌总表!AL195="能力持续"),参数!$B$2,1)+卡牌总表!V195*参数!$B$8+IF(卡牌总表!X195&lt;0,卡牌总表!X195*参数!$B$13,卡牌总表!X195*参数!$B$39)+IF(卡牌总表!AE195&lt;0,卡牌总表!AE195*参数!$B$13,卡牌总表!AE195*参数!$B$12)*参数!$B$2+卡牌总表!AQ195*参数!$B$15+卡牌总表!AB195*参数!$B$11+卡牌总表!AF195*参数!$B$40*参数!$B$2+卡牌总表!AG195*参数!$B$44*参数!$B$2+卡牌总表!AH195*参数!$B$6*参数!$B$2+卡牌总表!AI195*参数!$B$39*参数!$B$2+卡牌总表!AJ195*参数!$B$6*参数!$B$2+卡牌总表!Z195*参数!$B$13-卡牌总表!T195*参数!$B$14-卡牌总表!AD195*参数!$B$13+IF(ISNUMBER(卡牌总表!AU195),卡牌总表!AU195*参数!$B$38,0)-卡牌总表!AV195*参数!$B$41-卡牌总表!AW195*参数!$B$14</f>
        <v>5.7</v>
      </c>
      <c r="J195">
        <f>IF(AND(卡牌总表!F195="能力",卡牌总表!AL195="能力持续"),(参数!$B$2-1)*参数!$B$3,0)</f>
        <v>0</v>
      </c>
      <c r="K195">
        <f t="shared" si="10"/>
        <v>5.7</v>
      </c>
      <c r="L195">
        <f>卡牌总表!N195*卡牌总表!O195*参数!$B$5*IF(AND(卡牌总表!F195="能力",卡牌总表!AL195="能力持续"),参数!$B$2,1)+卡牌总表!Q195*参数!$B$6*IF(AND(卡牌总表!F195="能力",卡牌总表!AL195="能力持续"),参数!$B$2,1)+卡牌总表!S195*参数!$B$7*IF(AND(卡牌总表!F195="能力",卡牌总表!AL195="能力持续"),参数!$B$2,1)+卡牌总表!W195*参数!$B$8+IF(卡牌总表!Y195&lt;0,卡牌总表!Y195*参数!$B$13,卡牌总表!Y195*参数!$B$39)+IF(卡牌总表!AE195&lt;0,卡牌总表!AE195*参数!$B$13,卡牌总表!AE195*参数!$B$12)*参数!$B$2+卡牌总表!AR195*参数!$B$15+卡牌总表!AC195*参数!$B$11+卡牌总表!AF195*参数!$B$40*参数!$B$2+卡牌总表!AG195*参数!$B$44*参数!$B$2+卡牌总表!AH195*参数!$B$6*参数!$B$2+卡牌总表!AI195*参数!$B$39*参数!$B$2+卡牌总表!AJ195*参数!$B$6*参数!$B$2+卡牌总表!AA195*参数!$B$13-卡牌总表!U195*参数!$B$14-卡牌总表!AD195*参数!$B$13+IF(ISNUMBER(卡牌总表!AU195),卡牌总表!AU195*参数!$B$38,0)-卡牌总表!AV195*参数!$B$41-卡牌总表!AW195*参数!$B$14</f>
        <v>6.7</v>
      </c>
      <c r="M195">
        <f>IF(AND(卡牌总表!F195="能力",卡牌总表!AL195="能力持续"),参数!$B$2*参数!$B$3,0)</f>
        <v>0</v>
      </c>
      <c r="N195">
        <f t="shared" si="11"/>
        <v>6.7</v>
      </c>
      <c r="O195">
        <f>IFERROR(MAX(IF(K195 &gt; 参数!$B$17,参数!$B$17+SQRT(K195-参数!$B$17)*参数!$B$18,K195)-MAX(G195,0)*参数!$B$10,0)/MAX(G195,0.4),0)</f>
        <v>11.25</v>
      </c>
      <c r="P195">
        <f>IFERROR(MAX(IF(N195 &gt; 参数!$B$17,参数!$B$17+SQRT(N195-参数!$B$17)*参数!$B$18,N195)-MAX(H195,0)*参数!$B$10,0)/MAX(H195,0.4),0)</f>
        <v>13.75</v>
      </c>
      <c r="Q195">
        <f>卡牌总表!AO195</f>
        <v>0</v>
      </c>
    </row>
    <row r="196" spans="1:17" x14ac:dyDescent="0.3">
      <c r="A196">
        <f t="shared" si="9"/>
        <v>195</v>
      </c>
      <c r="B196" t="str">
        <f>卡牌总表!B196</f>
        <v>defect_fusion</v>
      </c>
      <c r="C196" t="str">
        <f>卡牌总表!D196</f>
        <v>聚变</v>
      </c>
      <c r="D196" t="str">
        <f>卡牌总表!F196</f>
        <v>技能</v>
      </c>
      <c r="E196">
        <f>卡牌总表!AL196</f>
        <v>0</v>
      </c>
      <c r="F196">
        <f>卡牌总表!AN196</f>
        <v>0</v>
      </c>
      <c r="G196">
        <f>卡牌总表!AP196</f>
        <v>1</v>
      </c>
      <c r="H196">
        <f>IF(ISNUMBER(卡牌总表!H196),IF(AND(卡牌总表!H196=0,卡牌总表!V196=0,卡牌总表!AK196="none"),0.4,IF(卡牌总表!AK196="exhaust",MAX(卡牌总表!H196-卡牌总表!V196,0.4),IF(卡牌总表!AK196="ethereal",MAX(卡牌总表!H196-卡牌总表!V196,0.4),MAX(卡牌总表!H196-卡牌总表!V196,0.4)))),IF(OR(卡牌总表!H196="X",卡牌总表!H196="∞"),0.4,0.4))</f>
        <v>1</v>
      </c>
      <c r="I196">
        <f>卡牌总表!M196*卡牌总表!O196*参数!$B$5*IF(AND(卡牌总表!F196="能力",卡牌总表!AL196="能力持续"),参数!$B$2,1)+卡牌总表!P196*参数!$B$6*IF(AND(卡牌总表!F196="能力",卡牌总表!AL196="能力持续"),参数!$B$2,1)+卡牌总表!R196*参数!$B$7*IF(AND(卡牌总表!F196="能力",卡牌总表!AL196="能力持续"),参数!$B$2,1)+卡牌总表!V196*参数!$B$8+IF(卡牌总表!X196&lt;0,卡牌总表!X196*参数!$B$13,卡牌总表!X196*参数!$B$39)+IF(卡牌总表!AE196&lt;0,卡牌总表!AE196*参数!$B$13,卡牌总表!AE196*参数!$B$12)*参数!$B$2+卡牌总表!AQ196*参数!$B$15+卡牌总表!AB196*参数!$B$11+卡牌总表!AF196*参数!$B$40*参数!$B$2+卡牌总表!AG196*参数!$B$44*参数!$B$2+卡牌总表!AH196*参数!$B$6*参数!$B$2+卡牌总表!AI196*参数!$B$39*参数!$B$2+卡牌总表!AJ196*参数!$B$6*参数!$B$2+卡牌总表!Z196*参数!$B$13-卡牌总表!T196*参数!$B$14-卡牌总表!AD196*参数!$B$13+IF(ISNUMBER(卡牌总表!AU196),卡牌总表!AU196*参数!$B$38,0)-卡牌总表!AV196*参数!$B$41-卡牌总表!AW196*参数!$B$14</f>
        <v>8</v>
      </c>
      <c r="J196">
        <f>IF(AND(卡牌总表!F196="能力",卡牌总表!AL196="能力持续"),(参数!$B$2-1)*参数!$B$3,0)</f>
        <v>0</v>
      </c>
      <c r="K196">
        <f t="shared" si="10"/>
        <v>8</v>
      </c>
      <c r="L196">
        <f>卡牌总表!N196*卡牌总表!O196*参数!$B$5*IF(AND(卡牌总表!F196="能力",卡牌总表!AL196="能力持续"),参数!$B$2,1)+卡牌总表!Q196*参数!$B$6*IF(AND(卡牌总表!F196="能力",卡牌总表!AL196="能力持续"),参数!$B$2,1)+卡牌总表!S196*参数!$B$7*IF(AND(卡牌总表!F196="能力",卡牌总表!AL196="能力持续"),参数!$B$2,1)+卡牌总表!W196*参数!$B$8+IF(卡牌总表!Y196&lt;0,卡牌总表!Y196*参数!$B$13,卡牌总表!Y196*参数!$B$39)+IF(卡牌总表!AE196&lt;0,卡牌总表!AE196*参数!$B$13,卡牌总表!AE196*参数!$B$12)*参数!$B$2+卡牌总表!AR196*参数!$B$15+卡牌总表!AC196*参数!$B$11+卡牌总表!AF196*参数!$B$40*参数!$B$2+卡牌总表!AG196*参数!$B$44*参数!$B$2+卡牌总表!AH196*参数!$B$6*参数!$B$2+卡牌总表!AI196*参数!$B$39*参数!$B$2+卡牌总表!AJ196*参数!$B$6*参数!$B$2+卡牌总表!AA196*参数!$B$13-卡牌总表!U196*参数!$B$14-卡牌总表!AD196*参数!$B$13+IF(ISNUMBER(卡牌总表!AU196),卡牌总表!AU196*参数!$B$38,0)-卡牌总表!AV196*参数!$B$41-卡牌总表!AW196*参数!$B$14</f>
        <v>0</v>
      </c>
      <c r="M196">
        <f>IF(AND(卡牌总表!F196="能力",卡牌总表!AL196="能力持续"),参数!$B$2*参数!$B$3,0)</f>
        <v>0</v>
      </c>
      <c r="N196">
        <f t="shared" si="11"/>
        <v>0</v>
      </c>
      <c r="O196">
        <f>IFERROR(MAX(IF(K196 &gt; 参数!$B$17,参数!$B$17+SQRT(K196-参数!$B$17)*参数!$B$18,K196)-MAX(G196,0)*参数!$B$10,0)/MAX(G196,0.4),0)</f>
        <v>5</v>
      </c>
      <c r="P196">
        <f>IFERROR(MAX(IF(N196 &gt; 参数!$B$17,参数!$B$17+SQRT(N196-参数!$B$17)*参数!$B$18,N196)-MAX(H196,0)*参数!$B$10,0)/MAX(H196,0.4),0)</f>
        <v>0</v>
      </c>
      <c r="Q196">
        <f>卡牌总表!AO196</f>
        <v>0</v>
      </c>
    </row>
    <row r="197" spans="1:17" x14ac:dyDescent="0.3">
      <c r="A197">
        <f t="shared" si="9"/>
        <v>196</v>
      </c>
      <c r="B197" t="str">
        <f>卡牌总表!B197</f>
        <v>defect_genetic_algorithm</v>
      </c>
      <c r="C197" t="str">
        <f>卡牌总表!D197</f>
        <v>遗传算法</v>
      </c>
      <c r="D197" t="str">
        <f>卡牌总表!F197</f>
        <v>技能</v>
      </c>
      <c r="E197">
        <f>卡牌总表!AL197</f>
        <v>0</v>
      </c>
      <c r="F197">
        <f>卡牌总表!AN197</f>
        <v>0</v>
      </c>
      <c r="G197">
        <f>卡牌总表!AP197</f>
        <v>1</v>
      </c>
      <c r="H197">
        <f>IF(ISNUMBER(卡牌总表!H197),IF(AND(卡牌总表!H197=0,卡牌总表!V197=0,卡牌总表!AK197="none"),0.4,IF(卡牌总表!AK197="exhaust",MAX(卡牌总表!H197-卡牌总表!V197,0.4),IF(卡牌总表!AK197="ethereal",MAX(卡牌总表!H197-卡牌总表!V197,0.4),MAX(卡牌总表!H197-卡牌总表!V197,0.4)))),IF(OR(卡牌总表!H197="X",卡牌总表!H197="∞"),0.4,0.4))</f>
        <v>1</v>
      </c>
      <c r="I197">
        <f>卡牌总表!M197*卡牌总表!O197*参数!$B$5*IF(AND(卡牌总表!F197="能力",卡牌总表!AL197="能力持续"),参数!$B$2,1)+卡牌总表!P197*参数!$B$6*IF(AND(卡牌总表!F197="能力",卡牌总表!AL197="能力持续"),参数!$B$2,1)+卡牌总表!R197*参数!$B$7*IF(AND(卡牌总表!F197="能力",卡牌总表!AL197="能力持续"),参数!$B$2,1)+卡牌总表!V197*参数!$B$8+IF(卡牌总表!X197&lt;0,卡牌总表!X197*参数!$B$13,卡牌总表!X197*参数!$B$39)+IF(卡牌总表!AE197&lt;0,卡牌总表!AE197*参数!$B$13,卡牌总表!AE197*参数!$B$12)*参数!$B$2+卡牌总表!AQ197*参数!$B$15+卡牌总表!AB197*参数!$B$11+卡牌总表!AF197*参数!$B$40*参数!$B$2+卡牌总表!AG197*参数!$B$44*参数!$B$2+卡牌总表!AH197*参数!$B$6*参数!$B$2+卡牌总表!AI197*参数!$B$39*参数!$B$2+卡牌总表!AJ197*参数!$B$6*参数!$B$2+卡牌总表!Z197*参数!$B$13-卡牌总表!T197*参数!$B$14-卡牌总表!AD197*参数!$B$13+IF(ISNUMBER(卡牌总表!AU197),卡牌总表!AU197*参数!$B$38,0)-卡牌总表!AV197*参数!$B$41-卡牌总表!AW197*参数!$B$14</f>
        <v>13.200000000000001</v>
      </c>
      <c r="J197">
        <f>IF(AND(卡牌总表!F197="能力",卡牌总表!AL197="能力持续"),(参数!$B$2-1)*参数!$B$3,0)</f>
        <v>0</v>
      </c>
      <c r="K197">
        <f t="shared" si="10"/>
        <v>13.200000000000001</v>
      </c>
      <c r="L197">
        <f>卡牌总表!N197*卡牌总表!O197*参数!$B$5*IF(AND(卡牌总表!F197="能力",卡牌总表!AL197="能力持续"),参数!$B$2,1)+卡牌总表!Q197*参数!$B$6*IF(AND(卡牌总表!F197="能力",卡牌总表!AL197="能力持续"),参数!$B$2,1)+卡牌总表!S197*参数!$B$7*IF(AND(卡牌总表!F197="能力",卡牌总表!AL197="能力持续"),参数!$B$2,1)+卡牌总表!W197*参数!$B$8+IF(卡牌总表!Y197&lt;0,卡牌总表!Y197*参数!$B$13,卡牌总表!Y197*参数!$B$39)+IF(卡牌总表!AE197&lt;0,卡牌总表!AE197*参数!$B$13,卡牌总表!AE197*参数!$B$12)*参数!$B$2+卡牌总表!AR197*参数!$B$15+卡牌总表!AC197*参数!$B$11+卡牌总表!AF197*参数!$B$40*参数!$B$2+卡牌总表!AG197*参数!$B$44*参数!$B$2+卡牌总表!AH197*参数!$B$6*参数!$B$2+卡牌总表!AI197*参数!$B$39*参数!$B$2+卡牌总表!AJ197*参数!$B$6*参数!$B$2+卡牌总表!AA197*参数!$B$13-卡牌总表!U197*参数!$B$14-卡牌总表!AD197*参数!$B$13+IF(ISNUMBER(卡牌总表!AU197),卡牌总表!AU197*参数!$B$38,0)-卡牌总表!AV197*参数!$B$41-卡牌总表!AW197*参数!$B$14</f>
        <v>16.5</v>
      </c>
      <c r="M197">
        <f>IF(AND(卡牌总表!F197="能力",卡牌总表!AL197="能力持续"),参数!$B$2*参数!$B$3,0)</f>
        <v>0</v>
      </c>
      <c r="N197">
        <f t="shared" si="11"/>
        <v>16.5</v>
      </c>
      <c r="O197">
        <f>IFERROR(MAX(IF(K197 &gt; 参数!$B$17,参数!$B$17+SQRT(K197-参数!$B$17)*参数!$B$18,K197)-MAX(G197,0)*参数!$B$10,0)/MAX(G197,0.4),0)</f>
        <v>9.6832815729997481</v>
      </c>
      <c r="P197">
        <f>IFERROR(MAX(IF(N197 &gt; 参数!$B$17,参数!$B$17+SQRT(N197-参数!$B$17)*参数!$B$18,N197)-MAX(H197,0)*参数!$B$10,0)/MAX(H197,0.4),0)</f>
        <v>10.824264635194588</v>
      </c>
      <c r="Q197">
        <f>卡牌总表!AO197</f>
        <v>0</v>
      </c>
    </row>
    <row r="198" spans="1:17" x14ac:dyDescent="0.3">
      <c r="A198">
        <f t="shared" si="9"/>
        <v>197</v>
      </c>
      <c r="B198" t="str">
        <f>卡牌总表!B198</f>
        <v>defect_glacier</v>
      </c>
      <c r="C198" t="str">
        <f>卡牌总表!D198</f>
        <v>冰川</v>
      </c>
      <c r="D198" t="str">
        <f>卡牌总表!F198</f>
        <v>技能</v>
      </c>
      <c r="E198">
        <f>卡牌总表!AL198</f>
        <v>0</v>
      </c>
      <c r="F198">
        <f>卡牌总表!AN198</f>
        <v>0</v>
      </c>
      <c r="G198">
        <f>卡牌总表!AP198</f>
        <v>2</v>
      </c>
      <c r="H198">
        <f>IF(ISNUMBER(卡牌总表!H198),IF(AND(卡牌总表!H198=0,卡牌总表!V198=0,卡牌总表!AK198="none"),0.4,IF(卡牌总表!AK198="exhaust",MAX(卡牌总表!H198-卡牌总表!V198,0.4),IF(卡牌总表!AK198="ethereal",MAX(卡牌总表!H198-卡牌总表!V198,0.4),MAX(卡牌总表!H198-卡牌总表!V198,0.4)))),IF(OR(卡牌总表!H198="X",卡牌总表!H198="∞"),0.4,0.4))</f>
        <v>2</v>
      </c>
      <c r="I198">
        <f>卡牌总表!M198*卡牌总表!O198*参数!$B$5*IF(AND(卡牌总表!F198="能力",卡牌总表!AL198="能力持续"),参数!$B$2,1)+卡牌总表!P198*参数!$B$6*IF(AND(卡牌总表!F198="能力",卡牌总表!AL198="能力持续"),参数!$B$2,1)+卡牌总表!R198*参数!$B$7*IF(AND(卡牌总表!F198="能力",卡牌总表!AL198="能力持续"),参数!$B$2,1)+卡牌总表!V198*参数!$B$8+IF(卡牌总表!X198&lt;0,卡牌总表!X198*参数!$B$13,卡牌总表!X198*参数!$B$39)+IF(卡牌总表!AE198&lt;0,卡牌总表!AE198*参数!$B$13,卡牌总表!AE198*参数!$B$12)*参数!$B$2+卡牌总表!AQ198*参数!$B$15+卡牌总表!AB198*参数!$B$11+卡牌总表!AF198*参数!$B$40*参数!$B$2+卡牌总表!AG198*参数!$B$44*参数!$B$2+卡牌总表!AH198*参数!$B$6*参数!$B$2+卡牌总表!AI198*参数!$B$39*参数!$B$2+卡牌总表!AJ198*参数!$B$6*参数!$B$2+卡牌总表!Z198*参数!$B$13-卡牌总表!T198*参数!$B$14-卡牌总表!AD198*参数!$B$13+IF(ISNUMBER(卡牌总表!AU198),卡牌总表!AU198*参数!$B$38,0)-卡牌总表!AV198*参数!$B$41-卡牌总表!AW198*参数!$B$14</f>
        <v>6.6000000000000005</v>
      </c>
      <c r="J198">
        <f>IF(AND(卡牌总表!F198="能力",卡牌总表!AL198="能力持续"),(参数!$B$2-1)*参数!$B$3,0)</f>
        <v>0</v>
      </c>
      <c r="K198">
        <f t="shared" si="10"/>
        <v>6.6000000000000005</v>
      </c>
      <c r="L198">
        <f>卡牌总表!N198*卡牌总表!O198*参数!$B$5*IF(AND(卡牌总表!F198="能力",卡牌总表!AL198="能力持续"),参数!$B$2,1)+卡牌总表!Q198*参数!$B$6*IF(AND(卡牌总表!F198="能力",卡牌总表!AL198="能力持续"),参数!$B$2,1)+卡牌总表!S198*参数!$B$7*IF(AND(卡牌总表!F198="能力",卡牌总表!AL198="能力持续"),参数!$B$2,1)+卡牌总表!W198*参数!$B$8+IF(卡牌总表!Y198&lt;0,卡牌总表!Y198*参数!$B$13,卡牌总表!Y198*参数!$B$39)+IF(卡牌总表!AE198&lt;0,卡牌总表!AE198*参数!$B$13,卡牌总表!AE198*参数!$B$12)*参数!$B$2+卡牌总表!AR198*参数!$B$15+卡牌总表!AC198*参数!$B$11+卡牌总表!AF198*参数!$B$40*参数!$B$2+卡牌总表!AG198*参数!$B$44*参数!$B$2+卡牌总表!AH198*参数!$B$6*参数!$B$2+卡牌总表!AI198*参数!$B$39*参数!$B$2+卡牌总表!AJ198*参数!$B$6*参数!$B$2+卡牌总表!AA198*参数!$B$13-卡牌总表!U198*参数!$B$14-卡牌总表!AD198*参数!$B$13+IF(ISNUMBER(卡牌总表!AU198),卡牌总表!AU198*参数!$B$38,0)-卡牌总表!AV198*参数!$B$41-卡牌总表!AW198*参数!$B$14</f>
        <v>9.9</v>
      </c>
      <c r="M198">
        <f>IF(AND(卡牌总表!F198="能力",卡牌总表!AL198="能力持续"),参数!$B$2*参数!$B$3,0)</f>
        <v>0</v>
      </c>
      <c r="N198">
        <f t="shared" si="11"/>
        <v>9.9</v>
      </c>
      <c r="O198">
        <f>IFERROR(MAX(IF(K198 &gt; 参数!$B$17,参数!$B$17+SQRT(K198-参数!$B$17)*参数!$B$18,K198)-MAX(G198,0)*参数!$B$10,0)/MAX(G198,0.4),0)</f>
        <v>0.30000000000000027</v>
      </c>
      <c r="P198">
        <f>IFERROR(MAX(IF(N198 &gt; 参数!$B$17,参数!$B$17+SQRT(N198-参数!$B$17)*参数!$B$18,N198)-MAX(H198,0)*参数!$B$10,0)/MAX(H198,0.4),0)</f>
        <v>1.9500000000000002</v>
      </c>
      <c r="Q198">
        <f>卡牌总表!AO198</f>
        <v>0</v>
      </c>
    </row>
    <row r="199" spans="1:17" x14ac:dyDescent="0.3">
      <c r="A199">
        <f t="shared" si="9"/>
        <v>198</v>
      </c>
      <c r="B199" t="str">
        <f>卡牌总表!B199</f>
        <v>defect_glasswork</v>
      </c>
      <c r="C199" t="str">
        <f>卡牌总表!D199</f>
        <v>玻璃工艺</v>
      </c>
      <c r="D199" t="str">
        <f>卡牌总表!F199</f>
        <v>技能</v>
      </c>
      <c r="E199">
        <f>卡牌总表!AL199</f>
        <v>0</v>
      </c>
      <c r="F199">
        <f>卡牌总表!AN199</f>
        <v>0</v>
      </c>
      <c r="G199">
        <f>卡牌总表!AP199</f>
        <v>1</v>
      </c>
      <c r="H199">
        <f>IF(ISNUMBER(卡牌总表!H199),IF(AND(卡牌总表!H199=0,卡牌总表!V199=0,卡牌总表!AK199="none"),0.4,IF(卡牌总表!AK199="exhaust",MAX(卡牌总表!H199-卡牌总表!V199,0.4),IF(卡牌总表!AK199="ethereal",MAX(卡牌总表!H199-卡牌总表!V199,0.4),MAX(卡牌总表!H199-卡牌总表!V199,0.4)))),IF(OR(卡牌总表!H199="X",卡牌总表!H199="∞"),0.4,0.4))</f>
        <v>1</v>
      </c>
      <c r="I199">
        <f>卡牌总表!M199*卡牌总表!O199*参数!$B$5*IF(AND(卡牌总表!F199="能力",卡牌总表!AL199="能力持续"),参数!$B$2,1)+卡牌总表!P199*参数!$B$6*IF(AND(卡牌总表!F199="能力",卡牌总表!AL199="能力持续"),参数!$B$2,1)+卡牌总表!R199*参数!$B$7*IF(AND(卡牌总表!F199="能力",卡牌总表!AL199="能力持续"),参数!$B$2,1)+卡牌总表!V199*参数!$B$8+IF(卡牌总表!X199&lt;0,卡牌总表!X199*参数!$B$13,卡牌总表!X199*参数!$B$39)+IF(卡牌总表!AE199&lt;0,卡牌总表!AE199*参数!$B$13,卡牌总表!AE199*参数!$B$12)*参数!$B$2+卡牌总表!AQ199*参数!$B$15+卡牌总表!AB199*参数!$B$11+卡牌总表!AF199*参数!$B$40*参数!$B$2+卡牌总表!AG199*参数!$B$44*参数!$B$2+卡牌总表!AH199*参数!$B$6*参数!$B$2+卡牌总表!AI199*参数!$B$39*参数!$B$2+卡牌总表!AJ199*参数!$B$6*参数!$B$2+卡牌总表!Z199*参数!$B$13-卡牌总表!T199*参数!$B$14-卡牌总表!AD199*参数!$B$13+IF(ISNUMBER(卡牌总表!AU199),卡牌总表!AU199*参数!$B$38,0)-卡牌总表!AV199*参数!$B$41-卡牌总表!AW199*参数!$B$14</f>
        <v>5.5</v>
      </c>
      <c r="J199">
        <f>IF(AND(卡牌总表!F199="能力",卡牌总表!AL199="能力持续"),(参数!$B$2-1)*参数!$B$3,0)</f>
        <v>0</v>
      </c>
      <c r="K199">
        <f t="shared" si="10"/>
        <v>5.5</v>
      </c>
      <c r="L199">
        <f>卡牌总表!N199*卡牌总表!O199*参数!$B$5*IF(AND(卡牌总表!F199="能力",卡牌总表!AL199="能力持续"),参数!$B$2,1)+卡牌总表!Q199*参数!$B$6*IF(AND(卡牌总表!F199="能力",卡牌总表!AL199="能力持续"),参数!$B$2,1)+卡牌总表!S199*参数!$B$7*IF(AND(卡牌总表!F199="能力",卡牌总表!AL199="能力持续"),参数!$B$2,1)+卡牌总表!W199*参数!$B$8+IF(卡牌总表!Y199&lt;0,卡牌总表!Y199*参数!$B$13,卡牌总表!Y199*参数!$B$39)+IF(卡牌总表!AE199&lt;0,卡牌总表!AE199*参数!$B$13,卡牌总表!AE199*参数!$B$12)*参数!$B$2+卡牌总表!AR199*参数!$B$15+卡牌总表!AC199*参数!$B$11+卡牌总表!AF199*参数!$B$40*参数!$B$2+卡牌总表!AG199*参数!$B$44*参数!$B$2+卡牌总表!AH199*参数!$B$6*参数!$B$2+卡牌总表!AI199*参数!$B$39*参数!$B$2+卡牌总表!AJ199*参数!$B$6*参数!$B$2+卡牌总表!AA199*参数!$B$13-卡牌总表!U199*参数!$B$14-卡牌总表!AD199*参数!$B$13+IF(ISNUMBER(卡牌总表!AU199),卡牌总表!AU199*参数!$B$38,0)-卡牌总表!AV199*参数!$B$41-卡牌总表!AW199*参数!$B$14</f>
        <v>8.8000000000000007</v>
      </c>
      <c r="M199">
        <f>IF(AND(卡牌总表!F199="能力",卡牌总表!AL199="能力持续"),参数!$B$2*参数!$B$3,0)</f>
        <v>0</v>
      </c>
      <c r="N199">
        <f t="shared" si="11"/>
        <v>8.8000000000000007</v>
      </c>
      <c r="O199">
        <f>IFERROR(MAX(IF(K199 &gt; 参数!$B$17,参数!$B$17+SQRT(K199-参数!$B$17)*参数!$B$18,K199)-MAX(G199,0)*参数!$B$10,0)/MAX(G199,0.4),0)</f>
        <v>2.5</v>
      </c>
      <c r="P199">
        <f>IFERROR(MAX(IF(N199 &gt; 参数!$B$17,参数!$B$17+SQRT(N199-参数!$B$17)*参数!$B$18,N199)-MAX(H199,0)*参数!$B$10,0)/MAX(H199,0.4),0)</f>
        <v>5.8000000000000007</v>
      </c>
      <c r="Q199">
        <f>卡牌总表!AO199</f>
        <v>0</v>
      </c>
    </row>
    <row r="200" spans="1:17" x14ac:dyDescent="0.3">
      <c r="A200">
        <f t="shared" si="9"/>
        <v>199</v>
      </c>
      <c r="B200" t="str">
        <f>卡牌总表!B200</f>
        <v>defect_go_for_the_eyes</v>
      </c>
      <c r="C200" t="str">
        <f>卡牌总表!D200</f>
        <v>眼部攻击</v>
      </c>
      <c r="D200" t="str">
        <f>卡牌总表!F200</f>
        <v>攻击</v>
      </c>
      <c r="E200">
        <f>卡牌总表!AL200</f>
        <v>0</v>
      </c>
      <c r="F200">
        <f>卡牌总表!AN200</f>
        <v>0</v>
      </c>
      <c r="G200">
        <f>卡牌总表!AP200</f>
        <v>0.4</v>
      </c>
      <c r="H200">
        <f>IF(ISNUMBER(卡牌总表!H200),IF(AND(卡牌总表!H200=0,卡牌总表!V200=0,卡牌总表!AK200="none"),0.4,IF(卡牌总表!AK200="exhaust",MAX(卡牌总表!H200-卡牌总表!V200,0.4),IF(卡牌总表!AK200="ethereal",MAX(卡牌总表!H200-卡牌总表!V200,0.4),MAX(卡牌总表!H200-卡牌总表!V200,0.4)))),IF(OR(卡牌总表!H200="X",卡牌总表!H200="∞"),0.4,0.4))</f>
        <v>0.4</v>
      </c>
      <c r="I200">
        <f>卡牌总表!M200*卡牌总表!O200*参数!$B$5*IF(AND(卡牌总表!F200="能力",卡牌总表!AL200="能力持续"),参数!$B$2,1)+卡牌总表!P200*参数!$B$6*IF(AND(卡牌总表!F200="能力",卡牌总表!AL200="能力持续"),参数!$B$2,1)+卡牌总表!R200*参数!$B$7*IF(AND(卡牌总表!F200="能力",卡牌总表!AL200="能力持续"),参数!$B$2,1)+卡牌总表!V200*参数!$B$8+IF(卡牌总表!X200&lt;0,卡牌总表!X200*参数!$B$13,卡牌总表!X200*参数!$B$39)+IF(卡牌总表!AE200&lt;0,卡牌总表!AE200*参数!$B$13,卡牌总表!AE200*参数!$B$12)*参数!$B$2+卡牌总表!AQ200*参数!$B$15+卡牌总表!AB200*参数!$B$11+卡牌总表!AF200*参数!$B$40*参数!$B$2+卡牌总表!AG200*参数!$B$44*参数!$B$2+卡牌总表!AH200*参数!$B$6*参数!$B$2+卡牌总表!AI200*参数!$B$39*参数!$B$2+卡牌总表!AJ200*参数!$B$6*参数!$B$2+卡牌总表!Z200*参数!$B$13-卡牌总表!T200*参数!$B$14-卡牌总表!AD200*参数!$B$13+IF(ISNUMBER(卡牌总表!AU200),卡牌总表!AU200*参数!$B$38,0)-卡牌总表!AV200*参数!$B$41-卡牌总表!AW200*参数!$B$14</f>
        <v>4.5</v>
      </c>
      <c r="J200">
        <f>IF(AND(卡牌总表!F200="能力",卡牌总表!AL200="能力持续"),(参数!$B$2-1)*参数!$B$3,0)</f>
        <v>0</v>
      </c>
      <c r="K200">
        <f t="shared" si="10"/>
        <v>4.5</v>
      </c>
      <c r="L200">
        <f>卡牌总表!N200*卡牌总表!O200*参数!$B$5*IF(AND(卡牌总表!F200="能力",卡牌总表!AL200="能力持续"),参数!$B$2,1)+卡牌总表!Q200*参数!$B$6*IF(AND(卡牌总表!F200="能力",卡牌总表!AL200="能力持续"),参数!$B$2,1)+卡牌总表!S200*参数!$B$7*IF(AND(卡牌总表!F200="能力",卡牌总表!AL200="能力持续"),参数!$B$2,1)+卡牌总表!W200*参数!$B$8+IF(卡牌总表!Y200&lt;0,卡牌总表!Y200*参数!$B$13,卡牌总表!Y200*参数!$B$39)+IF(卡牌总表!AE200&lt;0,卡牌总表!AE200*参数!$B$13,卡牌总表!AE200*参数!$B$12)*参数!$B$2+卡牌总表!AR200*参数!$B$15+卡牌总表!AC200*参数!$B$11+卡牌总表!AF200*参数!$B$40*参数!$B$2+卡牌总表!AG200*参数!$B$44*参数!$B$2+卡牌总表!AH200*参数!$B$6*参数!$B$2+卡牌总表!AI200*参数!$B$39*参数!$B$2+卡牌总表!AJ200*参数!$B$6*参数!$B$2+卡牌总表!AA200*参数!$B$13-卡牌总表!U200*参数!$B$14-卡牌总表!AD200*参数!$B$13+IF(ISNUMBER(卡牌总表!AU200),卡牌总表!AU200*参数!$B$38,0)-卡牌总表!AV200*参数!$B$41-卡牌总表!AW200*参数!$B$14</f>
        <v>5.5</v>
      </c>
      <c r="M200">
        <f>IF(AND(卡牌总表!F200="能力",卡牌总表!AL200="能力持续"),参数!$B$2*参数!$B$3,0)</f>
        <v>0</v>
      </c>
      <c r="N200">
        <f t="shared" si="11"/>
        <v>5.5</v>
      </c>
      <c r="O200">
        <f>IFERROR(MAX(IF(K200 &gt; 参数!$B$17,参数!$B$17+SQRT(K200-参数!$B$17)*参数!$B$18,K200)-MAX(G200,0)*参数!$B$10,0)/MAX(G200,0.4),0)</f>
        <v>8.2499999999999982</v>
      </c>
      <c r="P200">
        <f>IFERROR(MAX(IF(N200 &gt; 参数!$B$17,参数!$B$17+SQRT(N200-参数!$B$17)*参数!$B$18,N200)-MAX(H200,0)*参数!$B$10,0)/MAX(H200,0.4),0)</f>
        <v>10.749999999999998</v>
      </c>
      <c r="Q200">
        <f>卡牌总表!AO200</f>
        <v>0</v>
      </c>
    </row>
    <row r="201" spans="1:17" x14ac:dyDescent="0.3">
      <c r="A201">
        <f t="shared" si="9"/>
        <v>200</v>
      </c>
      <c r="B201" t="str">
        <f>卡牌总表!B201</f>
        <v>defect_gunk_up</v>
      </c>
      <c r="C201" t="str">
        <f>卡牌总表!D201</f>
        <v>污秽攻击</v>
      </c>
      <c r="D201" t="str">
        <f>卡牌总表!F201</f>
        <v>攻击</v>
      </c>
      <c r="E201">
        <f>卡牌总表!AL201</f>
        <v>0</v>
      </c>
      <c r="F201">
        <f>卡牌总表!AN201</f>
        <v>0</v>
      </c>
      <c r="G201">
        <f>卡牌总表!AP201</f>
        <v>1</v>
      </c>
      <c r="H201">
        <f>IF(ISNUMBER(卡牌总表!H201),IF(AND(卡牌总表!H201=0,卡牌总表!V201=0,卡牌总表!AK201="none"),0.4,IF(卡牌总表!AK201="exhaust",MAX(卡牌总表!H201-卡牌总表!V201,0.4),IF(卡牌总表!AK201="ethereal",MAX(卡牌总表!H201-卡牌总表!V201,0.4),MAX(卡牌总表!H201-卡牌总表!V201,0.4)))),IF(OR(卡牌总表!H201="X",卡牌总表!H201="∞"),0.4,0.4))</f>
        <v>1</v>
      </c>
      <c r="I201">
        <f>卡牌总表!M201*卡牌总表!O201*参数!$B$5*IF(AND(卡牌总表!F201="能力",卡牌总表!AL201="能力持续"),参数!$B$2,1)+卡牌总表!P201*参数!$B$6*IF(AND(卡牌总表!F201="能力",卡牌总表!AL201="能力持续"),参数!$B$2,1)+卡牌总表!R201*参数!$B$7*IF(AND(卡牌总表!F201="能力",卡牌总表!AL201="能力持续"),参数!$B$2,1)+卡牌总表!V201*参数!$B$8+IF(卡牌总表!X201&lt;0,卡牌总表!X201*参数!$B$13,卡牌总表!X201*参数!$B$39)+IF(卡牌总表!AE201&lt;0,卡牌总表!AE201*参数!$B$13,卡牌总表!AE201*参数!$B$12)*参数!$B$2+卡牌总表!AQ201*参数!$B$15+卡牌总表!AB201*参数!$B$11+卡牌总表!AF201*参数!$B$40*参数!$B$2+卡牌总表!AG201*参数!$B$44*参数!$B$2+卡牌总表!AH201*参数!$B$6*参数!$B$2+卡牌总表!AI201*参数!$B$39*参数!$B$2+卡牌总表!AJ201*参数!$B$6*参数!$B$2+卡牌总表!Z201*参数!$B$13-卡牌总表!T201*参数!$B$14-卡牌总表!AD201*参数!$B$13+IF(ISNUMBER(卡牌总表!AU201),卡牌总表!AU201*参数!$B$38,0)-卡牌总表!AV201*参数!$B$41-卡牌总表!AW201*参数!$B$14</f>
        <v>10.5</v>
      </c>
      <c r="J201">
        <f>IF(AND(卡牌总表!F201="能力",卡牌总表!AL201="能力持续"),(参数!$B$2-1)*参数!$B$3,0)</f>
        <v>0</v>
      </c>
      <c r="K201">
        <f t="shared" si="10"/>
        <v>10.5</v>
      </c>
      <c r="L201">
        <f>卡牌总表!N201*卡牌总表!O201*参数!$B$5*IF(AND(卡牌总表!F201="能力",卡牌总表!AL201="能力持续"),参数!$B$2,1)+卡牌总表!Q201*参数!$B$6*IF(AND(卡牌总表!F201="能力",卡牌总表!AL201="能力持续"),参数!$B$2,1)+卡牌总表!S201*参数!$B$7*IF(AND(卡牌总表!F201="能力",卡牌总表!AL201="能力持续"),参数!$B$2,1)+卡牌总表!W201*参数!$B$8+IF(卡牌总表!Y201&lt;0,卡牌总表!Y201*参数!$B$13,卡牌总表!Y201*参数!$B$39)+IF(卡牌总表!AE201&lt;0,卡牌总表!AE201*参数!$B$13,卡牌总表!AE201*参数!$B$12)*参数!$B$2+卡牌总表!AR201*参数!$B$15+卡牌总表!AC201*参数!$B$11+卡牌总表!AF201*参数!$B$40*参数!$B$2+卡牌总表!AG201*参数!$B$44*参数!$B$2+卡牌总表!AH201*参数!$B$6*参数!$B$2+卡牌总表!AI201*参数!$B$39*参数!$B$2+卡牌总表!AJ201*参数!$B$6*参数!$B$2+卡牌总表!AA201*参数!$B$13-卡牌总表!U201*参数!$B$14-卡牌总表!AD201*参数!$B$13+IF(ISNUMBER(卡牌总表!AU201),卡牌总表!AU201*参数!$B$38,0)-卡牌总表!AV201*参数!$B$41-卡牌总表!AW201*参数!$B$14</f>
        <v>10.5</v>
      </c>
      <c r="M201">
        <f>IF(AND(卡牌总表!F201="能力",卡牌总表!AL201="能力持续"),参数!$B$2*参数!$B$3,0)</f>
        <v>0</v>
      </c>
      <c r="N201">
        <f t="shared" si="11"/>
        <v>10.5</v>
      </c>
      <c r="O201">
        <f>IFERROR(MAX(IF(K201 &gt; 参数!$B$17,参数!$B$17+SQRT(K201-参数!$B$17)*参数!$B$18,K201)-MAX(G201,0)*参数!$B$10,0)/MAX(G201,0.4),0)</f>
        <v>8.060660171779821</v>
      </c>
      <c r="P201">
        <f>IFERROR(MAX(IF(N201 &gt; 参数!$B$17,参数!$B$17+SQRT(N201-参数!$B$17)*参数!$B$18,N201)-MAX(H201,0)*参数!$B$10,0)/MAX(H201,0.4),0)</f>
        <v>8.060660171779821</v>
      </c>
      <c r="Q201">
        <f>卡牌总表!AO201</f>
        <v>0</v>
      </c>
    </row>
    <row r="202" spans="1:17" x14ac:dyDescent="0.3">
      <c r="A202">
        <f t="shared" si="9"/>
        <v>201</v>
      </c>
      <c r="B202" t="str">
        <f>卡牌总表!B202</f>
        <v>defect_hailstorm</v>
      </c>
      <c r="C202" t="str">
        <f>卡牌总表!D202</f>
        <v>冰雹风暴</v>
      </c>
      <c r="D202" t="str">
        <f>卡牌总表!F202</f>
        <v>能力</v>
      </c>
      <c r="E202">
        <f>卡牌总表!AL202</f>
        <v>0</v>
      </c>
      <c r="F202" t="str">
        <f>卡牌总表!AN202</f>
        <v>群体攻击，能力</v>
      </c>
      <c r="G202">
        <f>卡牌总表!AP202</f>
        <v>1</v>
      </c>
      <c r="H202">
        <f>IF(ISNUMBER(卡牌总表!H202),IF(AND(卡牌总表!H202=0,卡牌总表!V202=0,卡牌总表!AK202="none"),0.4,IF(卡牌总表!AK202="exhaust",MAX(卡牌总表!H202-卡牌总表!V202,0.4),IF(卡牌总表!AK202="ethereal",MAX(卡牌总表!H202-卡牌总表!V202,0.4),MAX(卡牌总表!H202-卡牌总表!V202,0.4)))),IF(OR(卡牌总表!H202="X",卡牌总表!H202="∞"),0.4,0.4))</f>
        <v>1</v>
      </c>
      <c r="I202">
        <f>卡牌总表!M202*卡牌总表!O202*参数!$B$5*IF(AND(卡牌总表!F202="能力",卡牌总表!AL202="能力持续"),参数!$B$2,1)+卡牌总表!P202*参数!$B$6*IF(AND(卡牌总表!F202="能力",卡牌总表!AL202="能力持续"),参数!$B$2,1)+卡牌总表!R202*参数!$B$7*IF(AND(卡牌总表!F202="能力",卡牌总表!AL202="能力持续"),参数!$B$2,1)+卡牌总表!V202*参数!$B$8+IF(卡牌总表!X202&lt;0,卡牌总表!X202*参数!$B$13,卡牌总表!X202*参数!$B$39)+IF(卡牌总表!AE202&lt;0,卡牌总表!AE202*参数!$B$13,卡牌总表!AE202*参数!$B$12)*参数!$B$2+卡牌总表!AQ202*参数!$B$15+卡牌总表!AB202*参数!$B$11+卡牌总表!AF202*参数!$B$40*参数!$B$2+卡牌总表!AG202*参数!$B$44*参数!$B$2+卡牌总表!AH202*参数!$B$6*参数!$B$2+卡牌总表!AI202*参数!$B$39*参数!$B$2+卡牌总表!AJ202*参数!$B$6*参数!$B$2+卡牌总表!Z202*参数!$B$13-卡牌总表!T202*参数!$B$14-卡牌总表!AD202*参数!$B$13+IF(ISNUMBER(卡牌总表!AU202),卡牌总表!AU202*参数!$B$38,0)-卡牌总表!AV202*参数!$B$41-卡牌总表!AW202*参数!$B$14</f>
        <v>6</v>
      </c>
      <c r="J202">
        <f>IF(AND(卡牌总表!F202="能力",卡牌总表!AL202="能力持续"),(参数!$B$2-1)*参数!$B$3,0)</f>
        <v>0</v>
      </c>
      <c r="K202">
        <f t="shared" si="10"/>
        <v>6</v>
      </c>
      <c r="L202">
        <f>卡牌总表!N202*卡牌总表!O202*参数!$B$5*IF(AND(卡牌总表!F202="能力",卡牌总表!AL202="能力持续"),参数!$B$2,1)+卡牌总表!Q202*参数!$B$6*IF(AND(卡牌总表!F202="能力",卡牌总表!AL202="能力持续"),参数!$B$2,1)+卡牌总表!S202*参数!$B$7*IF(AND(卡牌总表!F202="能力",卡牌总表!AL202="能力持续"),参数!$B$2,1)+卡牌总表!W202*参数!$B$8+IF(卡牌总表!Y202&lt;0,卡牌总表!Y202*参数!$B$13,卡牌总表!Y202*参数!$B$39)+IF(卡牌总表!AE202&lt;0,卡牌总表!AE202*参数!$B$13,卡牌总表!AE202*参数!$B$12)*参数!$B$2+卡牌总表!AR202*参数!$B$15+卡牌总表!AC202*参数!$B$11+卡牌总表!AF202*参数!$B$40*参数!$B$2+卡牌总表!AG202*参数!$B$44*参数!$B$2+卡牌总表!AH202*参数!$B$6*参数!$B$2+卡牌总表!AI202*参数!$B$39*参数!$B$2+卡牌总表!AJ202*参数!$B$6*参数!$B$2+卡牌总表!AA202*参数!$B$13-卡牌总表!U202*参数!$B$14-卡牌总表!AD202*参数!$B$13+IF(ISNUMBER(卡牌总表!AU202),卡牌总表!AU202*参数!$B$38,0)-卡牌总表!AV202*参数!$B$41-卡牌总表!AW202*参数!$B$14</f>
        <v>8</v>
      </c>
      <c r="M202">
        <f>IF(AND(卡牌总表!F202="能力",卡牌总表!AL202="能力持续"),参数!$B$2*参数!$B$3,0)</f>
        <v>0</v>
      </c>
      <c r="N202">
        <f t="shared" si="11"/>
        <v>8</v>
      </c>
      <c r="O202">
        <f>IFERROR(MAX(IF(K202 &gt; 参数!$B$17,参数!$B$17+SQRT(K202-参数!$B$17)*参数!$B$18,K202)-MAX(G202,0)*参数!$B$10,0)/MAX(G202,0.4),0)</f>
        <v>3</v>
      </c>
      <c r="P202">
        <f>IFERROR(MAX(IF(N202 &gt; 参数!$B$17,参数!$B$17+SQRT(N202-参数!$B$17)*参数!$B$18,N202)-MAX(H202,0)*参数!$B$10,0)/MAX(H202,0.4),0)</f>
        <v>5</v>
      </c>
      <c r="Q202">
        <f>卡牌总表!AO202</f>
        <v>0</v>
      </c>
    </row>
    <row r="203" spans="1:17" x14ac:dyDescent="0.3">
      <c r="A203">
        <f t="shared" si="9"/>
        <v>202</v>
      </c>
      <c r="B203" t="str">
        <f>卡牌总表!B203</f>
        <v>defect_helix_drill</v>
      </c>
      <c r="C203" t="str">
        <f>卡牌总表!D203</f>
        <v>螺旋钻击</v>
      </c>
      <c r="D203" t="str">
        <f>卡牌总表!F203</f>
        <v>攻击</v>
      </c>
      <c r="E203">
        <f>卡牌总表!AL203</f>
        <v>0</v>
      </c>
      <c r="F203" t="str">
        <f>卡牌总表!AN203</f>
        <v>本回合</v>
      </c>
      <c r="G203">
        <f>卡牌总表!AP203</f>
        <v>0.4</v>
      </c>
      <c r="H203">
        <f>IF(ISNUMBER(卡牌总表!H203),IF(AND(卡牌总表!H203=0,卡牌总表!V203=0,卡牌总表!AK203="none"),0.4,IF(卡牌总表!AK203="exhaust",MAX(卡牌总表!H203-卡牌总表!V203,0.4),IF(卡牌总表!AK203="ethereal",MAX(卡牌总表!H203-卡牌总表!V203,0.4),MAX(卡牌总表!H203-卡牌总表!V203,0.4)))),IF(OR(卡牌总表!H203="X",卡牌总表!H203="∞"),0.4,0.4))</f>
        <v>0.4</v>
      </c>
      <c r="I203">
        <f>卡牌总表!M203*卡牌总表!O203*参数!$B$5*IF(AND(卡牌总表!F203="能力",卡牌总表!AL203="能力持续"),参数!$B$2,1)+卡牌总表!P203*参数!$B$6*IF(AND(卡牌总表!F203="能力",卡牌总表!AL203="能力持续"),参数!$B$2,1)+卡牌总表!R203*参数!$B$7*IF(AND(卡牌总表!F203="能力",卡牌总表!AL203="能力持续"),参数!$B$2,1)+卡牌总表!V203*参数!$B$8+IF(卡牌总表!X203&lt;0,卡牌总表!X203*参数!$B$13,卡牌总表!X203*参数!$B$39)+IF(卡牌总表!AE203&lt;0,卡牌总表!AE203*参数!$B$13,卡牌总表!AE203*参数!$B$12)*参数!$B$2+卡牌总表!AQ203*参数!$B$15+卡牌总表!AB203*参数!$B$11+卡牌总表!AF203*参数!$B$40*参数!$B$2+卡牌总表!AG203*参数!$B$44*参数!$B$2+卡牌总表!AH203*参数!$B$6*参数!$B$2+卡牌总表!AI203*参数!$B$39*参数!$B$2+卡牌总表!AJ203*参数!$B$6*参数!$B$2+卡牌总表!Z203*参数!$B$13-卡牌总表!T203*参数!$B$14-卡牌总表!AD203*参数!$B$13+IF(ISNUMBER(卡牌总表!AU203),卡牌总表!AU203*参数!$B$38,0)-卡牌总表!AV203*参数!$B$41-卡牌总表!AW203*参数!$B$14</f>
        <v>9</v>
      </c>
      <c r="J203">
        <f>IF(AND(卡牌总表!F203="能力",卡牌总表!AL203="能力持续"),(参数!$B$2-1)*参数!$B$3,0)</f>
        <v>0</v>
      </c>
      <c r="K203">
        <f t="shared" si="10"/>
        <v>9</v>
      </c>
      <c r="L203">
        <f>卡牌总表!N203*卡牌总表!O203*参数!$B$5*IF(AND(卡牌总表!F203="能力",卡牌总表!AL203="能力持续"),参数!$B$2,1)+卡牌总表!Q203*参数!$B$6*IF(AND(卡牌总表!F203="能力",卡牌总表!AL203="能力持续"),参数!$B$2,1)+卡牌总表!S203*参数!$B$7*IF(AND(卡牌总表!F203="能力",卡牌总表!AL203="能力持续"),参数!$B$2,1)+卡牌总表!W203*参数!$B$8+IF(卡牌总表!Y203&lt;0,卡牌总表!Y203*参数!$B$13,卡牌总表!Y203*参数!$B$39)+IF(卡牌总表!AE203&lt;0,卡牌总表!AE203*参数!$B$13,卡牌总表!AE203*参数!$B$12)*参数!$B$2+卡牌总表!AR203*参数!$B$15+卡牌总表!AC203*参数!$B$11+卡牌总表!AF203*参数!$B$40*参数!$B$2+卡牌总表!AG203*参数!$B$44*参数!$B$2+卡牌总表!AH203*参数!$B$6*参数!$B$2+卡牌总表!AI203*参数!$B$39*参数!$B$2+卡牌总表!AJ203*参数!$B$6*参数!$B$2+卡牌总表!AA203*参数!$B$13-卡牌总表!U203*参数!$B$14-卡牌总表!AD203*参数!$B$13+IF(ISNUMBER(卡牌总表!AU203),卡牌总表!AU203*参数!$B$38,0)-卡牌总表!AV203*参数!$B$41-卡牌总表!AW203*参数!$B$14</f>
        <v>9</v>
      </c>
      <c r="M203">
        <f>IF(AND(卡牌总表!F203="能力",卡牌总表!AL203="能力持续"),参数!$B$2*参数!$B$3,0)</f>
        <v>0</v>
      </c>
      <c r="N203">
        <f t="shared" si="11"/>
        <v>9</v>
      </c>
      <c r="O203">
        <f>IFERROR(MAX(IF(K203 &gt; 参数!$B$17,参数!$B$17+SQRT(K203-参数!$B$17)*参数!$B$18,K203)-MAX(G203,0)*参数!$B$10,0)/MAX(G203,0.4),0)</f>
        <v>19.5</v>
      </c>
      <c r="P203">
        <f>IFERROR(MAX(IF(N203 &gt; 参数!$B$17,参数!$B$17+SQRT(N203-参数!$B$17)*参数!$B$18,N203)-MAX(H203,0)*参数!$B$10,0)/MAX(H203,0.4),0)</f>
        <v>19.5</v>
      </c>
      <c r="Q203">
        <f>卡牌总表!AO203</f>
        <v>0</v>
      </c>
    </row>
    <row r="204" spans="1:17" x14ac:dyDescent="0.3">
      <c r="A204">
        <f t="shared" si="9"/>
        <v>203</v>
      </c>
      <c r="B204" t="str">
        <f>卡牌总表!B204</f>
        <v>defect_hologram</v>
      </c>
      <c r="C204" t="str">
        <f>卡牌总表!D204</f>
        <v>全息影像</v>
      </c>
      <c r="D204" t="str">
        <f>卡牌总表!F204</f>
        <v>技能</v>
      </c>
      <c r="E204">
        <f>卡牌总表!AL204</f>
        <v>0</v>
      </c>
      <c r="F204">
        <f>卡牌总表!AN204</f>
        <v>0</v>
      </c>
      <c r="G204">
        <f>卡牌总表!AP204</f>
        <v>1</v>
      </c>
      <c r="H204">
        <f>IF(ISNUMBER(卡牌总表!H204),IF(AND(卡牌总表!H204=0,卡牌总表!V204=0,卡牌总表!AK204="none"),0.4,IF(卡牌总表!AK204="exhaust",MAX(卡牌总表!H204-卡牌总表!V204,0.4),IF(卡牌总表!AK204="ethereal",MAX(卡牌总表!H204-卡牌总表!V204,0.4),MAX(卡牌总表!H204-卡牌总表!V204,0.4)))),IF(OR(卡牌总表!H204="X",卡牌总表!H204="∞"),0.4,0.4))</f>
        <v>1</v>
      </c>
      <c r="I204">
        <f>卡牌总表!M204*卡牌总表!O204*参数!$B$5*IF(AND(卡牌总表!F204="能力",卡牌总表!AL204="能力持续"),参数!$B$2,1)+卡牌总表!P204*参数!$B$6*IF(AND(卡牌总表!F204="能力",卡牌总表!AL204="能力持续"),参数!$B$2,1)+卡牌总表!R204*参数!$B$7*IF(AND(卡牌总表!F204="能力",卡牌总表!AL204="能力持续"),参数!$B$2,1)+卡牌总表!V204*参数!$B$8+IF(卡牌总表!X204&lt;0,卡牌总表!X204*参数!$B$13,卡牌总表!X204*参数!$B$39)+IF(卡牌总表!AE204&lt;0,卡牌总表!AE204*参数!$B$13,卡牌总表!AE204*参数!$B$12)*参数!$B$2+卡牌总表!AQ204*参数!$B$15+卡牌总表!AB204*参数!$B$11+卡牌总表!AF204*参数!$B$40*参数!$B$2+卡牌总表!AG204*参数!$B$44*参数!$B$2+卡牌总表!AH204*参数!$B$6*参数!$B$2+卡牌总表!AI204*参数!$B$39*参数!$B$2+卡牌总表!AJ204*参数!$B$6*参数!$B$2+卡牌总表!Z204*参数!$B$13-卡牌总表!T204*参数!$B$14-卡牌总表!AD204*参数!$B$13+IF(ISNUMBER(卡牌总表!AU204),卡牌总表!AU204*参数!$B$38,0)-卡牌总表!AV204*参数!$B$41-卡牌总表!AW204*参数!$B$14</f>
        <v>3.3000000000000003</v>
      </c>
      <c r="J204">
        <f>IF(AND(卡牌总表!F204="能力",卡牌总表!AL204="能力持续"),(参数!$B$2-1)*参数!$B$3,0)</f>
        <v>0</v>
      </c>
      <c r="K204">
        <f t="shared" si="10"/>
        <v>3.3000000000000003</v>
      </c>
      <c r="L204">
        <f>卡牌总表!N204*卡牌总表!O204*参数!$B$5*IF(AND(卡牌总表!F204="能力",卡牌总表!AL204="能力持续"),参数!$B$2,1)+卡牌总表!Q204*参数!$B$6*IF(AND(卡牌总表!F204="能力",卡牌总表!AL204="能力持续"),参数!$B$2,1)+卡牌总表!S204*参数!$B$7*IF(AND(卡牌总表!F204="能力",卡牌总表!AL204="能力持续"),参数!$B$2,1)+卡牌总表!W204*参数!$B$8+IF(卡牌总表!Y204&lt;0,卡牌总表!Y204*参数!$B$13,卡牌总表!Y204*参数!$B$39)+IF(卡牌总表!AE204&lt;0,卡牌总表!AE204*参数!$B$13,卡牌总表!AE204*参数!$B$12)*参数!$B$2+卡牌总表!AR204*参数!$B$15+卡牌总表!AC204*参数!$B$11+卡牌总表!AF204*参数!$B$40*参数!$B$2+卡牌总表!AG204*参数!$B$44*参数!$B$2+卡牌总表!AH204*参数!$B$6*参数!$B$2+卡牌总表!AI204*参数!$B$39*参数!$B$2+卡牌总表!AJ204*参数!$B$6*参数!$B$2+卡牌总表!AA204*参数!$B$13-卡牌总表!U204*参数!$B$14-卡牌总表!AD204*参数!$B$13+IF(ISNUMBER(卡牌总表!AU204),卡牌总表!AU204*参数!$B$38,0)-卡牌总表!AV204*参数!$B$41-卡牌总表!AW204*参数!$B$14</f>
        <v>5.5</v>
      </c>
      <c r="M204">
        <f>IF(AND(卡牌总表!F204="能力",卡牌总表!AL204="能力持续"),参数!$B$2*参数!$B$3,0)</f>
        <v>0</v>
      </c>
      <c r="N204">
        <f t="shared" si="11"/>
        <v>5.5</v>
      </c>
      <c r="O204">
        <f>IFERROR(MAX(IF(K204 &gt; 参数!$B$17,参数!$B$17+SQRT(K204-参数!$B$17)*参数!$B$18,K204)-MAX(G204,0)*参数!$B$10,0)/MAX(G204,0.4),0)</f>
        <v>0.30000000000000027</v>
      </c>
      <c r="P204">
        <f>IFERROR(MAX(IF(N204 &gt; 参数!$B$17,参数!$B$17+SQRT(N204-参数!$B$17)*参数!$B$18,N204)-MAX(H204,0)*参数!$B$10,0)/MAX(H204,0.4),0)</f>
        <v>2.5</v>
      </c>
      <c r="Q204">
        <f>卡牌总表!AO204</f>
        <v>0</v>
      </c>
    </row>
    <row r="205" spans="1:17" x14ac:dyDescent="0.3">
      <c r="A205">
        <f t="shared" si="9"/>
        <v>204</v>
      </c>
      <c r="B205" t="str">
        <f>卡牌总表!B205</f>
        <v>defect_hotfix</v>
      </c>
      <c r="C205" t="str">
        <f>卡牌总表!D205</f>
        <v>热修复</v>
      </c>
      <c r="D205" t="str">
        <f>卡牌总表!F205</f>
        <v>技能</v>
      </c>
      <c r="E205">
        <f>卡牌总表!AL205</f>
        <v>0</v>
      </c>
      <c r="F205" t="str">
        <f>卡牌总表!AN205</f>
        <v>本回合</v>
      </c>
      <c r="G205">
        <f>卡牌总表!AP205</f>
        <v>0.4</v>
      </c>
      <c r="H205">
        <f>IF(ISNUMBER(卡牌总表!H205),IF(AND(卡牌总表!H205=0,卡牌总表!V205=0,卡牌总表!AK205="none"),0.4,IF(卡牌总表!AK205="exhaust",MAX(卡牌总表!H205-卡牌总表!V205,0.4),IF(卡牌总表!AK205="ethereal",MAX(卡牌总表!H205-卡牌总表!V205,0.4),MAX(卡牌总表!H205-卡牌总表!V205,0.4)))),IF(OR(卡牌总表!H205="X",卡牌总表!H205="∞"),0.4,0.4))</f>
        <v>0.4</v>
      </c>
      <c r="I205">
        <f>卡牌总表!M205*卡牌总表!O205*参数!$B$5*IF(AND(卡牌总表!F205="能力",卡牌总表!AL205="能力持续"),参数!$B$2,1)+卡牌总表!P205*参数!$B$6*IF(AND(卡牌总表!F205="能力",卡牌总表!AL205="能力持续"),参数!$B$2,1)+卡牌总表!R205*参数!$B$7*IF(AND(卡牌总表!F205="能力",卡牌总表!AL205="能力持续"),参数!$B$2,1)+卡牌总表!V205*参数!$B$8+IF(卡牌总表!X205&lt;0,卡牌总表!X205*参数!$B$13,卡牌总表!X205*参数!$B$39)+IF(卡牌总表!AE205&lt;0,卡牌总表!AE205*参数!$B$13,卡牌总表!AE205*参数!$B$12)*参数!$B$2+卡牌总表!AQ205*参数!$B$15+卡牌总表!AB205*参数!$B$11+卡牌总表!AF205*参数!$B$40*参数!$B$2+卡牌总表!AG205*参数!$B$44*参数!$B$2+卡牌总表!AH205*参数!$B$6*参数!$B$2+卡牌总表!AI205*参数!$B$39*参数!$B$2+卡牌总表!AJ205*参数!$B$6*参数!$B$2+卡牌总表!Z205*参数!$B$13-卡牌总表!T205*参数!$B$14-卡牌总表!AD205*参数!$B$13+IF(ISNUMBER(卡牌总表!AU205),卡牌总表!AU205*参数!$B$38,0)-卡牌总表!AV205*参数!$B$41-卡牌总表!AW205*参数!$B$14</f>
        <v>10.4</v>
      </c>
      <c r="J205">
        <f>IF(AND(卡牌总表!F205="能力",卡牌总表!AL205="能力持续"),(参数!$B$2-1)*参数!$B$3,0)</f>
        <v>0</v>
      </c>
      <c r="K205">
        <f t="shared" si="10"/>
        <v>10.4</v>
      </c>
      <c r="L205">
        <f>卡牌总表!N205*卡牌总表!O205*参数!$B$5*IF(AND(卡牌总表!F205="能力",卡牌总表!AL205="能力持续"),参数!$B$2,1)+卡牌总表!Q205*参数!$B$6*IF(AND(卡牌总表!F205="能力",卡牌总表!AL205="能力持续"),参数!$B$2,1)+卡牌总表!S205*参数!$B$7*IF(AND(卡牌总表!F205="能力",卡牌总表!AL205="能力持续"),参数!$B$2,1)+卡牌总表!W205*参数!$B$8+IF(卡牌总表!Y205&lt;0,卡牌总表!Y205*参数!$B$13,卡牌总表!Y205*参数!$B$39)+IF(卡牌总表!AE205&lt;0,卡牌总表!AE205*参数!$B$13,卡牌总表!AE205*参数!$B$12)*参数!$B$2+卡牌总表!AR205*参数!$B$15+卡牌总表!AC205*参数!$B$11+卡牌总表!AF205*参数!$B$40*参数!$B$2+卡牌总表!AG205*参数!$B$44*参数!$B$2+卡牌总表!AH205*参数!$B$6*参数!$B$2+卡牌总表!AI205*参数!$B$39*参数!$B$2+卡牌总表!AJ205*参数!$B$6*参数!$B$2+卡牌总表!AA205*参数!$B$13-卡牌总表!U205*参数!$B$14-卡牌总表!AD205*参数!$B$13+IF(ISNUMBER(卡牌总表!AU205),卡牌总表!AU205*参数!$B$38,0)-卡牌总表!AV205*参数!$B$41-卡牌总表!AW205*参数!$B$14</f>
        <v>10.4</v>
      </c>
      <c r="M205">
        <f>IF(AND(卡牌总表!F205="能力",卡牌总表!AL205="能力持续"),参数!$B$2*参数!$B$3,0)</f>
        <v>0</v>
      </c>
      <c r="N205">
        <f t="shared" si="11"/>
        <v>10.4</v>
      </c>
      <c r="O205">
        <f>IFERROR(MAX(IF(K205 &gt; 参数!$B$17,参数!$B$17+SQRT(K205-参数!$B$17)*参数!$B$18,K205)-MAX(G205,0)*参数!$B$10,0)/MAX(G205,0.4),0)</f>
        <v>24.371708245126289</v>
      </c>
      <c r="P205">
        <f>IFERROR(MAX(IF(N205 &gt; 参数!$B$17,参数!$B$17+SQRT(N205-参数!$B$17)*参数!$B$18,N205)-MAX(H205,0)*参数!$B$10,0)/MAX(H205,0.4),0)</f>
        <v>24.371708245126289</v>
      </c>
      <c r="Q205">
        <f>卡牌总表!AO205</f>
        <v>0</v>
      </c>
    </row>
    <row r="206" spans="1:17" x14ac:dyDescent="0.3">
      <c r="A206">
        <f t="shared" si="9"/>
        <v>205</v>
      </c>
      <c r="B206" t="str">
        <f>卡牌总表!B206</f>
        <v>defect_hyperbeam</v>
      </c>
      <c r="C206" t="str">
        <f>卡牌总表!D206</f>
        <v>超能光束</v>
      </c>
      <c r="D206" t="str">
        <f>卡牌总表!F206</f>
        <v>攻击</v>
      </c>
      <c r="E206">
        <f>卡牌总表!AL206</f>
        <v>0</v>
      </c>
      <c r="F206" t="str">
        <f>卡牌总表!AN206</f>
        <v>群体攻击</v>
      </c>
      <c r="G206">
        <f>卡牌总表!AP206</f>
        <v>2</v>
      </c>
      <c r="H206">
        <f>IF(ISNUMBER(卡牌总表!H206),IF(AND(卡牌总表!H206=0,卡牌总表!V206=0,卡牌总表!AK206="none"),0.4,IF(卡牌总表!AK206="exhaust",MAX(卡牌总表!H206-卡牌总表!V206,0.4),IF(卡牌总表!AK206="ethereal",MAX(卡牌总表!H206-卡牌总表!V206,0.4),MAX(卡牌总表!H206-卡牌总表!V206,0.4)))),IF(OR(卡牌总表!H206="X",卡牌总表!H206="∞"),0.4,0.4))</f>
        <v>2</v>
      </c>
      <c r="I206">
        <f>卡牌总表!M206*卡牌总表!O206*参数!$B$5*IF(AND(卡牌总表!F206="能力",卡牌总表!AL206="能力持续"),参数!$B$2,1)+卡牌总表!P206*参数!$B$6*IF(AND(卡牌总表!F206="能力",卡牌总表!AL206="能力持续"),参数!$B$2,1)+卡牌总表!R206*参数!$B$7*IF(AND(卡牌总表!F206="能力",卡牌总表!AL206="能力持续"),参数!$B$2,1)+卡牌总表!V206*参数!$B$8+IF(卡牌总表!X206&lt;0,卡牌总表!X206*参数!$B$13,卡牌总表!X206*参数!$B$39)+IF(卡牌总表!AE206&lt;0,卡牌总表!AE206*参数!$B$13,卡牌总表!AE206*参数!$B$12)*参数!$B$2+卡牌总表!AQ206*参数!$B$15+卡牌总表!AB206*参数!$B$11+卡牌总表!AF206*参数!$B$40*参数!$B$2+卡牌总表!AG206*参数!$B$44*参数!$B$2+卡牌总表!AH206*参数!$B$6*参数!$B$2+卡牌总表!AI206*参数!$B$39*参数!$B$2+卡牌总表!AJ206*参数!$B$6*参数!$B$2+卡牌总表!Z206*参数!$B$13-卡牌总表!T206*参数!$B$14-卡牌总表!AD206*参数!$B$13+IF(ISNUMBER(卡牌总表!AU206),卡牌总表!AU206*参数!$B$38,0)-卡牌总表!AV206*参数!$B$41-卡牌总表!AW206*参数!$B$14</f>
        <v>12.399999999999999</v>
      </c>
      <c r="J206">
        <f>IF(AND(卡牌总表!F206="能力",卡牌总表!AL206="能力持续"),(参数!$B$2-1)*参数!$B$3,0)</f>
        <v>0</v>
      </c>
      <c r="K206">
        <f t="shared" si="10"/>
        <v>12.399999999999999</v>
      </c>
      <c r="L206">
        <f>卡牌总表!N206*卡牌总表!O206*参数!$B$5*IF(AND(卡牌总表!F206="能力",卡牌总表!AL206="能力持续"),参数!$B$2,1)+卡牌总表!Q206*参数!$B$6*IF(AND(卡牌总表!F206="能力",卡牌总表!AL206="能力持续"),参数!$B$2,1)+卡牌总表!S206*参数!$B$7*IF(AND(卡牌总表!F206="能力",卡牌总表!AL206="能力持续"),参数!$B$2,1)+卡牌总表!W206*参数!$B$8+IF(卡牌总表!Y206&lt;0,卡牌总表!Y206*参数!$B$13,卡牌总表!Y206*参数!$B$39)+IF(卡牌总表!AE206&lt;0,卡牌总表!AE206*参数!$B$13,卡牌总表!AE206*参数!$B$12)*参数!$B$2+卡牌总表!AR206*参数!$B$15+卡牌总表!AC206*参数!$B$11+卡牌总表!AF206*参数!$B$40*参数!$B$2+卡牌总表!AG206*参数!$B$44*参数!$B$2+卡牌总表!AH206*参数!$B$6*参数!$B$2+卡牌总表!AI206*参数!$B$39*参数!$B$2+卡牌总表!AJ206*参数!$B$6*参数!$B$2+卡牌总表!AA206*参数!$B$13-卡牌总表!U206*参数!$B$14-卡牌总表!AD206*参数!$B$13+IF(ISNUMBER(卡牌总表!AU206),卡牌总表!AU206*参数!$B$38,0)-卡牌总表!AV206*参数!$B$41-卡牌总表!AW206*参数!$B$14</f>
        <v>20.399999999999999</v>
      </c>
      <c r="M206">
        <f>IF(AND(卡牌总表!F206="能力",卡牌总表!AL206="能力持续"),参数!$B$2*参数!$B$3,0)</f>
        <v>0</v>
      </c>
      <c r="N206">
        <f t="shared" si="11"/>
        <v>20.399999999999999</v>
      </c>
      <c r="O206">
        <f>IFERROR(MAX(IF(K206 &gt; 参数!$B$17,参数!$B$17+SQRT(K206-参数!$B$17)*参数!$B$18,K206)-MAX(G206,0)*参数!$B$10,0)/MAX(G206,0.4),0)</f>
        <v>3.1618950038622247</v>
      </c>
      <c r="P206">
        <f>IFERROR(MAX(IF(N206 &gt; 参数!$B$17,参数!$B$17+SQRT(N206-参数!$B$17)*参数!$B$18,N206)-MAX(H206,0)*参数!$B$10,0)/MAX(H206,0.4),0)</f>
        <v>4.4186773244895647</v>
      </c>
      <c r="Q206">
        <f>卡牌总表!AO206</f>
        <v>0</v>
      </c>
    </row>
    <row r="207" spans="1:17" x14ac:dyDescent="0.3">
      <c r="A207">
        <f t="shared" si="9"/>
        <v>206</v>
      </c>
      <c r="B207" t="str">
        <f>卡牌总表!B207</f>
        <v>defect_ice_lance</v>
      </c>
      <c r="C207" t="str">
        <f>卡牌总表!D207</f>
        <v>冰之长枪</v>
      </c>
      <c r="D207" t="str">
        <f>卡牌总表!F207</f>
        <v>攻击</v>
      </c>
      <c r="E207">
        <f>卡牌总表!AL207</f>
        <v>0</v>
      </c>
      <c r="F207">
        <f>卡牌总表!AN207</f>
        <v>0</v>
      </c>
      <c r="G207">
        <f>卡牌总表!AP207</f>
        <v>3</v>
      </c>
      <c r="H207">
        <f>IF(ISNUMBER(卡牌总表!H207),IF(AND(卡牌总表!H207=0,卡牌总表!V207=0,卡牌总表!AK207="none"),0.4,IF(卡牌总表!AK207="exhaust",MAX(卡牌总表!H207-卡牌总表!V207,0.4),IF(卡牌总表!AK207="ethereal",MAX(卡牌总表!H207-卡牌总表!V207,0.4),MAX(卡牌总表!H207-卡牌总表!V207,0.4)))),IF(OR(卡牌总表!H207="X",卡牌总表!H207="∞"),0.4,0.4))</f>
        <v>3</v>
      </c>
      <c r="I207">
        <f>卡牌总表!M207*卡牌总表!O207*参数!$B$5*IF(AND(卡牌总表!F207="能力",卡牌总表!AL207="能力持续"),参数!$B$2,1)+卡牌总表!P207*参数!$B$6*IF(AND(卡牌总表!F207="能力",卡牌总表!AL207="能力持续"),参数!$B$2,1)+卡牌总表!R207*参数!$B$7*IF(AND(卡牌总表!F207="能力",卡牌总表!AL207="能力持续"),参数!$B$2,1)+卡牌总表!V207*参数!$B$8+IF(卡牌总表!X207&lt;0,卡牌总表!X207*参数!$B$13,卡牌总表!X207*参数!$B$39)+IF(卡牌总表!AE207&lt;0,卡牌总表!AE207*参数!$B$13,卡牌总表!AE207*参数!$B$12)*参数!$B$2+卡牌总表!AQ207*参数!$B$15+卡牌总表!AB207*参数!$B$11+卡牌总表!AF207*参数!$B$40*参数!$B$2+卡牌总表!AG207*参数!$B$44*参数!$B$2+卡牌总表!AH207*参数!$B$6*参数!$B$2+卡牌总表!AI207*参数!$B$39*参数!$B$2+卡牌总表!AJ207*参数!$B$6*参数!$B$2+卡牌总表!Z207*参数!$B$13-卡牌总表!T207*参数!$B$14-卡牌总表!AD207*参数!$B$13+IF(ISNUMBER(卡牌总表!AU207),卡牌总表!AU207*参数!$B$38,0)-卡牌总表!AV207*参数!$B$41-卡牌总表!AW207*参数!$B$14</f>
        <v>19</v>
      </c>
      <c r="J207">
        <f>IF(AND(卡牌总表!F207="能力",卡牌总表!AL207="能力持续"),(参数!$B$2-1)*参数!$B$3,0)</f>
        <v>0</v>
      </c>
      <c r="K207">
        <f t="shared" si="10"/>
        <v>19</v>
      </c>
      <c r="L207">
        <f>卡牌总表!N207*卡牌总表!O207*参数!$B$5*IF(AND(卡牌总表!F207="能力",卡牌总表!AL207="能力持续"),参数!$B$2,1)+卡牌总表!Q207*参数!$B$6*IF(AND(卡牌总表!F207="能力",卡牌总表!AL207="能力持续"),参数!$B$2,1)+卡牌总表!S207*参数!$B$7*IF(AND(卡牌总表!F207="能力",卡牌总表!AL207="能力持续"),参数!$B$2,1)+卡牌总表!W207*参数!$B$8+IF(卡牌总表!Y207&lt;0,卡牌总表!Y207*参数!$B$13,卡牌总表!Y207*参数!$B$39)+IF(卡牌总表!AE207&lt;0,卡牌总表!AE207*参数!$B$13,卡牌总表!AE207*参数!$B$12)*参数!$B$2+卡牌总表!AR207*参数!$B$15+卡牌总表!AC207*参数!$B$11+卡牌总表!AF207*参数!$B$40*参数!$B$2+卡牌总表!AG207*参数!$B$44*参数!$B$2+卡牌总表!AH207*参数!$B$6*参数!$B$2+卡牌总表!AI207*参数!$B$39*参数!$B$2+卡牌总表!AJ207*参数!$B$6*参数!$B$2+卡牌总表!AA207*参数!$B$13-卡牌总表!U207*参数!$B$14-卡牌总表!AD207*参数!$B$13+IF(ISNUMBER(卡牌总表!AU207),卡牌总表!AU207*参数!$B$38,0)-卡牌总表!AV207*参数!$B$41-卡牌总表!AW207*参数!$B$14</f>
        <v>24</v>
      </c>
      <c r="M207">
        <f>IF(AND(卡牌总表!F207="能力",卡牌总表!AL207="能力持续"),参数!$B$2*参数!$B$3,0)</f>
        <v>0</v>
      </c>
      <c r="N207">
        <f t="shared" si="11"/>
        <v>24</v>
      </c>
      <c r="O207">
        <f>IFERROR(MAX(IF(K207 &gt; 参数!$B$17,参数!$B$17+SQRT(K207-参数!$B$17)*参数!$B$18,K207)-MAX(G207,0)*参数!$B$10,0)/MAX(G207,0.4),0)</f>
        <v>1.8333333333333333</v>
      </c>
      <c r="P207">
        <f>IFERROR(MAX(IF(N207 &gt; 参数!$B$17,参数!$B$17+SQRT(N207-参数!$B$17)*参数!$B$18,N207)-MAX(H207,0)*参数!$B$10,0)/MAX(H207,0.4),0)</f>
        <v>2.2041620267203044</v>
      </c>
      <c r="Q207">
        <f>卡牌总表!AO207</f>
        <v>0</v>
      </c>
    </row>
    <row r="208" spans="1:17" x14ac:dyDescent="0.3">
      <c r="A208">
        <f t="shared" si="9"/>
        <v>207</v>
      </c>
      <c r="B208" t="str">
        <f>卡牌总表!B208</f>
        <v>defect_ignition</v>
      </c>
      <c r="C208" t="str">
        <f>卡牌总表!D208</f>
        <v>引火</v>
      </c>
      <c r="D208" t="str">
        <f>卡牌总表!F208</f>
        <v>技能</v>
      </c>
      <c r="E208">
        <f>卡牌总表!AL208</f>
        <v>0</v>
      </c>
      <c r="F208">
        <f>卡牌总表!AN208</f>
        <v>0</v>
      </c>
      <c r="G208">
        <f>卡牌总表!AP208</f>
        <v>1</v>
      </c>
      <c r="H208">
        <f>IF(ISNUMBER(卡牌总表!H208),IF(AND(卡牌总表!H208=0,卡牌总表!V208=0,卡牌总表!AK208="none"),0.4,IF(卡牌总表!AK208="exhaust",MAX(卡牌总表!H208-卡牌总表!V208,0.4),IF(卡牌总表!AK208="ethereal",MAX(卡牌总表!H208-卡牌总表!V208,0.4),MAX(卡牌总表!H208-卡牌总表!V208,0.4)))),IF(OR(卡牌总表!H208="X",卡牌总表!H208="∞"),0.4,0.4))</f>
        <v>1</v>
      </c>
      <c r="I208">
        <f>卡牌总表!M208*卡牌总表!O208*参数!$B$5*IF(AND(卡牌总表!F208="能力",卡牌总表!AL208="能力持续"),参数!$B$2,1)+卡牌总表!P208*参数!$B$6*IF(AND(卡牌总表!F208="能力",卡牌总表!AL208="能力持续"),参数!$B$2,1)+卡牌总表!R208*参数!$B$7*IF(AND(卡牌总表!F208="能力",卡牌总表!AL208="能力持续"),参数!$B$2,1)+卡牌总表!V208*参数!$B$8+IF(卡牌总表!X208&lt;0,卡牌总表!X208*参数!$B$13,卡牌总表!X208*参数!$B$39)+IF(卡牌总表!AE208&lt;0,卡牌总表!AE208*参数!$B$13,卡牌总表!AE208*参数!$B$12)*参数!$B$2+卡牌总表!AQ208*参数!$B$15+卡牌总表!AB208*参数!$B$11+卡牌总表!AF208*参数!$B$40*参数!$B$2+卡牌总表!AG208*参数!$B$44*参数!$B$2+卡牌总表!AH208*参数!$B$6*参数!$B$2+卡牌总表!AI208*参数!$B$39*参数!$B$2+卡牌总表!AJ208*参数!$B$6*参数!$B$2+卡牌总表!Z208*参数!$B$13-卡牌总表!T208*参数!$B$14-卡牌总表!AD208*参数!$B$13+IF(ISNUMBER(卡牌总表!AU208),卡牌总表!AU208*参数!$B$38,0)-卡牌总表!AV208*参数!$B$41-卡牌总表!AW208*参数!$B$14</f>
        <v>4</v>
      </c>
      <c r="J208">
        <f>IF(AND(卡牌总表!F208="能力",卡牌总表!AL208="能力持续"),(参数!$B$2-1)*参数!$B$3,0)</f>
        <v>0</v>
      </c>
      <c r="K208">
        <f t="shared" si="10"/>
        <v>4</v>
      </c>
      <c r="L208">
        <f>卡牌总表!N208*卡牌总表!O208*参数!$B$5*IF(AND(卡牌总表!F208="能力",卡牌总表!AL208="能力持续"),参数!$B$2,1)+卡牌总表!Q208*参数!$B$6*IF(AND(卡牌总表!F208="能力",卡牌总表!AL208="能力持续"),参数!$B$2,1)+卡牌总表!S208*参数!$B$7*IF(AND(卡牌总表!F208="能力",卡牌总表!AL208="能力持续"),参数!$B$2,1)+卡牌总表!W208*参数!$B$8+IF(卡牌总表!Y208&lt;0,卡牌总表!Y208*参数!$B$13,卡牌总表!Y208*参数!$B$39)+IF(卡牌总表!AE208&lt;0,卡牌总表!AE208*参数!$B$13,卡牌总表!AE208*参数!$B$12)*参数!$B$2+卡牌总表!AR208*参数!$B$15+卡牌总表!AC208*参数!$B$11+卡牌总表!AF208*参数!$B$40*参数!$B$2+卡牌总表!AG208*参数!$B$44*参数!$B$2+卡牌总表!AH208*参数!$B$6*参数!$B$2+卡牌总表!AI208*参数!$B$39*参数!$B$2+卡牌总表!AJ208*参数!$B$6*参数!$B$2+卡牌总表!AA208*参数!$B$13-卡牌总表!U208*参数!$B$14-卡牌总表!AD208*参数!$B$13+IF(ISNUMBER(卡牌总表!AU208),卡牌总表!AU208*参数!$B$38,0)-卡牌总表!AV208*参数!$B$41-卡牌总表!AW208*参数!$B$14</f>
        <v>0</v>
      </c>
      <c r="M208">
        <f>IF(AND(卡牌总表!F208="能力",卡牌总表!AL208="能力持续"),参数!$B$2*参数!$B$3,0)</f>
        <v>0</v>
      </c>
      <c r="N208">
        <f t="shared" si="11"/>
        <v>0</v>
      </c>
      <c r="O208">
        <f>IFERROR(MAX(IF(K208 &gt; 参数!$B$17,参数!$B$17+SQRT(K208-参数!$B$17)*参数!$B$18,K208)-MAX(G208,0)*参数!$B$10,0)/MAX(G208,0.4),0)</f>
        <v>1</v>
      </c>
      <c r="P208">
        <f>IFERROR(MAX(IF(N208 &gt; 参数!$B$17,参数!$B$17+SQRT(N208-参数!$B$17)*参数!$B$18,N208)-MAX(H208,0)*参数!$B$10,0)/MAX(H208,0.4),0)</f>
        <v>0</v>
      </c>
      <c r="Q208">
        <f>卡牌总表!AO208</f>
        <v>0</v>
      </c>
    </row>
    <row r="209" spans="1:17" x14ac:dyDescent="0.3">
      <c r="A209">
        <f t="shared" si="9"/>
        <v>208</v>
      </c>
      <c r="B209" t="str">
        <f>卡牌总表!B209</f>
        <v>defect_iteration</v>
      </c>
      <c r="C209" t="str">
        <f>卡牌总表!D209</f>
        <v>迭代</v>
      </c>
      <c r="D209" t="str">
        <f>卡牌总表!F209</f>
        <v>能力</v>
      </c>
      <c r="E209">
        <f>卡牌总表!AL209</f>
        <v>0</v>
      </c>
      <c r="F209" t="str">
        <f>卡牌总表!AN209</f>
        <v>能力</v>
      </c>
      <c r="G209">
        <f>卡牌总表!AP209</f>
        <v>1</v>
      </c>
      <c r="H209">
        <f>IF(ISNUMBER(卡牌总表!H209),IF(AND(卡牌总表!H209=0,卡牌总表!V209=0,卡牌总表!AK209="none"),0.4,IF(卡牌总表!AK209="exhaust",MAX(卡牌总表!H209-卡牌总表!V209,0.4),IF(卡牌总表!AK209="ethereal",MAX(卡牌总表!H209-卡牌总表!V209,0.4),MAX(卡牌总表!H209-卡牌总表!V209,0.4)))),IF(OR(卡牌总表!H209="X",卡牌总表!H209="∞"),0.4,0.4))</f>
        <v>1</v>
      </c>
      <c r="I209">
        <f>卡牌总表!M209*卡牌总表!O209*参数!$B$5*IF(AND(卡牌总表!F209="能力",卡牌总表!AL209="能力持续"),参数!$B$2,1)+卡牌总表!P209*参数!$B$6*IF(AND(卡牌总表!F209="能力",卡牌总表!AL209="能力持续"),参数!$B$2,1)+卡牌总表!R209*参数!$B$7*IF(AND(卡牌总表!F209="能力",卡牌总表!AL209="能力持续"),参数!$B$2,1)+卡牌总表!V209*参数!$B$8+IF(卡牌总表!X209&lt;0,卡牌总表!X209*参数!$B$13,卡牌总表!X209*参数!$B$39)+IF(卡牌总表!AE209&lt;0,卡牌总表!AE209*参数!$B$13,卡牌总表!AE209*参数!$B$12)*参数!$B$2+卡牌总表!AQ209*参数!$B$15+卡牌总表!AB209*参数!$B$11+卡牌总表!AF209*参数!$B$40*参数!$B$2+卡牌总表!AG209*参数!$B$44*参数!$B$2+卡牌总表!AH209*参数!$B$6*参数!$B$2+卡牌总表!AI209*参数!$B$39*参数!$B$2+卡牌总表!AJ209*参数!$B$6*参数!$B$2+卡牌总表!Z209*参数!$B$13-卡牌总表!T209*参数!$B$14-卡牌总表!AD209*参数!$B$13+IF(ISNUMBER(卡牌总表!AU209),卡牌总表!AU209*参数!$B$38,0)-卡牌总表!AV209*参数!$B$41-卡牌总表!AW209*参数!$B$14</f>
        <v>1.4</v>
      </c>
      <c r="J209">
        <f>IF(AND(卡牌总表!F209="能力",卡牌总表!AL209="能力持续"),(参数!$B$2-1)*参数!$B$3,0)</f>
        <v>0</v>
      </c>
      <c r="K209">
        <f t="shared" si="10"/>
        <v>1.4</v>
      </c>
      <c r="L209">
        <f>卡牌总表!N209*卡牌总表!O209*参数!$B$5*IF(AND(卡牌总表!F209="能力",卡牌总表!AL209="能力持续"),参数!$B$2,1)+卡牌总表!Q209*参数!$B$6*IF(AND(卡牌总表!F209="能力",卡牌总表!AL209="能力持续"),参数!$B$2,1)+卡牌总表!S209*参数!$B$7*IF(AND(卡牌总表!F209="能力",卡牌总表!AL209="能力持续"),参数!$B$2,1)+卡牌总表!W209*参数!$B$8+IF(卡牌总表!Y209&lt;0,卡牌总表!Y209*参数!$B$13,卡牌总表!Y209*参数!$B$39)+IF(卡牌总表!AE209&lt;0,卡牌总表!AE209*参数!$B$13,卡牌总表!AE209*参数!$B$12)*参数!$B$2+卡牌总表!AR209*参数!$B$15+卡牌总表!AC209*参数!$B$11+卡牌总表!AF209*参数!$B$40*参数!$B$2+卡牌总表!AG209*参数!$B$44*参数!$B$2+卡牌总表!AH209*参数!$B$6*参数!$B$2+卡牌总表!AI209*参数!$B$39*参数!$B$2+卡牌总表!AJ209*参数!$B$6*参数!$B$2+卡牌总表!AA209*参数!$B$13-卡牌总表!U209*参数!$B$14-卡牌总表!AD209*参数!$B$13+IF(ISNUMBER(卡牌总表!AU209),卡牌总表!AU209*参数!$B$38,0)-卡牌总表!AV209*参数!$B$41-卡牌总表!AW209*参数!$B$14</f>
        <v>2.0999999999999996</v>
      </c>
      <c r="M209">
        <f>IF(AND(卡牌总表!F209="能力",卡牌总表!AL209="能力持续"),参数!$B$2*参数!$B$3,0)</f>
        <v>0</v>
      </c>
      <c r="N209">
        <f t="shared" si="11"/>
        <v>2.0999999999999996</v>
      </c>
      <c r="O209">
        <f>IFERROR(MAX(IF(K209 &gt; 参数!$B$17,参数!$B$17+SQRT(K209-参数!$B$17)*参数!$B$18,K209)-MAX(G209,0)*参数!$B$10,0)/MAX(G209,0.4),0)</f>
        <v>0</v>
      </c>
      <c r="P209">
        <f>IFERROR(MAX(IF(N209 &gt; 参数!$B$17,参数!$B$17+SQRT(N209-参数!$B$17)*参数!$B$18,N209)-MAX(H209,0)*参数!$B$10,0)/MAX(H209,0.4),0)</f>
        <v>0</v>
      </c>
      <c r="Q209">
        <f>卡牌总表!AO209</f>
        <v>0</v>
      </c>
    </row>
    <row r="210" spans="1:17" x14ac:dyDescent="0.3">
      <c r="A210">
        <f t="shared" si="9"/>
        <v>209</v>
      </c>
      <c r="B210" t="str">
        <f>卡牌总表!B210</f>
        <v>defect_leap</v>
      </c>
      <c r="C210" t="str">
        <f>卡牌总表!D210</f>
        <v>飞跃</v>
      </c>
      <c r="D210" t="str">
        <f>卡牌总表!F210</f>
        <v>技能</v>
      </c>
      <c r="E210">
        <f>卡牌总表!AL210</f>
        <v>0</v>
      </c>
      <c r="F210">
        <f>卡牌总表!AN210</f>
        <v>0</v>
      </c>
      <c r="G210">
        <f>卡牌总表!AP210</f>
        <v>1</v>
      </c>
      <c r="H210">
        <f>IF(ISNUMBER(卡牌总表!H210),IF(AND(卡牌总表!H210=0,卡牌总表!V210=0,卡牌总表!AK210="none"),0.4,IF(卡牌总表!AK210="exhaust",MAX(卡牌总表!H210-卡牌总表!V210,0.4),IF(卡牌总表!AK210="ethereal",MAX(卡牌总表!H210-卡牌总表!V210,0.4),MAX(卡牌总表!H210-卡牌总表!V210,0.4)))),IF(OR(卡牌总表!H210="X",卡牌总表!H210="∞"),0.4,0.4))</f>
        <v>1</v>
      </c>
      <c r="I210">
        <f>卡牌总表!M210*卡牌总表!O210*参数!$B$5*IF(AND(卡牌总表!F210="能力",卡牌总表!AL210="能力持续"),参数!$B$2,1)+卡牌总表!P210*参数!$B$6*IF(AND(卡牌总表!F210="能力",卡牌总表!AL210="能力持续"),参数!$B$2,1)+卡牌总表!R210*参数!$B$7*IF(AND(卡牌总表!F210="能力",卡牌总表!AL210="能力持续"),参数!$B$2,1)+卡牌总表!V210*参数!$B$8+IF(卡牌总表!X210&lt;0,卡牌总表!X210*参数!$B$13,卡牌总表!X210*参数!$B$39)+IF(卡牌总表!AE210&lt;0,卡牌总表!AE210*参数!$B$13,卡牌总表!AE210*参数!$B$12)*参数!$B$2+卡牌总表!AQ210*参数!$B$15+卡牌总表!AB210*参数!$B$11+卡牌总表!AF210*参数!$B$40*参数!$B$2+卡牌总表!AG210*参数!$B$44*参数!$B$2+卡牌总表!AH210*参数!$B$6*参数!$B$2+卡牌总表!AI210*参数!$B$39*参数!$B$2+卡牌总表!AJ210*参数!$B$6*参数!$B$2+卡牌总表!Z210*参数!$B$13-卡牌总表!T210*参数!$B$14-卡牌总表!AD210*参数!$B$13+IF(ISNUMBER(卡牌总表!AU210),卡牌总表!AU210*参数!$B$38,0)-卡牌总表!AV210*参数!$B$41-卡牌总表!AW210*参数!$B$14</f>
        <v>9.9</v>
      </c>
      <c r="J210">
        <f>IF(AND(卡牌总表!F210="能力",卡牌总表!AL210="能力持续"),(参数!$B$2-1)*参数!$B$3,0)</f>
        <v>0</v>
      </c>
      <c r="K210">
        <f t="shared" si="10"/>
        <v>9.9</v>
      </c>
      <c r="L210">
        <f>卡牌总表!N210*卡牌总表!O210*参数!$B$5*IF(AND(卡牌总表!F210="能力",卡牌总表!AL210="能力持续"),参数!$B$2,1)+卡牌总表!Q210*参数!$B$6*IF(AND(卡牌总表!F210="能力",卡牌总表!AL210="能力持续"),参数!$B$2,1)+卡牌总表!S210*参数!$B$7*IF(AND(卡牌总表!F210="能力",卡牌总表!AL210="能力持续"),参数!$B$2,1)+卡牌总表!W210*参数!$B$8+IF(卡牌总表!Y210&lt;0,卡牌总表!Y210*参数!$B$13,卡牌总表!Y210*参数!$B$39)+IF(卡牌总表!AE210&lt;0,卡牌总表!AE210*参数!$B$13,卡牌总表!AE210*参数!$B$12)*参数!$B$2+卡牌总表!AR210*参数!$B$15+卡牌总表!AC210*参数!$B$11+卡牌总表!AF210*参数!$B$40*参数!$B$2+卡牌总表!AG210*参数!$B$44*参数!$B$2+卡牌总表!AH210*参数!$B$6*参数!$B$2+卡牌总表!AI210*参数!$B$39*参数!$B$2+卡牌总表!AJ210*参数!$B$6*参数!$B$2+卡牌总表!AA210*参数!$B$13-卡牌总表!U210*参数!$B$14-卡牌总表!AD210*参数!$B$13+IF(ISNUMBER(卡牌总表!AU210),卡牌总表!AU210*参数!$B$38,0)-卡牌总表!AV210*参数!$B$41-卡牌总表!AW210*参数!$B$14</f>
        <v>13.200000000000001</v>
      </c>
      <c r="M210">
        <f>IF(AND(卡牌总表!F210="能力",卡牌总表!AL210="能力持续"),参数!$B$2*参数!$B$3,0)</f>
        <v>0</v>
      </c>
      <c r="N210">
        <f t="shared" si="11"/>
        <v>13.200000000000001</v>
      </c>
      <c r="O210">
        <f>IFERROR(MAX(IF(K210 &gt; 参数!$B$17,参数!$B$17+SQRT(K210-参数!$B$17)*参数!$B$18,K210)-MAX(G210,0)*参数!$B$10,0)/MAX(G210,0.4),0)</f>
        <v>6.9</v>
      </c>
      <c r="P210">
        <f>IFERROR(MAX(IF(N210 &gt; 参数!$B$17,参数!$B$17+SQRT(N210-参数!$B$17)*参数!$B$18,N210)-MAX(H210,0)*参数!$B$10,0)/MAX(H210,0.4),0)</f>
        <v>9.6832815729997481</v>
      </c>
      <c r="Q210">
        <f>卡牌总表!AO210</f>
        <v>0</v>
      </c>
    </row>
    <row r="211" spans="1:17" x14ac:dyDescent="0.3">
      <c r="A211">
        <f t="shared" si="9"/>
        <v>210</v>
      </c>
      <c r="B211" t="str">
        <f>卡牌总表!B211</f>
        <v>defect_lightning_rod</v>
      </c>
      <c r="C211" t="str">
        <f>卡牌总表!D211</f>
        <v>引雷针</v>
      </c>
      <c r="D211" t="str">
        <f>卡牌总表!F211</f>
        <v>技能</v>
      </c>
      <c r="E211">
        <f>卡牌总表!AL211</f>
        <v>0</v>
      </c>
      <c r="F211">
        <f>卡牌总表!AN211</f>
        <v>0</v>
      </c>
      <c r="G211">
        <f>卡牌总表!AP211</f>
        <v>1</v>
      </c>
      <c r="H211">
        <f>IF(ISNUMBER(卡牌总表!H211),IF(AND(卡牌总表!H211=0,卡牌总表!V211=0,卡牌总表!AK211="none"),0.4,IF(卡牌总表!AK211="exhaust",MAX(卡牌总表!H211-卡牌总表!V211,0.4),IF(卡牌总表!AK211="ethereal",MAX(卡牌总表!H211-卡牌总表!V211,0.4),MAX(卡牌总表!H211-卡牌总表!V211,0.4)))),IF(OR(卡牌总表!H211="X",卡牌总表!H211="∞"),0.4,0.4))</f>
        <v>1</v>
      </c>
      <c r="I211">
        <f>卡牌总表!M211*卡牌总表!O211*参数!$B$5*IF(AND(卡牌总表!F211="能力",卡牌总表!AL211="能力持续"),参数!$B$2,1)+卡牌总表!P211*参数!$B$6*IF(AND(卡牌总表!F211="能力",卡牌总表!AL211="能力持续"),参数!$B$2,1)+卡牌总表!R211*参数!$B$7*IF(AND(卡牌总表!F211="能力",卡牌总表!AL211="能力持续"),参数!$B$2,1)+卡牌总表!V211*参数!$B$8+IF(卡牌总表!X211&lt;0,卡牌总表!X211*参数!$B$13,卡牌总表!X211*参数!$B$39)+IF(卡牌总表!AE211&lt;0,卡牌总表!AE211*参数!$B$13,卡牌总表!AE211*参数!$B$12)*参数!$B$2+卡牌总表!AQ211*参数!$B$15+卡牌总表!AB211*参数!$B$11+卡牌总表!AF211*参数!$B$40*参数!$B$2+卡牌总表!AG211*参数!$B$44*参数!$B$2+卡牌总表!AH211*参数!$B$6*参数!$B$2+卡牌总表!AI211*参数!$B$39*参数!$B$2+卡牌总表!AJ211*参数!$B$6*参数!$B$2+卡牌总表!Z211*参数!$B$13-卡牌总表!T211*参数!$B$14-卡牌总表!AD211*参数!$B$13+IF(ISNUMBER(卡牌总表!AU211),卡牌总表!AU211*参数!$B$38,0)-卡牌总表!AV211*参数!$B$41-卡牌总表!AW211*参数!$B$14</f>
        <v>4.4000000000000004</v>
      </c>
      <c r="J211">
        <f>IF(AND(卡牌总表!F211="能力",卡牌总表!AL211="能力持续"),(参数!$B$2-1)*参数!$B$3,0)</f>
        <v>0</v>
      </c>
      <c r="K211">
        <f t="shared" si="10"/>
        <v>4.4000000000000004</v>
      </c>
      <c r="L211">
        <f>卡牌总表!N211*卡牌总表!O211*参数!$B$5*IF(AND(卡牌总表!F211="能力",卡牌总表!AL211="能力持续"),参数!$B$2,1)+卡牌总表!Q211*参数!$B$6*IF(AND(卡牌总表!F211="能力",卡牌总表!AL211="能力持续"),参数!$B$2,1)+卡牌总表!S211*参数!$B$7*IF(AND(卡牌总表!F211="能力",卡牌总表!AL211="能力持续"),参数!$B$2,1)+卡牌总表!W211*参数!$B$8+IF(卡牌总表!Y211&lt;0,卡牌总表!Y211*参数!$B$13,卡牌总表!Y211*参数!$B$39)+IF(卡牌总表!AE211&lt;0,卡牌总表!AE211*参数!$B$13,卡牌总表!AE211*参数!$B$12)*参数!$B$2+卡牌总表!AR211*参数!$B$15+卡牌总表!AC211*参数!$B$11+卡牌总表!AF211*参数!$B$40*参数!$B$2+卡牌总表!AG211*参数!$B$44*参数!$B$2+卡牌总表!AH211*参数!$B$6*参数!$B$2+卡牌总表!AI211*参数!$B$39*参数!$B$2+卡牌总表!AJ211*参数!$B$6*参数!$B$2+卡牌总表!AA211*参数!$B$13-卡牌总表!U211*参数!$B$14-卡牌总表!AD211*参数!$B$13+IF(ISNUMBER(卡牌总表!AU211),卡牌总表!AU211*参数!$B$38,0)-卡牌总表!AV211*参数!$B$41-卡牌总表!AW211*参数!$B$14</f>
        <v>7.7000000000000011</v>
      </c>
      <c r="M211">
        <f>IF(AND(卡牌总表!F211="能力",卡牌总表!AL211="能力持续"),参数!$B$2*参数!$B$3,0)</f>
        <v>0</v>
      </c>
      <c r="N211">
        <f t="shared" si="11"/>
        <v>7.7000000000000011</v>
      </c>
      <c r="O211">
        <f>IFERROR(MAX(IF(K211 &gt; 参数!$B$17,参数!$B$17+SQRT(K211-参数!$B$17)*参数!$B$18,K211)-MAX(G211,0)*参数!$B$10,0)/MAX(G211,0.4),0)</f>
        <v>1.4000000000000004</v>
      </c>
      <c r="P211">
        <f>IFERROR(MAX(IF(N211 &gt; 参数!$B$17,参数!$B$17+SQRT(N211-参数!$B$17)*参数!$B$18,N211)-MAX(H211,0)*参数!$B$10,0)/MAX(H211,0.4),0)</f>
        <v>4.7000000000000011</v>
      </c>
      <c r="Q211">
        <f>卡牌总表!AO211</f>
        <v>0</v>
      </c>
    </row>
    <row r="212" spans="1:17" x14ac:dyDescent="0.3">
      <c r="A212">
        <f t="shared" si="9"/>
        <v>211</v>
      </c>
      <c r="B212" t="str">
        <f>卡牌总表!B212</f>
        <v>defect_loop</v>
      </c>
      <c r="C212" t="str">
        <f>卡牌总表!D212</f>
        <v>循环</v>
      </c>
      <c r="D212" t="str">
        <f>卡牌总表!F212</f>
        <v>能力</v>
      </c>
      <c r="E212" t="str">
        <f>卡牌总表!AL212</f>
        <v>能力持续</v>
      </c>
      <c r="F212" t="str">
        <f>卡牌总表!AN212</f>
        <v>能力</v>
      </c>
      <c r="G212">
        <f>卡牌总表!AP212</f>
        <v>1</v>
      </c>
      <c r="H212">
        <f>IF(ISNUMBER(卡牌总表!H212),IF(AND(卡牌总表!H212=0,卡牌总表!V212=0,卡牌总表!AK212="none"),0.4,IF(卡牌总表!AK212="exhaust",MAX(卡牌总表!H212-卡牌总表!V212,0.4),IF(卡牌总表!AK212="ethereal",MAX(卡牌总表!H212-卡牌总表!V212,0.4),MAX(卡牌总表!H212-卡牌总表!V212,0.4)))),IF(OR(卡牌总表!H212="X",卡牌总表!H212="∞"),0.4,0.4))</f>
        <v>1</v>
      </c>
      <c r="I212">
        <f>卡牌总表!M212*卡牌总表!O212*参数!$B$5*IF(AND(卡牌总表!F212="能力",卡牌总表!AL212="能力持续"),参数!$B$2,1)+卡牌总表!P212*参数!$B$6*IF(AND(卡牌总表!F212="能力",卡牌总表!AL212="能力持续"),参数!$B$2,1)+卡牌总表!R212*参数!$B$7*IF(AND(卡牌总表!F212="能力",卡牌总表!AL212="能力持续"),参数!$B$2,1)+卡牌总表!V212*参数!$B$8+IF(卡牌总表!X212&lt;0,卡牌总表!X212*参数!$B$13,卡牌总表!X212*参数!$B$39)+IF(卡牌总表!AE212&lt;0,卡牌总表!AE212*参数!$B$13,卡牌总表!AE212*参数!$B$12)*参数!$B$2+卡牌总表!AQ212*参数!$B$15+卡牌总表!AB212*参数!$B$11+卡牌总表!AF212*参数!$B$40*参数!$B$2+卡牌总表!AG212*参数!$B$44*参数!$B$2+卡牌总表!AH212*参数!$B$6*参数!$B$2+卡牌总表!AI212*参数!$B$39*参数!$B$2+卡牌总表!AJ212*参数!$B$6*参数!$B$2+卡牌总表!Z212*参数!$B$13-卡牌总表!T212*参数!$B$14-卡牌总表!AD212*参数!$B$13+IF(ISNUMBER(卡牌总表!AU212),卡牌总表!AU212*参数!$B$38,0)-卡牌总表!AV212*参数!$B$41-卡牌总表!AW212*参数!$B$14</f>
        <v>0</v>
      </c>
      <c r="J212">
        <f>IF(AND(卡牌总表!F212="能力",卡牌总表!AL212="能力持续"),(参数!$B$2-1)*参数!$B$3,0)</f>
        <v>3.5999999999999996</v>
      </c>
      <c r="K212">
        <f t="shared" si="10"/>
        <v>3.5999999999999996</v>
      </c>
      <c r="L212">
        <f>卡牌总表!N212*卡牌总表!O212*参数!$B$5*IF(AND(卡牌总表!F212="能力",卡牌总表!AL212="能力持续"),参数!$B$2,1)+卡牌总表!Q212*参数!$B$6*IF(AND(卡牌总表!F212="能力",卡牌总表!AL212="能力持续"),参数!$B$2,1)+卡牌总表!S212*参数!$B$7*IF(AND(卡牌总表!F212="能力",卡牌总表!AL212="能力持续"),参数!$B$2,1)+卡牌总表!W212*参数!$B$8+IF(卡牌总表!Y212&lt;0,卡牌总表!Y212*参数!$B$13,卡牌总表!Y212*参数!$B$39)+IF(卡牌总表!AE212&lt;0,卡牌总表!AE212*参数!$B$13,卡牌总表!AE212*参数!$B$12)*参数!$B$2+卡牌总表!AR212*参数!$B$15+卡牌总表!AC212*参数!$B$11+卡牌总表!AF212*参数!$B$40*参数!$B$2+卡牌总表!AG212*参数!$B$44*参数!$B$2+卡牌总表!AH212*参数!$B$6*参数!$B$2+卡牌总表!AI212*参数!$B$39*参数!$B$2+卡牌总表!AJ212*参数!$B$6*参数!$B$2+卡牌总表!AA212*参数!$B$13-卡牌总表!U212*参数!$B$14-卡牌总表!AD212*参数!$B$13+IF(ISNUMBER(卡牌总表!AU212),卡牌总表!AU212*参数!$B$38,0)-卡牌总表!AV212*参数!$B$41-卡牌总表!AW212*参数!$B$14</f>
        <v>0</v>
      </c>
      <c r="M212">
        <f>IF(AND(卡牌总表!F212="能力",卡牌总表!AL212="能力持续"),参数!$B$2*参数!$B$3,0)</f>
        <v>4.8</v>
      </c>
      <c r="N212">
        <f t="shared" si="11"/>
        <v>4.8</v>
      </c>
      <c r="O212">
        <f>IFERROR(MAX(IF(K212 &gt; 参数!$B$17,参数!$B$17+SQRT(K212-参数!$B$17)*参数!$B$18,K212)-MAX(G212,0)*参数!$B$10,0)/MAX(G212,0.4),0)</f>
        <v>0.59999999999999964</v>
      </c>
      <c r="P212">
        <f>IFERROR(MAX(IF(N212 &gt; 参数!$B$17,参数!$B$17+SQRT(N212-参数!$B$17)*参数!$B$18,N212)-MAX(H212,0)*参数!$B$10,0)/MAX(H212,0.4),0)</f>
        <v>1.7999999999999998</v>
      </c>
      <c r="Q212">
        <f>卡牌总表!AO212</f>
        <v>0</v>
      </c>
    </row>
    <row r="213" spans="1:17" x14ac:dyDescent="0.3">
      <c r="A213">
        <f t="shared" si="9"/>
        <v>212</v>
      </c>
      <c r="B213" t="str">
        <f>卡牌总表!B213</f>
        <v>defect_machine_learning</v>
      </c>
      <c r="C213" t="str">
        <f>卡牌总表!D213</f>
        <v>机器学习</v>
      </c>
      <c r="D213" t="str">
        <f>卡牌总表!F213</f>
        <v>能力</v>
      </c>
      <c r="E213" t="str">
        <f>卡牌总表!AL213</f>
        <v>能力持续</v>
      </c>
      <c r="F213" t="str">
        <f>卡牌总表!AN213</f>
        <v>能力</v>
      </c>
      <c r="G213">
        <f>卡牌总表!AP213</f>
        <v>1</v>
      </c>
      <c r="H213">
        <f>IF(ISNUMBER(卡牌总表!H213),IF(AND(卡牌总表!H213=0,卡牌总表!V213=0,卡牌总表!AK213="none"),0.4,IF(卡牌总表!AK213="exhaust",MAX(卡牌总表!H213-卡牌总表!V213,0.4),IF(卡牌总表!AK213="ethereal",MAX(卡牌总表!H213-卡牌总表!V213,0.4),MAX(卡牌总表!H213-卡牌总表!V213,0.4)))),IF(OR(卡牌总表!H213="X",卡牌总表!H213="∞"),0.4,0.4))</f>
        <v>1</v>
      </c>
      <c r="I213">
        <f>卡牌总表!M213*卡牌总表!O213*参数!$B$5*IF(AND(卡牌总表!F213="能力",卡牌总表!AL213="能力持续"),参数!$B$2,1)+卡牌总表!P213*参数!$B$6*IF(AND(卡牌总表!F213="能力",卡牌总表!AL213="能力持续"),参数!$B$2,1)+卡牌总表!R213*参数!$B$7*IF(AND(卡牌总表!F213="能力",卡牌总表!AL213="能力持续"),参数!$B$2,1)+卡牌总表!V213*参数!$B$8+IF(卡牌总表!X213&lt;0,卡牌总表!X213*参数!$B$13,卡牌总表!X213*参数!$B$39)+IF(卡牌总表!AE213&lt;0,卡牌总表!AE213*参数!$B$13,卡牌总表!AE213*参数!$B$12)*参数!$B$2+卡牌总表!AQ213*参数!$B$15+卡牌总表!AB213*参数!$B$11+卡牌总表!AF213*参数!$B$40*参数!$B$2+卡牌总表!AG213*参数!$B$44*参数!$B$2+卡牌总表!AH213*参数!$B$6*参数!$B$2+卡牌总表!AI213*参数!$B$39*参数!$B$2+卡牌总表!AJ213*参数!$B$6*参数!$B$2+卡牌总表!Z213*参数!$B$13-卡牌总表!T213*参数!$B$14-卡牌总表!AD213*参数!$B$13+IF(ISNUMBER(卡牌总表!AU213),卡牌总表!AU213*参数!$B$38,0)-卡牌总表!AV213*参数!$B$41-卡牌总表!AW213*参数!$B$14</f>
        <v>11.2</v>
      </c>
      <c r="J213">
        <f>IF(AND(卡牌总表!F213="能力",卡牌总表!AL213="能力持续"),(参数!$B$2-1)*参数!$B$3,0)</f>
        <v>3.5999999999999996</v>
      </c>
      <c r="K213">
        <f t="shared" si="10"/>
        <v>14.799999999999999</v>
      </c>
      <c r="L213">
        <f>卡牌总表!N213*卡牌总表!O213*参数!$B$5*IF(AND(卡牌总表!F213="能力",卡牌总表!AL213="能力持续"),参数!$B$2,1)+卡牌总表!Q213*参数!$B$6*IF(AND(卡牌总表!F213="能力",卡牌总表!AL213="能力持续"),参数!$B$2,1)+卡牌总表!S213*参数!$B$7*IF(AND(卡牌总表!F213="能力",卡牌总表!AL213="能力持续"),参数!$B$2,1)+卡牌总表!W213*参数!$B$8+IF(卡牌总表!Y213&lt;0,卡牌总表!Y213*参数!$B$13,卡牌总表!Y213*参数!$B$39)+IF(卡牌总表!AE213&lt;0,卡牌总表!AE213*参数!$B$13,卡牌总表!AE213*参数!$B$12)*参数!$B$2+卡牌总表!AR213*参数!$B$15+卡牌总表!AC213*参数!$B$11+卡牌总表!AF213*参数!$B$40*参数!$B$2+卡牌总表!AG213*参数!$B$44*参数!$B$2+卡牌总表!AH213*参数!$B$6*参数!$B$2+卡牌总表!AI213*参数!$B$39*参数!$B$2+卡牌总表!AJ213*参数!$B$6*参数!$B$2+卡牌总表!AA213*参数!$B$13-卡牌总表!U213*参数!$B$14-卡牌总表!AD213*参数!$B$13+IF(ISNUMBER(卡牌总表!AU213),卡牌总表!AU213*参数!$B$38,0)-卡牌总表!AV213*参数!$B$41-卡牌总表!AW213*参数!$B$14</f>
        <v>14</v>
      </c>
      <c r="M213">
        <f>IF(AND(卡牌总表!F213="能力",卡牌总表!AL213="能力持续"),参数!$B$2*参数!$B$3,0)</f>
        <v>4.8</v>
      </c>
      <c r="N213">
        <f t="shared" si="11"/>
        <v>18.8</v>
      </c>
      <c r="O213">
        <f>IFERROR(MAX(IF(K213 &gt; 参数!$B$17,参数!$B$17+SQRT(K213-参数!$B$17)*参数!$B$18,K213)-MAX(G213,0)*参数!$B$10,0)/MAX(G213,0.4),0)</f>
        <v>10.286335345030997</v>
      </c>
      <c r="P213">
        <f>IFERROR(MAX(IF(N213 &gt; 参数!$B$17,参数!$B$17+SQRT(N213-参数!$B$17)*参数!$B$18,N213)-MAX(H213,0)*参数!$B$10,0)/MAX(H213,0.4),0)</f>
        <v>11.449719092257398</v>
      </c>
      <c r="Q213">
        <f>卡牌总表!AO213</f>
        <v>0</v>
      </c>
    </row>
    <row r="214" spans="1:17" x14ac:dyDescent="0.3">
      <c r="A214">
        <f t="shared" si="9"/>
        <v>213</v>
      </c>
      <c r="B214" t="str">
        <f>卡牌总表!B214</f>
        <v>defect_meteor_strike</v>
      </c>
      <c r="C214" t="str">
        <f>卡牌总表!D214</f>
        <v>陨石打击</v>
      </c>
      <c r="D214" t="str">
        <f>卡牌总表!F214</f>
        <v>攻击</v>
      </c>
      <c r="E214">
        <f>卡牌总表!AL214</f>
        <v>0</v>
      </c>
      <c r="F214">
        <f>卡牌总表!AN214</f>
        <v>0</v>
      </c>
      <c r="G214">
        <f>卡牌总表!AP214</f>
        <v>5</v>
      </c>
      <c r="H214">
        <f>IF(ISNUMBER(卡牌总表!H214),IF(AND(卡牌总表!H214=0,卡牌总表!V214=0,卡牌总表!AK214="none"),0.4,IF(卡牌总表!AK214="exhaust",MAX(卡牌总表!H214-卡牌总表!V214,0.4),IF(卡牌总表!AK214="ethereal",MAX(卡牌总表!H214-卡牌总表!V214,0.4),MAX(卡牌总表!H214-卡牌总表!V214,0.4)))),IF(OR(卡牌总表!H214="X",卡牌总表!H214="∞"),0.4,0.4))</f>
        <v>5</v>
      </c>
      <c r="I214">
        <f>卡牌总表!M214*卡牌总表!O214*参数!$B$5*IF(AND(卡牌总表!F214="能力",卡牌总表!AL214="能力持续"),参数!$B$2,1)+卡牌总表!P214*参数!$B$6*IF(AND(卡牌总表!F214="能力",卡牌总表!AL214="能力持续"),参数!$B$2,1)+卡牌总表!R214*参数!$B$7*IF(AND(卡牌总表!F214="能力",卡牌总表!AL214="能力持续"),参数!$B$2,1)+卡牌总表!V214*参数!$B$8+IF(卡牌总表!X214&lt;0,卡牌总表!X214*参数!$B$13,卡牌总表!X214*参数!$B$39)+IF(卡牌总表!AE214&lt;0,卡牌总表!AE214*参数!$B$13,卡牌总表!AE214*参数!$B$12)*参数!$B$2+卡牌总表!AQ214*参数!$B$15+卡牌总表!AB214*参数!$B$11+卡牌总表!AF214*参数!$B$40*参数!$B$2+卡牌总表!AG214*参数!$B$44*参数!$B$2+卡牌总表!AH214*参数!$B$6*参数!$B$2+卡牌总表!AI214*参数!$B$39*参数!$B$2+卡牌总表!AJ214*参数!$B$6*参数!$B$2+卡牌总表!Z214*参数!$B$13-卡牌总表!T214*参数!$B$14-卡牌总表!AD214*参数!$B$13+IF(ISNUMBER(卡牌总表!AU214),卡牌总表!AU214*参数!$B$38,0)-卡牌总表!AV214*参数!$B$41-卡牌总表!AW214*参数!$B$14</f>
        <v>24</v>
      </c>
      <c r="J214">
        <f>IF(AND(卡牌总表!F214="能力",卡牌总表!AL214="能力持续"),(参数!$B$2-1)*参数!$B$3,0)</f>
        <v>0</v>
      </c>
      <c r="K214">
        <f t="shared" si="10"/>
        <v>24</v>
      </c>
      <c r="L214">
        <f>卡牌总表!N214*卡牌总表!O214*参数!$B$5*IF(AND(卡牌总表!F214="能力",卡牌总表!AL214="能力持续"),参数!$B$2,1)+卡牌总表!Q214*参数!$B$6*IF(AND(卡牌总表!F214="能力",卡牌总表!AL214="能力持续"),参数!$B$2,1)+卡牌总表!S214*参数!$B$7*IF(AND(卡牌总表!F214="能力",卡牌总表!AL214="能力持续"),参数!$B$2,1)+卡牌总表!W214*参数!$B$8+IF(卡牌总表!Y214&lt;0,卡牌总表!Y214*参数!$B$13,卡牌总表!Y214*参数!$B$39)+IF(卡牌总表!AE214&lt;0,卡牌总表!AE214*参数!$B$13,卡牌总表!AE214*参数!$B$12)*参数!$B$2+卡牌总表!AR214*参数!$B$15+卡牌总表!AC214*参数!$B$11+卡牌总表!AF214*参数!$B$40*参数!$B$2+卡牌总表!AG214*参数!$B$44*参数!$B$2+卡牌总表!AH214*参数!$B$6*参数!$B$2+卡牌总表!AI214*参数!$B$39*参数!$B$2+卡牌总表!AJ214*参数!$B$6*参数!$B$2+卡牌总表!AA214*参数!$B$13-卡牌总表!U214*参数!$B$14-卡牌总表!AD214*参数!$B$13+IF(ISNUMBER(卡牌总表!AU214),卡牌总表!AU214*参数!$B$38,0)-卡牌总表!AV214*参数!$B$41-卡牌总表!AW214*参数!$B$14</f>
        <v>30</v>
      </c>
      <c r="M214">
        <f>IF(AND(卡牌总表!F214="能力",卡牌总表!AL214="能力持续"),参数!$B$2*参数!$B$3,0)</f>
        <v>0</v>
      </c>
      <c r="N214">
        <f t="shared" si="11"/>
        <v>30</v>
      </c>
      <c r="O214">
        <f>IFERROR(MAX(IF(K214 &gt; 参数!$B$17,参数!$B$17+SQRT(K214-参数!$B$17)*参数!$B$18,K214)-MAX(G214,0)*参数!$B$10,0)/MAX(G214,0.4),0)</f>
        <v>0.12249721603218262</v>
      </c>
      <c r="P214">
        <f>IFERROR(MAX(IF(N214 &gt; 参数!$B$17,参数!$B$17+SQRT(N214-参数!$B$17)*参数!$B$18,N214)-MAX(H214,0)*参数!$B$10,0)/MAX(H214,0.4),0)</f>
        <v>0.34164078649987389</v>
      </c>
      <c r="Q214">
        <f>卡牌总表!AO214</f>
        <v>0</v>
      </c>
    </row>
    <row r="215" spans="1:17" x14ac:dyDescent="0.3">
      <c r="A215">
        <f t="shared" si="9"/>
        <v>214</v>
      </c>
      <c r="B215" t="str">
        <f>卡牌总表!B215</f>
        <v>defect_modded</v>
      </c>
      <c r="C215" t="str">
        <f>卡牌总表!D215</f>
        <v>模组改造</v>
      </c>
      <c r="D215" t="str">
        <f>卡牌总表!F215</f>
        <v>技能</v>
      </c>
      <c r="E215">
        <f>卡牌总表!AL215</f>
        <v>0</v>
      </c>
      <c r="F215">
        <f>卡牌总表!AN215</f>
        <v>0</v>
      </c>
      <c r="G215">
        <f>卡牌总表!AP215</f>
        <v>0.4</v>
      </c>
      <c r="H215">
        <f>IF(ISNUMBER(卡牌总表!H215),IF(AND(卡牌总表!H215=0,卡牌总表!V215=0,卡牌总表!AK215="none"),0.4,IF(卡牌总表!AK215="exhaust",MAX(卡牌总表!H215-卡牌总表!V215,0.4),IF(卡牌总表!AK215="ethereal",MAX(卡牌总表!H215-卡牌总表!V215,0.4),MAX(卡牌总表!H215-卡牌总表!V215,0.4)))),IF(OR(卡牌总表!H215="X",卡牌总表!H215="∞"),0.4,0.4))</f>
        <v>0.4</v>
      </c>
      <c r="I215">
        <f>卡牌总表!M215*卡牌总表!O215*参数!$B$5*IF(AND(卡牌总表!F215="能力",卡牌总表!AL215="能力持续"),参数!$B$2,1)+卡牌总表!P215*参数!$B$6*IF(AND(卡牌总表!F215="能力",卡牌总表!AL215="能力持续"),参数!$B$2,1)+卡牌总表!R215*参数!$B$7*IF(AND(卡牌总表!F215="能力",卡牌总表!AL215="能力持续"),参数!$B$2,1)+卡牌总表!V215*参数!$B$8+IF(卡牌总表!X215&lt;0,卡牌总表!X215*参数!$B$13,卡牌总表!X215*参数!$B$39)+IF(卡牌总表!AE215&lt;0,卡牌总表!AE215*参数!$B$13,卡牌总表!AE215*参数!$B$12)*参数!$B$2+卡牌总表!AQ215*参数!$B$15+卡牌总表!AB215*参数!$B$11+卡牌总表!AF215*参数!$B$40*参数!$B$2+卡牌总表!AG215*参数!$B$44*参数!$B$2+卡牌总表!AH215*参数!$B$6*参数!$B$2+卡牌总表!AI215*参数!$B$39*参数!$B$2+卡牌总表!AJ215*参数!$B$6*参数!$B$2+卡牌总表!Z215*参数!$B$13-卡牌总表!T215*参数!$B$14-卡牌总表!AD215*参数!$B$13+IF(ISNUMBER(卡牌总表!AU215),卡牌总表!AU215*参数!$B$38,0)-卡牌总表!AV215*参数!$B$41-卡牌总表!AW215*参数!$B$14</f>
        <v>0.7</v>
      </c>
      <c r="J215">
        <f>IF(AND(卡牌总表!F215="能力",卡牌总表!AL215="能力持续"),(参数!$B$2-1)*参数!$B$3,0)</f>
        <v>0</v>
      </c>
      <c r="K215">
        <f t="shared" si="10"/>
        <v>0.7</v>
      </c>
      <c r="L215">
        <f>卡牌总表!N215*卡牌总表!O215*参数!$B$5*IF(AND(卡牌总表!F215="能力",卡牌总表!AL215="能力持续"),参数!$B$2,1)+卡牌总表!Q215*参数!$B$6*IF(AND(卡牌总表!F215="能力",卡牌总表!AL215="能力持续"),参数!$B$2,1)+卡牌总表!S215*参数!$B$7*IF(AND(卡牌总表!F215="能力",卡牌总表!AL215="能力持续"),参数!$B$2,1)+卡牌总表!W215*参数!$B$8+IF(卡牌总表!Y215&lt;0,卡牌总表!Y215*参数!$B$13,卡牌总表!Y215*参数!$B$39)+IF(卡牌总表!AE215&lt;0,卡牌总表!AE215*参数!$B$13,卡牌总表!AE215*参数!$B$12)*参数!$B$2+卡牌总表!AR215*参数!$B$15+卡牌总表!AC215*参数!$B$11+卡牌总表!AF215*参数!$B$40*参数!$B$2+卡牌总表!AG215*参数!$B$44*参数!$B$2+卡牌总表!AH215*参数!$B$6*参数!$B$2+卡牌总表!AI215*参数!$B$39*参数!$B$2+卡牌总表!AJ215*参数!$B$6*参数!$B$2+卡牌总表!AA215*参数!$B$13-卡牌总表!U215*参数!$B$14-卡牌总表!AD215*参数!$B$13+IF(ISNUMBER(卡牌总表!AU215),卡牌总表!AU215*参数!$B$38,0)-卡牌总表!AV215*参数!$B$41-卡牌总表!AW215*参数!$B$14</f>
        <v>1.4</v>
      </c>
      <c r="M215">
        <f>IF(AND(卡牌总表!F215="能力",卡牌总表!AL215="能力持续"),参数!$B$2*参数!$B$3,0)</f>
        <v>0</v>
      </c>
      <c r="N215">
        <f t="shared" si="11"/>
        <v>1.4</v>
      </c>
      <c r="O215">
        <f>IFERROR(MAX(IF(K215 &gt; 参数!$B$17,参数!$B$17+SQRT(K215-参数!$B$17)*参数!$B$18,K215)-MAX(G215,0)*参数!$B$10,0)/MAX(G215,0.4),0)</f>
        <v>0</v>
      </c>
      <c r="P215">
        <f>IFERROR(MAX(IF(N215 &gt; 参数!$B$17,参数!$B$17+SQRT(N215-参数!$B$17)*参数!$B$18,N215)-MAX(H215,0)*参数!$B$10,0)/MAX(H215,0.4),0)</f>
        <v>0.49999999999999933</v>
      </c>
      <c r="Q215">
        <f>卡牌总表!AO215</f>
        <v>0</v>
      </c>
    </row>
    <row r="216" spans="1:17" x14ac:dyDescent="0.3">
      <c r="A216">
        <f t="shared" si="9"/>
        <v>215</v>
      </c>
      <c r="B216" t="str">
        <f>卡牌总表!B216</f>
        <v>defect_momentum_strike</v>
      </c>
      <c r="C216" t="str">
        <f>卡牌总表!D216</f>
        <v>趁势打击</v>
      </c>
      <c r="D216" t="str">
        <f>卡牌总表!F216</f>
        <v>攻击</v>
      </c>
      <c r="E216">
        <f>卡牌总表!AL216</f>
        <v>0</v>
      </c>
      <c r="F216">
        <f>卡牌总表!AN216</f>
        <v>0</v>
      </c>
      <c r="G216">
        <f>卡牌总表!AP216</f>
        <v>1</v>
      </c>
      <c r="H216">
        <f>IF(ISNUMBER(卡牌总表!H216),IF(AND(卡牌总表!H216=0,卡牌总表!V216=0,卡牌总表!AK216="none"),0.4,IF(卡牌总表!AK216="exhaust",MAX(卡牌总表!H216-卡牌总表!V216,0.4),IF(卡牌总表!AK216="ethereal",MAX(卡牌总表!H216-卡牌总表!V216,0.4),MAX(卡牌总表!H216-卡牌总表!V216,0.4)))),IF(OR(卡牌总表!H216="X",卡牌总表!H216="∞"),0.4,0.4))</f>
        <v>1</v>
      </c>
      <c r="I216">
        <f>卡牌总表!M216*卡牌总表!O216*参数!$B$5*IF(AND(卡牌总表!F216="能力",卡牌总表!AL216="能力持续"),参数!$B$2,1)+卡牌总表!P216*参数!$B$6*IF(AND(卡牌总表!F216="能力",卡牌总表!AL216="能力持续"),参数!$B$2,1)+卡牌总表!R216*参数!$B$7*IF(AND(卡牌总表!F216="能力",卡牌总表!AL216="能力持续"),参数!$B$2,1)+卡牌总表!V216*参数!$B$8+IF(卡牌总表!X216&lt;0,卡牌总表!X216*参数!$B$13,卡牌总表!X216*参数!$B$39)+IF(卡牌总表!AE216&lt;0,卡牌总表!AE216*参数!$B$13,卡牌总表!AE216*参数!$B$12)*参数!$B$2+卡牌总表!AQ216*参数!$B$15+卡牌总表!AB216*参数!$B$11+卡牌总表!AF216*参数!$B$40*参数!$B$2+卡牌总表!AG216*参数!$B$44*参数!$B$2+卡牌总表!AH216*参数!$B$6*参数!$B$2+卡牌总表!AI216*参数!$B$39*参数!$B$2+卡牌总表!AJ216*参数!$B$6*参数!$B$2+卡牌总表!Z216*参数!$B$13-卡牌总表!T216*参数!$B$14-卡牌总表!AD216*参数!$B$13+IF(ISNUMBER(卡牌总表!AU216),卡牌总表!AU216*参数!$B$38,0)-卡牌总表!AV216*参数!$B$41-卡牌总表!AW216*参数!$B$14</f>
        <v>10</v>
      </c>
      <c r="J216">
        <f>IF(AND(卡牌总表!F216="能力",卡牌总表!AL216="能力持续"),(参数!$B$2-1)*参数!$B$3,0)</f>
        <v>0</v>
      </c>
      <c r="K216">
        <f t="shared" si="10"/>
        <v>10</v>
      </c>
      <c r="L216">
        <f>卡牌总表!N216*卡牌总表!O216*参数!$B$5*IF(AND(卡牌总表!F216="能力",卡牌总表!AL216="能力持续"),参数!$B$2,1)+卡牌总表!Q216*参数!$B$6*IF(AND(卡牌总表!F216="能力",卡牌总表!AL216="能力持续"),参数!$B$2,1)+卡牌总表!S216*参数!$B$7*IF(AND(卡牌总表!F216="能力",卡牌总表!AL216="能力持续"),参数!$B$2,1)+卡牌总表!W216*参数!$B$8+IF(卡牌总表!Y216&lt;0,卡牌总表!Y216*参数!$B$13,卡牌总表!Y216*参数!$B$39)+IF(卡牌总表!AE216&lt;0,卡牌总表!AE216*参数!$B$13,卡牌总表!AE216*参数!$B$12)*参数!$B$2+卡牌总表!AR216*参数!$B$15+卡牌总表!AC216*参数!$B$11+卡牌总表!AF216*参数!$B$40*参数!$B$2+卡牌总表!AG216*参数!$B$44*参数!$B$2+卡牌总表!AH216*参数!$B$6*参数!$B$2+卡牌总表!AI216*参数!$B$39*参数!$B$2+卡牌总表!AJ216*参数!$B$6*参数!$B$2+卡牌总表!AA216*参数!$B$13-卡牌总表!U216*参数!$B$14-卡牌总表!AD216*参数!$B$13+IF(ISNUMBER(卡牌总表!AU216),卡牌总表!AU216*参数!$B$38,0)-卡牌总表!AV216*参数!$B$41-卡牌总表!AW216*参数!$B$14</f>
        <v>13</v>
      </c>
      <c r="M216">
        <f>IF(AND(卡牌总表!F216="能力",卡牌总表!AL216="能力持续"),参数!$B$2*参数!$B$3,0)</f>
        <v>0</v>
      </c>
      <c r="N216">
        <f t="shared" si="11"/>
        <v>13</v>
      </c>
      <c r="O216">
        <f>IFERROR(MAX(IF(K216 &gt; 参数!$B$17,参数!$B$17+SQRT(K216-参数!$B$17)*参数!$B$18,K216)-MAX(G216,0)*参数!$B$10,0)/MAX(G216,0.4),0)</f>
        <v>7</v>
      </c>
      <c r="P216">
        <f>IFERROR(MAX(IF(N216 &gt; 参数!$B$17,参数!$B$17+SQRT(N216-参数!$B$17)*参数!$B$18,N216)-MAX(H216,0)*参数!$B$10,0)/MAX(H216,0.4),0)</f>
        <v>9.598076211353316</v>
      </c>
      <c r="Q216">
        <f>卡牌总表!AO216</f>
        <v>0</v>
      </c>
    </row>
    <row r="217" spans="1:17" x14ac:dyDescent="0.3">
      <c r="A217">
        <f t="shared" si="9"/>
        <v>216</v>
      </c>
      <c r="B217" t="str">
        <f>卡牌总表!B217</f>
        <v>defect_multi_cast</v>
      </c>
      <c r="C217" t="str">
        <f>卡牌总表!D217</f>
        <v>多重释放</v>
      </c>
      <c r="D217" t="str">
        <f>卡牌总表!F217</f>
        <v>技能</v>
      </c>
      <c r="E217">
        <f>卡牌总表!AL217</f>
        <v>0</v>
      </c>
      <c r="F217">
        <f>卡牌总表!AN217</f>
        <v>0</v>
      </c>
      <c r="G217">
        <f>卡牌总表!AP217</f>
        <v>0.4</v>
      </c>
      <c r="H217">
        <f>IF(ISNUMBER(卡牌总表!H217),IF(AND(卡牌总表!H217=0,卡牌总表!V217=0,卡牌总表!AK217="none"),0.4,IF(卡牌总表!AK217="exhaust",MAX(卡牌总表!H217-卡牌总表!V217,0.4),IF(卡牌总表!AK217="ethereal",MAX(卡牌总表!H217-卡牌总表!V217,0.4),MAX(卡牌总表!H217-卡牌总表!V217,0.4)))),IF(OR(卡牌总表!H217="X",卡牌总表!H217="∞"),0.4,0.4))</f>
        <v>0.4</v>
      </c>
      <c r="I217">
        <f>卡牌总表!M217*卡牌总表!O217*参数!$B$5*IF(AND(卡牌总表!F217="能力",卡牌总表!AL217="能力持续"),参数!$B$2,1)+卡牌总表!P217*参数!$B$6*IF(AND(卡牌总表!F217="能力",卡牌总表!AL217="能力持续"),参数!$B$2,1)+卡牌总表!R217*参数!$B$7*IF(AND(卡牌总表!F217="能力",卡牌总表!AL217="能力持续"),参数!$B$2,1)+卡牌总表!V217*参数!$B$8+IF(卡牌总表!X217&lt;0,卡牌总表!X217*参数!$B$13,卡牌总表!X217*参数!$B$39)+IF(卡牌总表!AE217&lt;0,卡牌总表!AE217*参数!$B$13,卡牌总表!AE217*参数!$B$12)*参数!$B$2+卡牌总表!AQ217*参数!$B$15+卡牌总表!AB217*参数!$B$11+卡牌总表!AF217*参数!$B$40*参数!$B$2+卡牌总表!AG217*参数!$B$44*参数!$B$2+卡牌总表!AH217*参数!$B$6*参数!$B$2+卡牌总表!AI217*参数!$B$39*参数!$B$2+卡牌总表!AJ217*参数!$B$6*参数!$B$2+卡牌总表!Z217*参数!$B$13-卡牌总表!T217*参数!$B$14-卡牌总表!AD217*参数!$B$13+IF(ISNUMBER(卡牌总表!AU217),卡牌总表!AU217*参数!$B$38,0)-卡牌总表!AV217*参数!$B$41-卡牌总表!AW217*参数!$B$14</f>
        <v>28</v>
      </c>
      <c r="J217">
        <f>IF(AND(卡牌总表!F217="能力",卡牌总表!AL217="能力持续"),(参数!$B$2-1)*参数!$B$3,0)</f>
        <v>0</v>
      </c>
      <c r="K217">
        <f t="shared" si="10"/>
        <v>28</v>
      </c>
      <c r="L217">
        <f>卡牌总表!N217*卡牌总表!O217*参数!$B$5*IF(AND(卡牌总表!F217="能力",卡牌总表!AL217="能力持续"),参数!$B$2,1)+卡牌总表!Q217*参数!$B$6*IF(AND(卡牌总表!F217="能力",卡牌总表!AL217="能力持续"),参数!$B$2,1)+卡牌总表!S217*参数!$B$7*IF(AND(卡牌总表!F217="能力",卡牌总表!AL217="能力持续"),参数!$B$2,1)+卡牌总表!W217*参数!$B$8+IF(卡牌总表!Y217&lt;0,卡牌总表!Y217*参数!$B$13,卡牌总表!Y217*参数!$B$39)+IF(卡牌总表!AE217&lt;0,卡牌总表!AE217*参数!$B$13,卡牌总表!AE217*参数!$B$12)*参数!$B$2+卡牌总表!AR217*参数!$B$15+卡牌总表!AC217*参数!$B$11+卡牌总表!AF217*参数!$B$40*参数!$B$2+卡牌总表!AG217*参数!$B$44*参数!$B$2+卡牌总表!AH217*参数!$B$6*参数!$B$2+卡牌总表!AI217*参数!$B$39*参数!$B$2+卡牌总表!AJ217*参数!$B$6*参数!$B$2+卡牌总表!AA217*参数!$B$13-卡牌总表!U217*参数!$B$14-卡牌总表!AD217*参数!$B$13+IF(ISNUMBER(卡牌总表!AU217),卡牌总表!AU217*参数!$B$38,0)-卡牌总表!AV217*参数!$B$41-卡牌总表!AW217*参数!$B$14</f>
        <v>0</v>
      </c>
      <c r="M217">
        <f>IF(AND(卡牌总表!F217="能力",卡牌总表!AL217="能力持续"),参数!$B$2*参数!$B$3,0)</f>
        <v>0</v>
      </c>
      <c r="N217">
        <f t="shared" si="11"/>
        <v>0</v>
      </c>
      <c r="O217">
        <f>IFERROR(MAX(IF(K217 &gt; 参数!$B$17,参数!$B$17+SQRT(K217-参数!$B$17)*参数!$B$18,K217)-MAX(G217,0)*参数!$B$10,0)/MAX(G217,0.4),0)</f>
        <v>37.90990257669732</v>
      </c>
      <c r="P217">
        <f>IFERROR(MAX(IF(N217 &gt; 参数!$B$17,参数!$B$17+SQRT(N217-参数!$B$17)*参数!$B$18,N217)-MAX(H217,0)*参数!$B$10,0)/MAX(H217,0.4),0)</f>
        <v>0</v>
      </c>
      <c r="Q217">
        <f>卡牌总表!AO217</f>
        <v>0</v>
      </c>
    </row>
    <row r="218" spans="1:17" x14ac:dyDescent="0.3">
      <c r="A218">
        <f t="shared" si="9"/>
        <v>217</v>
      </c>
      <c r="B218" t="str">
        <f>卡牌总表!B218</f>
        <v>defect_null</v>
      </c>
      <c r="C218" t="str">
        <f>卡牌总表!D218</f>
        <v>空值</v>
      </c>
      <c r="D218" t="str">
        <f>卡牌总表!F218</f>
        <v>攻击</v>
      </c>
      <c r="E218">
        <f>卡牌总表!AL218</f>
        <v>0</v>
      </c>
      <c r="F218">
        <f>卡牌总表!AN218</f>
        <v>0</v>
      </c>
      <c r="G218">
        <f>卡牌总表!AP218</f>
        <v>2</v>
      </c>
      <c r="H218">
        <f>IF(ISNUMBER(卡牌总表!H218),IF(AND(卡牌总表!H218=0,卡牌总表!V218=0,卡牌总表!AK218="none"),0.4,IF(卡牌总表!AK218="exhaust",MAX(卡牌总表!H218-卡牌总表!V218,0.4),IF(卡牌总表!AK218="ethereal",MAX(卡牌总表!H218-卡牌总表!V218,0.4),MAX(卡牌总表!H218-卡牌总表!V218,0.4)))),IF(OR(卡牌总表!H218="X",卡牌总表!H218="∞"),0.4,0.4))</f>
        <v>2</v>
      </c>
      <c r="I218">
        <f>卡牌总表!M218*卡牌总表!O218*参数!$B$5*IF(AND(卡牌总表!F218="能力",卡牌总表!AL218="能力持续"),参数!$B$2,1)+卡牌总表!P218*参数!$B$6*IF(AND(卡牌总表!F218="能力",卡牌总表!AL218="能力持续"),参数!$B$2,1)+卡牌总表!R218*参数!$B$7*IF(AND(卡牌总表!F218="能力",卡牌总表!AL218="能力持续"),参数!$B$2,1)+卡牌总表!V218*参数!$B$8+IF(卡牌总表!X218&lt;0,卡牌总表!X218*参数!$B$13,卡牌总表!X218*参数!$B$39)+IF(卡牌总表!AE218&lt;0,卡牌总表!AE218*参数!$B$13,卡牌总表!AE218*参数!$B$12)*参数!$B$2+卡牌总表!AQ218*参数!$B$15+卡牌总表!AB218*参数!$B$11+卡牌总表!AF218*参数!$B$40*参数!$B$2+卡牌总表!AG218*参数!$B$44*参数!$B$2+卡牌总表!AH218*参数!$B$6*参数!$B$2+卡牌总表!AI218*参数!$B$39*参数!$B$2+卡牌总表!AJ218*参数!$B$6*参数!$B$2+卡牌总表!Z218*参数!$B$13-卡牌总表!T218*参数!$B$14-卡牌总表!AD218*参数!$B$13+IF(ISNUMBER(卡牌总表!AU218),卡牌总表!AU218*参数!$B$38,0)-卡牌总表!AV218*参数!$B$41-卡牌总表!AW218*参数!$B$14</f>
        <v>13</v>
      </c>
      <c r="J218">
        <f>IF(AND(卡牌总表!F218="能力",卡牌总表!AL218="能力持续"),(参数!$B$2-1)*参数!$B$3,0)</f>
        <v>0</v>
      </c>
      <c r="K218">
        <f t="shared" si="10"/>
        <v>13</v>
      </c>
      <c r="L218">
        <f>卡牌总表!N218*卡牌总表!O218*参数!$B$5*IF(AND(卡牌总表!F218="能力",卡牌总表!AL218="能力持续"),参数!$B$2,1)+卡牌总表!Q218*参数!$B$6*IF(AND(卡牌总表!F218="能力",卡牌总表!AL218="能力持续"),参数!$B$2,1)+卡牌总表!S218*参数!$B$7*IF(AND(卡牌总表!F218="能力",卡牌总表!AL218="能力持续"),参数!$B$2,1)+卡牌总表!W218*参数!$B$8+IF(卡牌总表!Y218&lt;0,卡牌总表!Y218*参数!$B$13,卡牌总表!Y218*参数!$B$39)+IF(卡牌总表!AE218&lt;0,卡牌总表!AE218*参数!$B$13,卡牌总表!AE218*参数!$B$12)*参数!$B$2+卡牌总表!AR218*参数!$B$15+卡牌总表!AC218*参数!$B$11+卡牌总表!AF218*参数!$B$40*参数!$B$2+卡牌总表!AG218*参数!$B$44*参数!$B$2+卡牌总表!AH218*参数!$B$6*参数!$B$2+卡牌总表!AI218*参数!$B$39*参数!$B$2+卡牌总表!AJ218*参数!$B$6*参数!$B$2+卡牌总表!AA218*参数!$B$13-卡牌总表!U218*参数!$B$14-卡牌总表!AD218*参数!$B$13+IF(ISNUMBER(卡牌总表!AU218),卡牌总表!AU218*参数!$B$38,0)-卡牌总表!AV218*参数!$B$41-卡牌总表!AW218*参数!$B$14</f>
        <v>16</v>
      </c>
      <c r="M218">
        <f>IF(AND(卡牌总表!F218="能力",卡牌总表!AL218="能力持续"),参数!$B$2*参数!$B$3,0)</f>
        <v>0</v>
      </c>
      <c r="N218">
        <f t="shared" si="11"/>
        <v>16</v>
      </c>
      <c r="O218">
        <f>IFERROR(MAX(IF(K218 &gt; 参数!$B$17,参数!$B$17+SQRT(K218-参数!$B$17)*参数!$B$18,K218)-MAX(G218,0)*参数!$B$10,0)/MAX(G218,0.4),0)</f>
        <v>3.299038105676658</v>
      </c>
      <c r="P218">
        <f>IFERROR(MAX(IF(N218 &gt; 参数!$B$17,参数!$B$17+SQRT(N218-参数!$B$17)*参数!$B$18,N218)-MAX(H218,0)*参数!$B$10,0)/MAX(H218,0.4),0)</f>
        <v>3.8371173070873832</v>
      </c>
      <c r="Q218">
        <f>卡牌总表!AO218</f>
        <v>0</v>
      </c>
    </row>
    <row r="219" spans="1:17" x14ac:dyDescent="0.3">
      <c r="A219">
        <f t="shared" si="9"/>
        <v>218</v>
      </c>
      <c r="B219" t="str">
        <f>卡牌总表!B219</f>
        <v>defect_overclock</v>
      </c>
      <c r="C219" t="str">
        <f>卡牌总表!D219</f>
        <v>超频</v>
      </c>
      <c r="D219" t="str">
        <f>卡牌总表!F219</f>
        <v>技能</v>
      </c>
      <c r="E219">
        <f>卡牌总表!AL219</f>
        <v>0</v>
      </c>
      <c r="F219">
        <f>卡牌总表!AN219</f>
        <v>0</v>
      </c>
      <c r="G219">
        <f>卡牌总表!AP219</f>
        <v>0.4</v>
      </c>
      <c r="H219">
        <f>IF(ISNUMBER(卡牌总表!H219),IF(AND(卡牌总表!H219=0,卡牌总表!V219=0,卡牌总表!AK219="none"),0.4,IF(卡牌总表!AK219="exhaust",MAX(卡牌总表!H219-卡牌总表!V219,0.4),IF(卡牌总表!AK219="ethereal",MAX(卡牌总表!H219-卡牌总表!V219,0.4),MAX(卡牌总表!H219-卡牌总表!V219,0.4)))),IF(OR(卡牌总表!H219="X",卡牌总表!H219="∞"),0.4,0.4))</f>
        <v>0.4</v>
      </c>
      <c r="I219">
        <f>卡牌总表!M219*卡牌总表!O219*参数!$B$5*IF(AND(卡牌总表!F219="能力",卡牌总表!AL219="能力持续"),参数!$B$2,1)+卡牌总表!P219*参数!$B$6*IF(AND(卡牌总表!F219="能力",卡牌总表!AL219="能力持续"),参数!$B$2,1)+卡牌总表!R219*参数!$B$7*IF(AND(卡牌总表!F219="能力",卡牌总表!AL219="能力持续"),参数!$B$2,1)+卡牌总表!V219*参数!$B$8+IF(卡牌总表!X219&lt;0,卡牌总表!X219*参数!$B$13,卡牌总表!X219*参数!$B$39)+IF(卡牌总表!AE219&lt;0,卡牌总表!AE219*参数!$B$13,卡牌总表!AE219*参数!$B$12)*参数!$B$2+卡牌总表!AQ219*参数!$B$15+卡牌总表!AB219*参数!$B$11+卡牌总表!AF219*参数!$B$40*参数!$B$2+卡牌总表!AG219*参数!$B$44*参数!$B$2+卡牌总表!AH219*参数!$B$6*参数!$B$2+卡牌总表!AI219*参数!$B$39*参数!$B$2+卡牌总表!AJ219*参数!$B$6*参数!$B$2+卡牌总表!Z219*参数!$B$13-卡牌总表!T219*参数!$B$14-卡牌总表!AD219*参数!$B$13+IF(ISNUMBER(卡牌总表!AU219),卡牌总表!AU219*参数!$B$38,0)-卡牌总表!AV219*参数!$B$41-卡牌总表!AW219*参数!$B$14</f>
        <v>-0.10000000000000009</v>
      </c>
      <c r="J219">
        <f>IF(AND(卡牌总表!F219="能力",卡牌总表!AL219="能力持续"),(参数!$B$2-1)*参数!$B$3,0)</f>
        <v>0</v>
      </c>
      <c r="K219">
        <f t="shared" si="10"/>
        <v>-0.10000000000000009</v>
      </c>
      <c r="L219">
        <f>卡牌总表!N219*卡牌总表!O219*参数!$B$5*IF(AND(卡牌总表!F219="能力",卡牌总表!AL219="能力持续"),参数!$B$2,1)+卡牌总表!Q219*参数!$B$6*IF(AND(卡牌总表!F219="能力",卡牌总表!AL219="能力持续"),参数!$B$2,1)+卡牌总表!S219*参数!$B$7*IF(AND(卡牌总表!F219="能力",卡牌总表!AL219="能力持续"),参数!$B$2,1)+卡牌总表!W219*参数!$B$8+IF(卡牌总表!Y219&lt;0,卡牌总表!Y219*参数!$B$13,卡牌总表!Y219*参数!$B$39)+IF(卡牌总表!AE219&lt;0,卡牌总表!AE219*参数!$B$13,卡牌总表!AE219*参数!$B$12)*参数!$B$2+卡牌总表!AR219*参数!$B$15+卡牌总表!AC219*参数!$B$11+卡牌总表!AF219*参数!$B$40*参数!$B$2+卡牌总表!AG219*参数!$B$44*参数!$B$2+卡牌总表!AH219*参数!$B$6*参数!$B$2+卡牌总表!AI219*参数!$B$39*参数!$B$2+卡牌总表!AJ219*参数!$B$6*参数!$B$2+卡牌总表!AA219*参数!$B$13-卡牌总表!U219*参数!$B$14-卡牌总表!AD219*参数!$B$13+IF(ISNUMBER(卡牌总表!AU219),卡牌总表!AU219*参数!$B$38,0)-卡牌总表!AV219*参数!$B$41-卡牌总表!AW219*参数!$B$14</f>
        <v>0.59999999999999964</v>
      </c>
      <c r="M219">
        <f>IF(AND(卡牌总表!F219="能力",卡牌总表!AL219="能力持续"),参数!$B$2*参数!$B$3,0)</f>
        <v>0</v>
      </c>
      <c r="N219">
        <f t="shared" si="11"/>
        <v>0.59999999999999964</v>
      </c>
      <c r="O219">
        <f>IFERROR(MAX(IF(K219 &gt; 参数!$B$17,参数!$B$17+SQRT(K219-参数!$B$17)*参数!$B$18,K219)-MAX(G219,0)*参数!$B$10,0)/MAX(G219,0.4),0)</f>
        <v>0</v>
      </c>
      <c r="P219">
        <f>IFERROR(MAX(IF(N219 &gt; 参数!$B$17,参数!$B$17+SQRT(N219-参数!$B$17)*参数!$B$18,N219)-MAX(H219,0)*参数!$B$10,0)/MAX(H219,0.4),0)</f>
        <v>0</v>
      </c>
      <c r="Q219">
        <f>卡牌总表!AO219</f>
        <v>0</v>
      </c>
    </row>
    <row r="220" spans="1:17" x14ac:dyDescent="0.3">
      <c r="A220">
        <f t="shared" si="9"/>
        <v>219</v>
      </c>
      <c r="B220" t="str">
        <f>卡牌总表!B220</f>
        <v>defect_quadcast</v>
      </c>
      <c r="C220" t="str">
        <f>卡牌总表!D220</f>
        <v>四重释放</v>
      </c>
      <c r="D220" t="str">
        <f>卡牌总表!F220</f>
        <v>技能</v>
      </c>
      <c r="E220">
        <f>卡牌总表!AL220</f>
        <v>0</v>
      </c>
      <c r="F220">
        <f>卡牌总表!AN220</f>
        <v>0</v>
      </c>
      <c r="G220">
        <f>卡牌总表!AP220</f>
        <v>1</v>
      </c>
      <c r="H220">
        <f>IF(ISNUMBER(卡牌总表!H220),IF(AND(卡牌总表!H220=0,卡牌总表!V220=0,卡牌总表!AK220="none"),0.4,IF(卡牌总表!AK220="exhaust",MAX(卡牌总表!H220-卡牌总表!V220,0.4),IF(卡牌总表!AK220="ethereal",MAX(卡牌总表!H220-卡牌总表!V220,0.4),MAX(卡牌总表!H220-卡牌总表!V220,0.4)))),IF(OR(卡牌总表!H220="X",卡牌总表!H220="∞"),0.4,0.4))</f>
        <v>1</v>
      </c>
      <c r="I220">
        <f>卡牌总表!M220*卡牌总表!O220*参数!$B$5*IF(AND(卡牌总表!F220="能力",卡牌总表!AL220="能力持续"),参数!$B$2,1)+卡牌总表!P220*参数!$B$6*IF(AND(卡牌总表!F220="能力",卡牌总表!AL220="能力持续"),参数!$B$2,1)+卡牌总表!R220*参数!$B$7*IF(AND(卡牌总表!F220="能力",卡牌总表!AL220="能力持续"),参数!$B$2,1)+卡牌总表!V220*参数!$B$8+IF(卡牌总表!X220&lt;0,卡牌总表!X220*参数!$B$13,卡牌总表!X220*参数!$B$39)+IF(卡牌总表!AE220&lt;0,卡牌总表!AE220*参数!$B$13,卡牌总表!AE220*参数!$B$12)*参数!$B$2+卡牌总表!AQ220*参数!$B$15+卡牌总表!AB220*参数!$B$11+卡牌总表!AF220*参数!$B$40*参数!$B$2+卡牌总表!AG220*参数!$B$44*参数!$B$2+卡牌总表!AH220*参数!$B$6*参数!$B$2+卡牌总表!AI220*参数!$B$39*参数!$B$2+卡牌总表!AJ220*参数!$B$6*参数!$B$2+卡牌总表!Z220*参数!$B$13-卡牌总表!T220*参数!$B$14-卡牌总表!AD220*参数!$B$13+IF(ISNUMBER(卡牌总表!AU220),卡牌总表!AU220*参数!$B$38,0)-卡牌总表!AV220*参数!$B$41-卡牌总表!AW220*参数!$B$14</f>
        <v>128</v>
      </c>
      <c r="J220">
        <f>IF(AND(卡牌总表!F220="能力",卡牌总表!AL220="能力持续"),(参数!$B$2-1)*参数!$B$3,0)</f>
        <v>0</v>
      </c>
      <c r="K220">
        <f t="shared" si="10"/>
        <v>128</v>
      </c>
      <c r="L220">
        <f>卡牌总表!N220*卡牌总表!O220*参数!$B$5*IF(AND(卡牌总表!F220="能力",卡牌总表!AL220="能力持续"),参数!$B$2,1)+卡牌总表!Q220*参数!$B$6*IF(AND(卡牌总表!F220="能力",卡牌总表!AL220="能力持续"),参数!$B$2,1)+卡牌总表!S220*参数!$B$7*IF(AND(卡牌总表!F220="能力",卡牌总表!AL220="能力持续"),参数!$B$2,1)+卡牌总表!W220*参数!$B$8+IF(卡牌总表!Y220&lt;0,卡牌总表!Y220*参数!$B$13,卡牌总表!Y220*参数!$B$39)+IF(卡牌总表!AE220&lt;0,卡牌总表!AE220*参数!$B$13,卡牌总表!AE220*参数!$B$12)*参数!$B$2+卡牌总表!AR220*参数!$B$15+卡牌总表!AC220*参数!$B$11+卡牌总表!AF220*参数!$B$40*参数!$B$2+卡牌总表!AG220*参数!$B$44*参数!$B$2+卡牌总表!AH220*参数!$B$6*参数!$B$2+卡牌总表!AI220*参数!$B$39*参数!$B$2+卡牌总表!AJ220*参数!$B$6*参数!$B$2+卡牌总表!AA220*参数!$B$13-卡牌总表!U220*参数!$B$14-卡牌总表!AD220*参数!$B$13+IF(ISNUMBER(卡牌总表!AU220),卡牌总表!AU220*参数!$B$38,0)-卡牌总表!AV220*参数!$B$41-卡牌总表!AW220*参数!$B$14</f>
        <v>0</v>
      </c>
      <c r="M220">
        <f>IF(AND(卡牌总表!F220="能力",卡牌总表!AL220="能力持续"),参数!$B$2*参数!$B$3,0)</f>
        <v>0</v>
      </c>
      <c r="N220">
        <f t="shared" si="11"/>
        <v>0</v>
      </c>
      <c r="O220">
        <f>IFERROR(MAX(IF(K220 &gt; 参数!$B$17,参数!$B$17+SQRT(K220-参数!$B$17)*参数!$B$18,K220)-MAX(G220,0)*参数!$B$10,0)/MAX(G220,0.4),0)</f>
        <v>23.294170736800325</v>
      </c>
      <c r="P220">
        <f>IFERROR(MAX(IF(N220 &gt; 参数!$B$17,参数!$B$17+SQRT(N220-参数!$B$17)*参数!$B$18,N220)-MAX(H220,0)*参数!$B$10,0)/MAX(H220,0.4),0)</f>
        <v>0</v>
      </c>
      <c r="Q220">
        <f>卡牌总表!AO220</f>
        <v>0</v>
      </c>
    </row>
    <row r="221" spans="1:17" x14ac:dyDescent="0.3">
      <c r="A221">
        <f t="shared" si="9"/>
        <v>220</v>
      </c>
      <c r="B221" t="str">
        <f>卡牌总表!B221</f>
        <v>defect_rainbow</v>
      </c>
      <c r="C221" t="str">
        <f>卡牌总表!D221</f>
        <v>彩虹</v>
      </c>
      <c r="D221" t="str">
        <f>卡牌总表!F221</f>
        <v>技能</v>
      </c>
      <c r="E221">
        <f>卡牌总表!AL221</f>
        <v>0</v>
      </c>
      <c r="F221">
        <f>卡牌总表!AN221</f>
        <v>0</v>
      </c>
      <c r="G221">
        <f>卡牌总表!AP221</f>
        <v>2</v>
      </c>
      <c r="H221">
        <f>IF(ISNUMBER(卡牌总表!H221),IF(AND(卡牌总表!H221=0,卡牌总表!V221=0,卡牌总表!AK221="none"),0.4,IF(卡牌总表!AK221="exhaust",MAX(卡牌总表!H221-卡牌总表!V221,0.4),IF(卡牌总表!AK221="ethereal",MAX(卡牌总表!H221-卡牌总表!V221,0.4),MAX(卡牌总表!H221-卡牌总表!V221,0.4)))),IF(OR(卡牌总表!H221="X",卡牌总表!H221="∞"),0.4,0.4))</f>
        <v>2</v>
      </c>
      <c r="I221">
        <f>卡牌总表!M221*卡牌总表!O221*参数!$B$5*IF(AND(卡牌总表!F221="能力",卡牌总表!AL221="能力持续"),参数!$B$2,1)+卡牌总表!P221*参数!$B$6*IF(AND(卡牌总表!F221="能力",卡牌总表!AL221="能力持续"),参数!$B$2,1)+卡牌总表!R221*参数!$B$7*IF(AND(卡牌总表!F221="能力",卡牌总表!AL221="能力持续"),参数!$B$2,1)+卡牌总表!V221*参数!$B$8+IF(卡牌总表!X221&lt;0,卡牌总表!X221*参数!$B$13,卡牌总表!X221*参数!$B$39)+IF(卡牌总表!AE221&lt;0,卡牌总表!AE221*参数!$B$13,卡牌总表!AE221*参数!$B$12)*参数!$B$2+卡牌总表!AQ221*参数!$B$15+卡牌总表!AB221*参数!$B$11+卡牌总表!AF221*参数!$B$40*参数!$B$2+卡牌总表!AG221*参数!$B$44*参数!$B$2+卡牌总表!AH221*参数!$B$6*参数!$B$2+卡牌总表!AI221*参数!$B$39*参数!$B$2+卡牌总表!AJ221*参数!$B$6*参数!$B$2+卡牌总表!Z221*参数!$B$13-卡牌总表!T221*参数!$B$14-卡牌总表!AD221*参数!$B$13+IF(ISNUMBER(卡牌总表!AU221),卡牌总表!AU221*参数!$B$38,0)-卡牌总表!AV221*参数!$B$41-卡牌总表!AW221*参数!$B$14</f>
        <v>24</v>
      </c>
      <c r="J221">
        <f>IF(AND(卡牌总表!F221="能力",卡牌总表!AL221="能力持续"),(参数!$B$2-1)*参数!$B$3,0)</f>
        <v>0</v>
      </c>
      <c r="K221">
        <f t="shared" si="10"/>
        <v>24</v>
      </c>
      <c r="L221">
        <f>卡牌总表!N221*卡牌总表!O221*参数!$B$5*IF(AND(卡牌总表!F221="能力",卡牌总表!AL221="能力持续"),参数!$B$2,1)+卡牌总表!Q221*参数!$B$6*IF(AND(卡牌总表!F221="能力",卡牌总表!AL221="能力持续"),参数!$B$2,1)+卡牌总表!S221*参数!$B$7*IF(AND(卡牌总表!F221="能力",卡牌总表!AL221="能力持续"),参数!$B$2,1)+卡牌总表!W221*参数!$B$8+IF(卡牌总表!Y221&lt;0,卡牌总表!Y221*参数!$B$13,卡牌总表!Y221*参数!$B$39)+IF(卡牌总表!AE221&lt;0,卡牌总表!AE221*参数!$B$13,卡牌总表!AE221*参数!$B$12)*参数!$B$2+卡牌总表!AR221*参数!$B$15+卡牌总表!AC221*参数!$B$11+卡牌总表!AF221*参数!$B$40*参数!$B$2+卡牌总表!AG221*参数!$B$44*参数!$B$2+卡牌总表!AH221*参数!$B$6*参数!$B$2+卡牌总表!AI221*参数!$B$39*参数!$B$2+卡牌总表!AJ221*参数!$B$6*参数!$B$2+卡牌总表!AA221*参数!$B$13-卡牌总表!U221*参数!$B$14-卡牌总表!AD221*参数!$B$13+IF(ISNUMBER(卡牌总表!AU221),卡牌总表!AU221*参数!$B$38,0)-卡牌总表!AV221*参数!$B$41-卡牌总表!AW221*参数!$B$14</f>
        <v>0</v>
      </c>
      <c r="M221">
        <f>IF(AND(卡牌总表!F221="能力",卡牌总表!AL221="能力持续"),参数!$B$2*参数!$B$3,0)</f>
        <v>0</v>
      </c>
      <c r="N221">
        <f t="shared" si="11"/>
        <v>0</v>
      </c>
      <c r="O221">
        <f>IFERROR(MAX(IF(K221 &gt; 参数!$B$17,参数!$B$17+SQRT(K221-参数!$B$17)*参数!$B$18,K221)-MAX(G221,0)*参数!$B$10,0)/MAX(G221,0.4),0)</f>
        <v>4.8062430400804566</v>
      </c>
      <c r="P221">
        <f>IFERROR(MAX(IF(N221 &gt; 参数!$B$17,参数!$B$17+SQRT(N221-参数!$B$17)*参数!$B$18,N221)-MAX(H221,0)*参数!$B$10,0)/MAX(H221,0.4),0)</f>
        <v>0</v>
      </c>
      <c r="Q221">
        <f>卡牌总表!AO221</f>
        <v>0</v>
      </c>
    </row>
    <row r="222" spans="1:17" x14ac:dyDescent="0.3">
      <c r="A222">
        <f t="shared" si="9"/>
        <v>221</v>
      </c>
      <c r="B222" t="str">
        <f>卡牌总表!B222</f>
        <v>defect_reboot</v>
      </c>
      <c r="C222" t="str">
        <f>卡牌总表!D222</f>
        <v>重启</v>
      </c>
      <c r="D222" t="str">
        <f>卡牌总表!F222</f>
        <v>技能</v>
      </c>
      <c r="E222">
        <f>卡牌总表!AL222</f>
        <v>0</v>
      </c>
      <c r="F222">
        <f>卡牌总表!AN222</f>
        <v>0</v>
      </c>
      <c r="G222">
        <f>卡牌总表!AP222</f>
        <v>0.4</v>
      </c>
      <c r="H222">
        <f>IF(ISNUMBER(卡牌总表!H222),IF(AND(卡牌总表!H222=0,卡牌总表!V222=0,卡牌总表!AK222="none"),0.4,IF(卡牌总表!AK222="exhaust",MAX(卡牌总表!H222-卡牌总表!V222,0.4),IF(卡牌总表!AK222="ethereal",MAX(卡牌总表!H222-卡牌总表!V222,0.4),MAX(卡牌总表!H222-卡牌总表!V222,0.4)))),IF(OR(卡牌总表!H222="X",卡牌总表!H222="∞"),0.4,0.4))</f>
        <v>0.4</v>
      </c>
      <c r="I222">
        <f>卡牌总表!M222*卡牌总表!O222*参数!$B$5*IF(AND(卡牌总表!F222="能力",卡牌总表!AL222="能力持续"),参数!$B$2,1)+卡牌总表!P222*参数!$B$6*IF(AND(卡牌总表!F222="能力",卡牌总表!AL222="能力持续"),参数!$B$2,1)+卡牌总表!R222*参数!$B$7*IF(AND(卡牌总表!F222="能力",卡牌总表!AL222="能力持续"),参数!$B$2,1)+卡牌总表!V222*参数!$B$8+IF(卡牌总表!X222&lt;0,卡牌总表!X222*参数!$B$13,卡牌总表!X222*参数!$B$39)+IF(卡牌总表!AE222&lt;0,卡牌总表!AE222*参数!$B$13,卡牌总表!AE222*参数!$B$12)*参数!$B$2+卡牌总表!AQ222*参数!$B$15+卡牌总表!AB222*参数!$B$11+卡牌总表!AF222*参数!$B$40*参数!$B$2+卡牌总表!AG222*参数!$B$44*参数!$B$2+卡牌总表!AH222*参数!$B$6*参数!$B$2+卡牌总表!AI222*参数!$B$39*参数!$B$2+卡牌总表!AJ222*参数!$B$6*参数!$B$2+卡牌总表!Z222*参数!$B$13-卡牌总表!T222*参数!$B$14-卡牌总表!AD222*参数!$B$13+IF(ISNUMBER(卡牌总表!AU222),卡牌总表!AU222*参数!$B$38,0)-卡牌总表!AV222*参数!$B$41-卡牌总表!AW222*参数!$B$14</f>
        <v>2.8</v>
      </c>
      <c r="J222">
        <f>IF(AND(卡牌总表!F222="能力",卡牌总表!AL222="能力持续"),(参数!$B$2-1)*参数!$B$3,0)</f>
        <v>0</v>
      </c>
      <c r="K222">
        <f t="shared" si="10"/>
        <v>2.8</v>
      </c>
      <c r="L222">
        <f>卡牌总表!N222*卡牌总表!O222*参数!$B$5*IF(AND(卡牌总表!F222="能力",卡牌总表!AL222="能力持续"),参数!$B$2,1)+卡牌总表!Q222*参数!$B$6*IF(AND(卡牌总表!F222="能力",卡牌总表!AL222="能力持续"),参数!$B$2,1)+卡牌总表!S222*参数!$B$7*IF(AND(卡牌总表!F222="能力",卡牌总表!AL222="能力持续"),参数!$B$2,1)+卡牌总表!W222*参数!$B$8+IF(卡牌总表!Y222&lt;0,卡牌总表!Y222*参数!$B$13,卡牌总表!Y222*参数!$B$39)+IF(卡牌总表!AE222&lt;0,卡牌总表!AE222*参数!$B$13,卡牌总表!AE222*参数!$B$12)*参数!$B$2+卡牌总表!AR222*参数!$B$15+卡牌总表!AC222*参数!$B$11+卡牌总表!AF222*参数!$B$40*参数!$B$2+卡牌总表!AG222*参数!$B$44*参数!$B$2+卡牌总表!AH222*参数!$B$6*参数!$B$2+卡牌总表!AI222*参数!$B$39*参数!$B$2+卡牌总表!AJ222*参数!$B$6*参数!$B$2+卡牌总表!AA222*参数!$B$13-卡牌总表!U222*参数!$B$14-卡牌总表!AD222*参数!$B$13+IF(ISNUMBER(卡牌总表!AU222),卡牌总表!AU222*参数!$B$38,0)-卡牌总表!AV222*参数!$B$41-卡牌总表!AW222*参数!$B$14</f>
        <v>4.1999999999999993</v>
      </c>
      <c r="M222">
        <f>IF(AND(卡牌总表!F222="能力",卡牌总表!AL222="能力持续"),参数!$B$2*参数!$B$3,0)</f>
        <v>0</v>
      </c>
      <c r="N222">
        <f t="shared" si="11"/>
        <v>4.1999999999999993</v>
      </c>
      <c r="O222">
        <f>IFERROR(MAX(IF(K222 &gt; 参数!$B$17,参数!$B$17+SQRT(K222-参数!$B$17)*参数!$B$18,K222)-MAX(G222,0)*参数!$B$10,0)/MAX(G222,0.4),0)</f>
        <v>3.9999999999999991</v>
      </c>
      <c r="P222">
        <f>IFERROR(MAX(IF(N222 &gt; 参数!$B$17,参数!$B$17+SQRT(N222-参数!$B$17)*参数!$B$18,N222)-MAX(H222,0)*参数!$B$10,0)/MAX(H222,0.4),0)</f>
        <v>7.4999999999999973</v>
      </c>
      <c r="Q222">
        <f>卡牌总表!AO222</f>
        <v>0</v>
      </c>
    </row>
    <row r="223" spans="1:17" x14ac:dyDescent="0.3">
      <c r="A223">
        <f t="shared" si="9"/>
        <v>222</v>
      </c>
      <c r="B223" t="str">
        <f>卡牌总表!B223</f>
        <v>defect_refract</v>
      </c>
      <c r="C223" t="str">
        <f>卡牌总表!D223</f>
        <v>折射</v>
      </c>
      <c r="D223" t="str">
        <f>卡牌总表!F223</f>
        <v>攻击</v>
      </c>
      <c r="E223">
        <f>卡牌总表!AL223</f>
        <v>0</v>
      </c>
      <c r="F223">
        <f>卡牌总表!AN223</f>
        <v>0</v>
      </c>
      <c r="G223">
        <f>卡牌总表!AP223</f>
        <v>3</v>
      </c>
      <c r="H223">
        <f>IF(ISNUMBER(卡牌总表!H223),IF(AND(卡牌总表!H223=0,卡牌总表!V223=0,卡牌总表!AK223="none"),0.4,IF(卡牌总表!AK223="exhaust",MAX(卡牌总表!H223-卡牌总表!V223,0.4),IF(卡牌总表!AK223="ethereal",MAX(卡牌总表!H223-卡牌总表!V223,0.4),MAX(卡牌总表!H223-卡牌总表!V223,0.4)))),IF(OR(卡牌总表!H223="X",卡牌总表!H223="∞"),0.4,0.4))</f>
        <v>3</v>
      </c>
      <c r="I223">
        <f>卡牌总表!M223*卡牌总表!O223*参数!$B$5*IF(AND(卡牌总表!F223="能力",卡牌总表!AL223="能力持续"),参数!$B$2,1)+卡牌总表!P223*参数!$B$6*IF(AND(卡牌总表!F223="能力",卡牌总表!AL223="能力持续"),参数!$B$2,1)+卡牌总表!R223*参数!$B$7*IF(AND(卡牌总表!F223="能力",卡牌总表!AL223="能力持续"),参数!$B$2,1)+卡牌总表!V223*参数!$B$8+IF(卡牌总表!X223&lt;0,卡牌总表!X223*参数!$B$13,卡牌总表!X223*参数!$B$39)+IF(卡牌总表!AE223&lt;0,卡牌总表!AE223*参数!$B$13,卡牌总表!AE223*参数!$B$12)*参数!$B$2+卡牌总表!AQ223*参数!$B$15+卡牌总表!AB223*参数!$B$11+卡牌总表!AF223*参数!$B$40*参数!$B$2+卡牌总表!AG223*参数!$B$44*参数!$B$2+卡牌总表!AH223*参数!$B$6*参数!$B$2+卡牌总表!AI223*参数!$B$39*参数!$B$2+卡牌总表!AJ223*参数!$B$6*参数!$B$2+卡牌总表!Z223*参数!$B$13-卡牌总表!T223*参数!$B$14-卡牌总表!AD223*参数!$B$13+IF(ISNUMBER(卡牌总表!AU223),卡牌总表!AU223*参数!$B$38,0)-卡牌总表!AV223*参数!$B$41-卡牌总表!AW223*参数!$B$14</f>
        <v>20</v>
      </c>
      <c r="J223">
        <f>IF(AND(卡牌总表!F223="能力",卡牌总表!AL223="能力持续"),(参数!$B$2-1)*参数!$B$3,0)</f>
        <v>0</v>
      </c>
      <c r="K223">
        <f t="shared" si="10"/>
        <v>20</v>
      </c>
      <c r="L223">
        <f>卡牌总表!N223*卡牌总表!O223*参数!$B$5*IF(AND(卡牌总表!F223="能力",卡牌总表!AL223="能力持续"),参数!$B$2,1)+卡牌总表!Q223*参数!$B$6*IF(AND(卡牌总表!F223="能力",卡牌总表!AL223="能力持续"),参数!$B$2,1)+卡牌总表!S223*参数!$B$7*IF(AND(卡牌总表!F223="能力",卡牌总表!AL223="能力持续"),参数!$B$2,1)+卡牌总表!W223*参数!$B$8+IF(卡牌总表!Y223&lt;0,卡牌总表!Y223*参数!$B$13,卡牌总表!Y223*参数!$B$39)+IF(卡牌总表!AE223&lt;0,卡牌总表!AE223*参数!$B$13,卡牌总表!AE223*参数!$B$12)*参数!$B$2+卡牌总表!AR223*参数!$B$15+卡牌总表!AC223*参数!$B$11+卡牌总表!AF223*参数!$B$40*参数!$B$2+卡牌总表!AG223*参数!$B$44*参数!$B$2+卡牌总表!AH223*参数!$B$6*参数!$B$2+卡牌总表!AI223*参数!$B$39*参数!$B$2+卡牌总表!AJ223*参数!$B$6*参数!$B$2+卡牌总表!AA223*参数!$B$13-卡牌总表!U223*参数!$B$14-卡牌总表!AD223*参数!$B$13+IF(ISNUMBER(卡牌总表!AU223),卡牌总表!AU223*参数!$B$38,0)-卡牌总表!AV223*参数!$B$41-卡牌总表!AW223*参数!$B$14</f>
        <v>26</v>
      </c>
      <c r="M223">
        <f>IF(AND(卡牌总表!F223="能力",卡牌总表!AL223="能力持续"),参数!$B$2*参数!$B$3,0)</f>
        <v>0</v>
      </c>
      <c r="N223">
        <f t="shared" si="11"/>
        <v>26</v>
      </c>
      <c r="O223">
        <f>IFERROR(MAX(IF(K223 &gt; 参数!$B$17,参数!$B$17+SQRT(K223-参数!$B$17)*参数!$B$18,K223)-MAX(G223,0)*参数!$B$10,0)/MAX(G223,0.4),0)</f>
        <v>1.914472163417523</v>
      </c>
      <c r="P223">
        <f>IFERROR(MAX(IF(N223 &gt; 参数!$B$17,参数!$B$17+SQRT(N223-参数!$B$17)*参数!$B$18,N223)-MAX(H223,0)*参数!$B$10,0)/MAX(H223,0.4),0)</f>
        <v>2.3333333333333335</v>
      </c>
      <c r="Q223">
        <f>卡牌总表!AO223</f>
        <v>0</v>
      </c>
    </row>
    <row r="224" spans="1:17" x14ac:dyDescent="0.3">
      <c r="A224">
        <f t="shared" si="9"/>
        <v>223</v>
      </c>
      <c r="B224" t="str">
        <f>卡牌总表!B224</f>
        <v>defect_rocket_punch</v>
      </c>
      <c r="C224" t="str">
        <f>卡牌总表!D224</f>
        <v>火箭飞拳</v>
      </c>
      <c r="D224" t="str">
        <f>卡牌总表!F224</f>
        <v>攻击</v>
      </c>
      <c r="E224">
        <f>卡牌总表!AL224</f>
        <v>0</v>
      </c>
      <c r="F224" t="str">
        <f>卡牌总表!AN224</f>
        <v>本回合</v>
      </c>
      <c r="G224">
        <f>卡牌总表!AP224</f>
        <v>2</v>
      </c>
      <c r="H224">
        <f>IF(ISNUMBER(卡牌总表!H224),IF(AND(卡牌总表!H224=0,卡牌总表!V224=0,卡牌总表!AK224="none"),0.4,IF(卡牌总表!AK224="exhaust",MAX(卡牌总表!H224-卡牌总表!V224,0.4),IF(卡牌总表!AK224="ethereal",MAX(卡牌总表!H224-卡牌总表!V224,0.4),MAX(卡牌总表!H224-卡牌总表!V224,0.4)))),IF(OR(卡牌总表!H224="X",卡牌总表!H224="∞"),0.4,0.4))</f>
        <v>2</v>
      </c>
      <c r="I224">
        <f>卡牌总表!M224*卡牌总表!O224*参数!$B$5*IF(AND(卡牌总表!F224="能力",卡牌总表!AL224="能力持续"),参数!$B$2,1)+卡牌总表!P224*参数!$B$6*IF(AND(卡牌总表!F224="能力",卡牌总表!AL224="能力持续"),参数!$B$2,1)+卡牌总表!R224*参数!$B$7*IF(AND(卡牌总表!F224="能力",卡牌总表!AL224="能力持续"),参数!$B$2,1)+卡牌总表!V224*参数!$B$8+IF(卡牌总表!X224&lt;0,卡牌总表!X224*参数!$B$13,卡牌总表!X224*参数!$B$39)+IF(卡牌总表!AE224&lt;0,卡牌总表!AE224*参数!$B$13,卡牌总表!AE224*参数!$B$12)*参数!$B$2+卡牌总表!AQ224*参数!$B$15+卡牌总表!AB224*参数!$B$11+卡牌总表!AF224*参数!$B$40*参数!$B$2+卡牌总表!AG224*参数!$B$44*参数!$B$2+卡牌总表!AH224*参数!$B$6*参数!$B$2+卡牌总表!AI224*参数!$B$39*参数!$B$2+卡牌总表!AJ224*参数!$B$6*参数!$B$2+卡牌总表!Z224*参数!$B$13-卡牌总表!T224*参数!$B$14-卡牌总表!AD224*参数!$B$13+IF(ISNUMBER(卡牌总表!AU224),卡牌总表!AU224*参数!$B$38,0)-卡牌总表!AV224*参数!$B$41-卡牌总表!AW224*参数!$B$14</f>
        <v>13.7</v>
      </c>
      <c r="J224">
        <f>IF(AND(卡牌总表!F224="能力",卡牌总表!AL224="能力持续"),(参数!$B$2-1)*参数!$B$3,0)</f>
        <v>0</v>
      </c>
      <c r="K224">
        <f t="shared" si="10"/>
        <v>13.7</v>
      </c>
      <c r="L224">
        <f>卡牌总表!N224*卡牌总表!O224*参数!$B$5*IF(AND(卡牌总表!F224="能力",卡牌总表!AL224="能力持续"),参数!$B$2,1)+卡牌总表!Q224*参数!$B$6*IF(AND(卡牌总表!F224="能力",卡牌总表!AL224="能力持续"),参数!$B$2,1)+卡牌总表!S224*参数!$B$7*IF(AND(卡牌总表!F224="能力",卡牌总表!AL224="能力持续"),参数!$B$2,1)+卡牌总表!W224*参数!$B$8+IF(卡牌总表!Y224&lt;0,卡牌总表!Y224*参数!$B$13,卡牌总表!Y224*参数!$B$39)+IF(卡牌总表!AE224&lt;0,卡牌总表!AE224*参数!$B$13,卡牌总表!AE224*参数!$B$12)*参数!$B$2+卡牌总表!AR224*参数!$B$15+卡牌总表!AC224*参数!$B$11+卡牌总表!AF224*参数!$B$40*参数!$B$2+卡牌总表!AG224*参数!$B$44*参数!$B$2+卡牌总表!AH224*参数!$B$6*参数!$B$2+卡牌总表!AI224*参数!$B$39*参数!$B$2+卡牌总表!AJ224*参数!$B$6*参数!$B$2+卡牌总表!AA224*参数!$B$13-卡牌总表!U224*参数!$B$14-卡牌总表!AD224*参数!$B$13+IF(ISNUMBER(卡牌总表!AU224),卡牌总表!AU224*参数!$B$38,0)-卡牌总表!AV224*参数!$B$41-卡牌总表!AW224*参数!$B$14</f>
        <v>15.4</v>
      </c>
      <c r="M224">
        <f>IF(AND(卡牌总表!F224="能力",卡牌总表!AL224="能力持续"),参数!$B$2*参数!$B$3,0)</f>
        <v>0</v>
      </c>
      <c r="N224">
        <f t="shared" si="11"/>
        <v>15.4</v>
      </c>
      <c r="O224">
        <f>IFERROR(MAX(IF(K224 &gt; 参数!$B$17,参数!$B$17+SQRT(K224-参数!$B$17)*参数!$B$18,K224)-MAX(G224,0)*参数!$B$10,0)/MAX(G224,0.4),0)</f>
        <v>3.4426538046253512</v>
      </c>
      <c r="P224">
        <f>IFERROR(MAX(IF(N224 &gt; 参数!$B$17,参数!$B$17+SQRT(N224-参数!$B$17)*参数!$B$18,N224)-MAX(H224,0)*参数!$B$10,0)/MAX(H224,0.4),0)</f>
        <v>3.7428425057933374</v>
      </c>
      <c r="Q224">
        <f>卡牌总表!AO224</f>
        <v>0</v>
      </c>
    </row>
    <row r="225" spans="1:17" x14ac:dyDescent="0.3">
      <c r="A225">
        <f t="shared" si="9"/>
        <v>224</v>
      </c>
      <c r="B225" t="str">
        <f>卡牌总表!B225</f>
        <v>defect_scavenge</v>
      </c>
      <c r="C225" t="str">
        <f>卡牌总表!D225</f>
        <v>内存清理</v>
      </c>
      <c r="D225" t="str">
        <f>卡牌总表!F225</f>
        <v>技能</v>
      </c>
      <c r="E225">
        <f>卡牌总表!AL225</f>
        <v>0</v>
      </c>
      <c r="F225">
        <f>卡牌总表!AN225</f>
        <v>0</v>
      </c>
      <c r="G225">
        <f>卡牌总表!AP225</f>
        <v>0.4</v>
      </c>
      <c r="H225">
        <f>IF(ISNUMBER(卡牌总表!H225),IF(AND(卡牌总表!H225=0,卡牌总表!V225=0,卡牌总表!AK225="none"),0.4,IF(卡牌总表!AK225="exhaust",MAX(卡牌总表!H225-卡牌总表!V225,0.4),IF(卡牌总表!AK225="ethereal",MAX(卡牌总表!H225-卡牌总表!V225,0.4),MAX(卡牌总表!H225-卡牌总表!V225,0.4)))),IF(OR(卡牌总表!H225="X",卡牌总表!H225="∞"),0.4,0.4))</f>
        <v>0.4</v>
      </c>
      <c r="I225">
        <f>卡牌总表!M225*卡牌总表!O225*参数!$B$5*IF(AND(卡牌总表!F225="能力",卡牌总表!AL225="能力持续"),参数!$B$2,1)+卡牌总表!P225*参数!$B$6*IF(AND(卡牌总表!F225="能力",卡牌总表!AL225="能力持续"),参数!$B$2,1)+卡牌总表!R225*参数!$B$7*IF(AND(卡牌总表!F225="能力",卡牌总表!AL225="能力持续"),参数!$B$2,1)+卡牌总表!V225*参数!$B$8+IF(卡牌总表!X225&lt;0,卡牌总表!X225*参数!$B$13,卡牌总表!X225*参数!$B$39)+IF(卡牌总表!AE225&lt;0,卡牌总表!AE225*参数!$B$13,卡牌总表!AE225*参数!$B$12)*参数!$B$2+卡牌总表!AQ225*参数!$B$15+卡牌总表!AB225*参数!$B$11+卡牌总表!AF225*参数!$B$40*参数!$B$2+卡牌总表!AG225*参数!$B$44*参数!$B$2+卡牌总表!AH225*参数!$B$6*参数!$B$2+卡牌总表!AI225*参数!$B$39*参数!$B$2+卡牌总表!AJ225*参数!$B$6*参数!$B$2+卡牌总表!Z225*参数!$B$13-卡牌总表!T225*参数!$B$14-卡牌总表!AD225*参数!$B$13+IF(ISNUMBER(卡牌总表!AU225),卡牌总表!AU225*参数!$B$38,0)-卡牌总表!AV225*参数!$B$41-卡牌总表!AW225*参数!$B$14</f>
        <v>6</v>
      </c>
      <c r="J225">
        <f>IF(AND(卡牌总表!F225="能力",卡牌总表!AL225="能力持续"),(参数!$B$2-1)*参数!$B$3,0)</f>
        <v>0</v>
      </c>
      <c r="K225">
        <f t="shared" si="10"/>
        <v>6</v>
      </c>
      <c r="L225">
        <f>卡牌总表!N225*卡牌总表!O225*参数!$B$5*IF(AND(卡牌总表!F225="能力",卡牌总表!AL225="能力持续"),参数!$B$2,1)+卡牌总表!Q225*参数!$B$6*IF(AND(卡牌总表!F225="能力",卡牌总表!AL225="能力持续"),参数!$B$2,1)+卡牌总表!S225*参数!$B$7*IF(AND(卡牌总表!F225="能力",卡牌总表!AL225="能力持续"),参数!$B$2,1)+卡牌总表!W225*参数!$B$8+IF(卡牌总表!Y225&lt;0,卡牌总表!Y225*参数!$B$13,卡牌总表!Y225*参数!$B$39)+IF(卡牌总表!AE225&lt;0,卡牌总表!AE225*参数!$B$13,卡牌总表!AE225*参数!$B$12)*参数!$B$2+卡牌总表!AR225*参数!$B$15+卡牌总表!AC225*参数!$B$11+卡牌总表!AF225*参数!$B$40*参数!$B$2+卡牌总表!AG225*参数!$B$44*参数!$B$2+卡牌总表!AH225*参数!$B$6*参数!$B$2+卡牌总表!AI225*参数!$B$39*参数!$B$2+卡牌总表!AJ225*参数!$B$6*参数!$B$2+卡牌总表!AA225*参数!$B$13-卡牌总表!U225*参数!$B$14-卡牌总表!AD225*参数!$B$13+IF(ISNUMBER(卡牌总表!AU225),卡牌总表!AU225*参数!$B$38,0)-卡牌总表!AV225*参数!$B$41-卡牌总表!AW225*参数!$B$14</f>
        <v>9</v>
      </c>
      <c r="M225">
        <f>IF(AND(卡牌总表!F225="能力",卡牌总表!AL225="能力持续"),参数!$B$2*参数!$B$3,0)</f>
        <v>0</v>
      </c>
      <c r="N225">
        <f t="shared" si="11"/>
        <v>9</v>
      </c>
      <c r="O225">
        <f>IFERROR(MAX(IF(K225 &gt; 参数!$B$17,参数!$B$17+SQRT(K225-参数!$B$17)*参数!$B$18,K225)-MAX(G225,0)*参数!$B$10,0)/MAX(G225,0.4),0)</f>
        <v>11.999999999999998</v>
      </c>
      <c r="P225">
        <f>IFERROR(MAX(IF(N225 &gt; 参数!$B$17,参数!$B$17+SQRT(N225-参数!$B$17)*参数!$B$18,N225)-MAX(H225,0)*参数!$B$10,0)/MAX(H225,0.4),0)</f>
        <v>19.5</v>
      </c>
      <c r="Q225" t="str">
        <f>卡牌总表!AO225</f>
        <v>含消耗其他牌效果</v>
      </c>
    </row>
    <row r="226" spans="1:17" x14ac:dyDescent="0.3">
      <c r="A226">
        <f t="shared" si="9"/>
        <v>225</v>
      </c>
      <c r="B226" t="str">
        <f>卡牌总表!B226</f>
        <v>defect_scrape</v>
      </c>
      <c r="C226" t="str">
        <f>卡牌总表!D226</f>
        <v>刮削</v>
      </c>
      <c r="D226" t="str">
        <f>卡牌总表!F226</f>
        <v>攻击</v>
      </c>
      <c r="E226">
        <f>卡牌总表!AL226</f>
        <v>0</v>
      </c>
      <c r="F226">
        <f>卡牌总表!AN226</f>
        <v>0</v>
      </c>
      <c r="G226">
        <f>卡牌总表!AP226</f>
        <v>1</v>
      </c>
      <c r="H226">
        <f>IF(ISNUMBER(卡牌总表!H226),IF(AND(卡牌总表!H226=0,卡牌总表!V226=0,卡牌总表!AK226="none"),0.4,IF(卡牌总表!AK226="exhaust",MAX(卡牌总表!H226-卡牌总表!V226,0.4),IF(卡牌总表!AK226="ethereal",MAX(卡牌总表!H226-卡牌总表!V226,0.4),MAX(卡牌总表!H226-卡牌总表!V226,0.4)))),IF(OR(卡牌总表!H226="X",卡牌总表!H226="∞"),0.4,0.4))</f>
        <v>1</v>
      </c>
      <c r="I226">
        <f>卡牌总表!M226*卡牌总表!O226*参数!$B$5*IF(AND(卡牌总表!F226="能力",卡牌总表!AL226="能力持续"),参数!$B$2,1)+卡牌总表!P226*参数!$B$6*IF(AND(卡牌总表!F226="能力",卡牌总表!AL226="能力持续"),参数!$B$2,1)+卡牌总表!R226*参数!$B$7*IF(AND(卡牌总表!F226="能力",卡牌总表!AL226="能力持续"),参数!$B$2,1)+卡牌总表!V226*参数!$B$8+IF(卡牌总表!X226&lt;0,卡牌总表!X226*参数!$B$13,卡牌总表!X226*参数!$B$39)+IF(卡牌总表!AE226&lt;0,卡牌总表!AE226*参数!$B$13,卡牌总表!AE226*参数!$B$12)*参数!$B$2+卡牌总表!AQ226*参数!$B$15+卡牌总表!AB226*参数!$B$11+卡牌总表!AF226*参数!$B$40*参数!$B$2+卡牌总表!AG226*参数!$B$44*参数!$B$2+卡牌总表!AH226*参数!$B$6*参数!$B$2+卡牌总表!AI226*参数!$B$39*参数!$B$2+卡牌总表!AJ226*参数!$B$6*参数!$B$2+卡牌总表!Z226*参数!$B$13-卡牌总表!T226*参数!$B$14-卡牌总表!AD226*参数!$B$13+IF(ISNUMBER(卡牌总表!AU226),卡牌总表!AU226*参数!$B$38,0)-卡牌总表!AV226*参数!$B$41-卡牌总表!AW226*参数!$B$14</f>
        <v>9.2000000000000011</v>
      </c>
      <c r="J226">
        <f>IF(AND(卡牌总表!F226="能力",卡牌总表!AL226="能力持续"),(参数!$B$2-1)*参数!$B$3,0)</f>
        <v>0</v>
      </c>
      <c r="K226">
        <f t="shared" si="10"/>
        <v>9.2000000000000011</v>
      </c>
      <c r="L226">
        <f>卡牌总表!N226*卡牌总表!O226*参数!$B$5*IF(AND(卡牌总表!F226="能力",卡牌总表!AL226="能力持续"),参数!$B$2,1)+卡牌总表!Q226*参数!$B$6*IF(AND(卡牌总表!F226="能力",卡牌总表!AL226="能力持续"),参数!$B$2,1)+卡牌总表!S226*参数!$B$7*IF(AND(卡牌总表!F226="能力",卡牌总表!AL226="能力持续"),参数!$B$2,1)+卡牌总表!W226*参数!$B$8+IF(卡牌总表!Y226&lt;0,卡牌总表!Y226*参数!$B$13,卡牌总表!Y226*参数!$B$39)+IF(卡牌总表!AE226&lt;0,卡牌总表!AE226*参数!$B$13,卡牌总表!AE226*参数!$B$12)*参数!$B$2+卡牌总表!AR226*参数!$B$15+卡牌总表!AC226*参数!$B$11+卡牌总表!AF226*参数!$B$40*参数!$B$2+卡牌总表!AG226*参数!$B$44*参数!$B$2+卡牌总表!AH226*参数!$B$6*参数!$B$2+卡牌总表!AI226*参数!$B$39*参数!$B$2+卡牌总表!AJ226*参数!$B$6*参数!$B$2+卡牌总表!AA226*参数!$B$13-卡牌总表!U226*参数!$B$14-卡牌总表!AD226*参数!$B$13+IF(ISNUMBER(卡牌总表!AU226),卡牌总表!AU226*参数!$B$38,0)-卡牌总表!AV226*参数!$B$41-卡牌总表!AW226*参数!$B$14</f>
        <v>12.9</v>
      </c>
      <c r="M226">
        <f>IF(AND(卡牌总表!F226="能力",卡牌总表!AL226="能力持续"),参数!$B$2*参数!$B$3,0)</f>
        <v>0</v>
      </c>
      <c r="N226">
        <f t="shared" si="11"/>
        <v>12.9</v>
      </c>
      <c r="O226">
        <f>IFERROR(MAX(IF(K226 &gt; 参数!$B$17,参数!$B$17+SQRT(K226-参数!$B$17)*参数!$B$18,K226)-MAX(G226,0)*参数!$B$10,0)/MAX(G226,0.4),0)</f>
        <v>6.2000000000000011</v>
      </c>
      <c r="P226">
        <f>IFERROR(MAX(IF(N226 &gt; 参数!$B$17,参数!$B$17+SQRT(N226-参数!$B$17)*参数!$B$18,N226)-MAX(H226,0)*参数!$B$10,0)/MAX(H226,0.4),0)</f>
        <v>9.5544079548889602</v>
      </c>
      <c r="Q226">
        <f>卡牌总表!AO226</f>
        <v>0</v>
      </c>
    </row>
    <row r="227" spans="1:17" x14ac:dyDescent="0.3">
      <c r="A227">
        <f t="shared" si="9"/>
        <v>226</v>
      </c>
      <c r="B227" t="str">
        <f>卡牌总表!B227</f>
        <v>defect_shadow_shield</v>
      </c>
      <c r="C227" t="str">
        <f>卡牌总表!D227</f>
        <v>暗影之盾</v>
      </c>
      <c r="D227" t="str">
        <f>卡牌总表!F227</f>
        <v>技能</v>
      </c>
      <c r="E227">
        <f>卡牌总表!AL227</f>
        <v>0</v>
      </c>
      <c r="F227">
        <f>卡牌总表!AN227</f>
        <v>0</v>
      </c>
      <c r="G227">
        <f>卡牌总表!AP227</f>
        <v>2</v>
      </c>
      <c r="H227">
        <f>IF(ISNUMBER(卡牌总表!H227),IF(AND(卡牌总表!H227=0,卡牌总表!V227=0,卡牌总表!AK227="none"),0.4,IF(卡牌总表!AK227="exhaust",MAX(卡牌总表!H227-卡牌总表!V227,0.4),IF(卡牌总表!AK227="ethereal",MAX(卡牌总表!H227-卡牌总表!V227,0.4),MAX(卡牌总表!H227-卡牌总表!V227,0.4)))),IF(OR(卡牌总表!H227="X",卡牌总表!H227="∞"),0.4,0.4))</f>
        <v>2</v>
      </c>
      <c r="I227">
        <f>卡牌总表!M227*卡牌总表!O227*参数!$B$5*IF(AND(卡牌总表!F227="能力",卡牌总表!AL227="能力持续"),参数!$B$2,1)+卡牌总表!P227*参数!$B$6*IF(AND(卡牌总表!F227="能力",卡牌总表!AL227="能力持续"),参数!$B$2,1)+卡牌总表!R227*参数!$B$7*IF(AND(卡牌总表!F227="能力",卡牌总表!AL227="能力持续"),参数!$B$2,1)+卡牌总表!V227*参数!$B$8+IF(卡牌总表!X227&lt;0,卡牌总表!X227*参数!$B$13,卡牌总表!X227*参数!$B$39)+IF(卡牌总表!AE227&lt;0,卡牌总表!AE227*参数!$B$13,卡牌总表!AE227*参数!$B$12)*参数!$B$2+卡牌总表!AQ227*参数!$B$15+卡牌总表!AB227*参数!$B$11+卡牌总表!AF227*参数!$B$40*参数!$B$2+卡牌总表!AG227*参数!$B$44*参数!$B$2+卡牌总表!AH227*参数!$B$6*参数!$B$2+卡牌总表!AI227*参数!$B$39*参数!$B$2+卡牌总表!AJ227*参数!$B$6*参数!$B$2+卡牌总表!Z227*参数!$B$13-卡牌总表!T227*参数!$B$14-卡牌总表!AD227*参数!$B$13+IF(ISNUMBER(卡牌总表!AU227),卡牌总表!AU227*参数!$B$38,0)-卡牌总表!AV227*参数!$B$41-卡牌总表!AW227*参数!$B$14</f>
        <v>12.100000000000001</v>
      </c>
      <c r="J227">
        <f>IF(AND(卡牌总表!F227="能力",卡牌总表!AL227="能力持续"),(参数!$B$2-1)*参数!$B$3,0)</f>
        <v>0</v>
      </c>
      <c r="K227">
        <f t="shared" si="10"/>
        <v>12.100000000000001</v>
      </c>
      <c r="L227">
        <f>卡牌总表!N227*卡牌总表!O227*参数!$B$5*IF(AND(卡牌总表!F227="能力",卡牌总表!AL227="能力持续"),参数!$B$2,1)+卡牌总表!Q227*参数!$B$6*IF(AND(卡牌总表!F227="能力",卡牌总表!AL227="能力持续"),参数!$B$2,1)+卡牌总表!S227*参数!$B$7*IF(AND(卡牌总表!F227="能力",卡牌总表!AL227="能力持续"),参数!$B$2,1)+卡牌总表!W227*参数!$B$8+IF(卡牌总表!Y227&lt;0,卡牌总表!Y227*参数!$B$13,卡牌总表!Y227*参数!$B$39)+IF(卡牌总表!AE227&lt;0,卡牌总表!AE227*参数!$B$13,卡牌总表!AE227*参数!$B$12)*参数!$B$2+卡牌总表!AR227*参数!$B$15+卡牌总表!AC227*参数!$B$11+卡牌总表!AF227*参数!$B$40*参数!$B$2+卡牌总表!AG227*参数!$B$44*参数!$B$2+卡牌总表!AH227*参数!$B$6*参数!$B$2+卡牌总表!AI227*参数!$B$39*参数!$B$2+卡牌总表!AJ227*参数!$B$6*参数!$B$2+卡牌总表!AA227*参数!$B$13-卡牌总表!U227*参数!$B$14-卡牌总表!AD227*参数!$B$13+IF(ISNUMBER(卡牌总表!AU227),卡牌总表!AU227*参数!$B$38,0)-卡牌总表!AV227*参数!$B$41-卡牌总表!AW227*参数!$B$14</f>
        <v>16.5</v>
      </c>
      <c r="M227">
        <f>IF(AND(卡牌总表!F227="能力",卡牌总表!AL227="能力持续"),参数!$B$2*参数!$B$3,0)</f>
        <v>0</v>
      </c>
      <c r="N227">
        <f t="shared" si="11"/>
        <v>16.5</v>
      </c>
      <c r="O227">
        <f>IFERROR(MAX(IF(K227 &gt; 参数!$B$17,参数!$B$17+SQRT(K227-参数!$B$17)*参数!$B$18,K227)-MAX(G227,0)*参数!$B$10,0)/MAX(G227,0.4),0)</f>
        <v>3.0868532559642086</v>
      </c>
      <c r="P227">
        <f>IFERROR(MAX(IF(N227 &gt; 参数!$B$17,参数!$B$17+SQRT(N227-参数!$B$17)*参数!$B$18,N227)-MAX(H227,0)*参数!$B$10,0)/MAX(H227,0.4),0)</f>
        <v>3.912132317597294</v>
      </c>
      <c r="Q227">
        <f>卡牌总表!AO227</f>
        <v>0</v>
      </c>
    </row>
    <row r="228" spans="1:17" x14ac:dyDescent="0.3">
      <c r="A228">
        <f t="shared" si="9"/>
        <v>227</v>
      </c>
      <c r="B228" t="str">
        <f>卡牌总表!B228</f>
        <v>defect_shatter</v>
      </c>
      <c r="C228" t="str">
        <f>卡牌总表!D228</f>
        <v>打碎</v>
      </c>
      <c r="D228" t="str">
        <f>卡牌总表!F228</f>
        <v>攻击</v>
      </c>
      <c r="E228">
        <f>卡牌总表!AL228</f>
        <v>0</v>
      </c>
      <c r="F228" t="str">
        <f>卡牌总表!AN228</f>
        <v>群体攻击</v>
      </c>
      <c r="G228">
        <f>卡牌总表!AP228</f>
        <v>1</v>
      </c>
      <c r="H228">
        <f>IF(ISNUMBER(卡牌总表!H228),IF(AND(卡牌总表!H228=0,卡牌总表!V228=0,卡牌总表!AK228="none"),0.4,IF(卡牌总表!AK228="exhaust",MAX(卡牌总表!H228-卡牌总表!V228,0.4),IF(卡牌总表!AK228="ethereal",MAX(卡牌总表!H228-卡牌总表!V228,0.4),MAX(卡牌总表!H228-卡牌总表!V228,0.4)))),IF(OR(卡牌总表!H228="X",卡牌总表!H228="∞"),0.4,0.4))</f>
        <v>1</v>
      </c>
      <c r="I228">
        <f>卡牌总表!M228*卡牌总表!O228*参数!$B$5*IF(AND(卡牌总表!F228="能力",卡牌总表!AL228="能力持续"),参数!$B$2,1)+卡牌总表!P228*参数!$B$6*IF(AND(卡牌总表!F228="能力",卡牌总表!AL228="能力持续"),参数!$B$2,1)+卡牌总表!R228*参数!$B$7*IF(AND(卡牌总表!F228="能力",卡牌总表!AL228="能力持续"),参数!$B$2,1)+卡牌总表!V228*参数!$B$8+IF(卡牌总表!X228&lt;0,卡牌总表!X228*参数!$B$13,卡牌总表!X228*参数!$B$39)+IF(卡牌总表!AE228&lt;0,卡牌总表!AE228*参数!$B$13,卡牌总表!AE228*参数!$B$12)*参数!$B$2+卡牌总表!AQ228*参数!$B$15+卡牌总表!AB228*参数!$B$11+卡牌总表!AF228*参数!$B$40*参数!$B$2+卡牌总表!AG228*参数!$B$44*参数!$B$2+卡牌总表!AH228*参数!$B$6*参数!$B$2+卡牌总表!AI228*参数!$B$39*参数!$B$2+卡牌总表!AJ228*参数!$B$6*参数!$B$2+卡牌总表!Z228*参数!$B$13-卡牌总表!T228*参数!$B$14-卡牌总表!AD228*参数!$B$13+IF(ISNUMBER(卡牌总表!AU228),卡牌总表!AU228*参数!$B$38,0)-卡牌总表!AV228*参数!$B$41-卡牌总表!AW228*参数!$B$14</f>
        <v>7</v>
      </c>
      <c r="J228">
        <f>IF(AND(卡牌总表!F228="能力",卡牌总表!AL228="能力持续"),(参数!$B$2-1)*参数!$B$3,0)</f>
        <v>0</v>
      </c>
      <c r="K228">
        <f t="shared" si="10"/>
        <v>7</v>
      </c>
      <c r="L228">
        <f>卡牌总表!N228*卡牌总表!O228*参数!$B$5*IF(AND(卡牌总表!F228="能力",卡牌总表!AL228="能力持续"),参数!$B$2,1)+卡牌总表!Q228*参数!$B$6*IF(AND(卡牌总表!F228="能力",卡牌总表!AL228="能力持续"),参数!$B$2,1)+卡牌总表!S228*参数!$B$7*IF(AND(卡牌总表!F228="能力",卡牌总表!AL228="能力持续"),参数!$B$2,1)+卡牌总表!W228*参数!$B$8+IF(卡牌总表!Y228&lt;0,卡牌总表!Y228*参数!$B$13,卡牌总表!Y228*参数!$B$39)+IF(卡牌总表!AE228&lt;0,卡牌总表!AE228*参数!$B$13,卡牌总表!AE228*参数!$B$12)*参数!$B$2+卡牌总表!AR228*参数!$B$15+卡牌总表!AC228*参数!$B$11+卡牌总表!AF228*参数!$B$40*参数!$B$2+卡牌总表!AG228*参数!$B$44*参数!$B$2+卡牌总表!AH228*参数!$B$6*参数!$B$2+卡牌总表!AI228*参数!$B$39*参数!$B$2+卡牌总表!AJ228*参数!$B$6*参数!$B$2+卡牌总表!AA228*参数!$B$13-卡牌总表!U228*参数!$B$14-卡牌总表!AD228*参数!$B$13+IF(ISNUMBER(卡牌总表!AU228),卡牌总表!AU228*参数!$B$38,0)-卡牌总表!AV228*参数!$B$41-卡牌总表!AW228*参数!$B$14</f>
        <v>11</v>
      </c>
      <c r="M228">
        <f>IF(AND(卡牌总表!F228="能力",卡牌总表!AL228="能力持续"),参数!$B$2*参数!$B$3,0)</f>
        <v>0</v>
      </c>
      <c r="N228">
        <f t="shared" si="11"/>
        <v>11</v>
      </c>
      <c r="O228">
        <f>IFERROR(MAX(IF(K228 &gt; 参数!$B$17,参数!$B$17+SQRT(K228-参数!$B$17)*参数!$B$18,K228)-MAX(G228,0)*参数!$B$10,0)/MAX(G228,0.4),0)</f>
        <v>4</v>
      </c>
      <c r="P228">
        <f>IFERROR(MAX(IF(N228 &gt; 参数!$B$17,参数!$B$17+SQRT(N228-参数!$B$17)*参数!$B$18,N228)-MAX(H228,0)*参数!$B$10,0)/MAX(H228,0.4),0)</f>
        <v>8.5</v>
      </c>
      <c r="Q228">
        <f>卡牌总表!AO228</f>
        <v>0</v>
      </c>
    </row>
    <row r="229" spans="1:17" x14ac:dyDescent="0.3">
      <c r="A229">
        <f t="shared" si="9"/>
        <v>228</v>
      </c>
      <c r="B229" t="str">
        <f>卡牌总表!B229</f>
        <v>defect_signal_boost</v>
      </c>
      <c r="C229" t="str">
        <f>卡牌总表!D229</f>
        <v>信号增强</v>
      </c>
      <c r="D229" t="str">
        <f>卡牌总表!F229</f>
        <v>技能</v>
      </c>
      <c r="E229">
        <f>卡牌总表!AL229</f>
        <v>0</v>
      </c>
      <c r="F229">
        <f>卡牌总表!AN229</f>
        <v>0</v>
      </c>
      <c r="G229">
        <f>卡牌总表!AP229</f>
        <v>1</v>
      </c>
      <c r="H229">
        <f>IF(ISNUMBER(卡牌总表!H229),IF(AND(卡牌总表!H229=0,卡牌总表!V229=0,卡牌总表!AK229="none"),0.4,IF(卡牌总表!AK229="exhaust",MAX(卡牌总表!H229-卡牌总表!V229,0.4),IF(卡牌总表!AK229="ethereal",MAX(卡牌总表!H229-卡牌总表!V229,0.4),MAX(卡牌总表!H229-卡牌总表!V229,0.4)))),IF(OR(卡牌总表!H229="X",卡牌总表!H229="∞"),0.4,0.4))</f>
        <v>1</v>
      </c>
      <c r="I229">
        <f>卡牌总表!M229*卡牌总表!O229*参数!$B$5*IF(AND(卡牌总表!F229="能力",卡牌总表!AL229="能力持续"),参数!$B$2,1)+卡牌总表!P229*参数!$B$6*IF(AND(卡牌总表!F229="能力",卡牌总表!AL229="能力持续"),参数!$B$2,1)+卡牌总表!R229*参数!$B$7*IF(AND(卡牌总表!F229="能力",卡牌总表!AL229="能力持续"),参数!$B$2,1)+卡牌总表!V229*参数!$B$8+IF(卡牌总表!X229&lt;0,卡牌总表!X229*参数!$B$13,卡牌总表!X229*参数!$B$39)+IF(卡牌总表!AE229&lt;0,卡牌总表!AE229*参数!$B$13,卡牌总表!AE229*参数!$B$12)*参数!$B$2+卡牌总表!AQ229*参数!$B$15+卡牌总表!AB229*参数!$B$11+卡牌总表!AF229*参数!$B$40*参数!$B$2+卡牌总表!AG229*参数!$B$44*参数!$B$2+卡牌总表!AH229*参数!$B$6*参数!$B$2+卡牌总表!AI229*参数!$B$39*参数!$B$2+卡牌总表!AJ229*参数!$B$6*参数!$B$2+卡牌总表!Z229*参数!$B$13-卡牌总表!T229*参数!$B$14-卡牌总表!AD229*参数!$B$13+IF(ISNUMBER(卡牌总表!AU229),卡牌总表!AU229*参数!$B$38,0)-卡牌总表!AV229*参数!$B$41-卡牌总表!AW229*参数!$B$14</f>
        <v>24</v>
      </c>
      <c r="J229">
        <f>IF(AND(卡牌总表!F229="能力",卡牌总表!AL229="能力持续"),(参数!$B$2-1)*参数!$B$3,0)</f>
        <v>0</v>
      </c>
      <c r="K229">
        <f t="shared" si="10"/>
        <v>24</v>
      </c>
      <c r="L229">
        <f>卡牌总表!N229*卡牌总表!O229*参数!$B$5*IF(AND(卡牌总表!F229="能力",卡牌总表!AL229="能力持续"),参数!$B$2,1)+卡牌总表!Q229*参数!$B$6*IF(AND(卡牌总表!F229="能力",卡牌总表!AL229="能力持续"),参数!$B$2,1)+卡牌总表!S229*参数!$B$7*IF(AND(卡牌总表!F229="能力",卡牌总表!AL229="能力持续"),参数!$B$2,1)+卡牌总表!W229*参数!$B$8+IF(卡牌总表!Y229&lt;0,卡牌总表!Y229*参数!$B$13,卡牌总表!Y229*参数!$B$39)+IF(卡牌总表!AE229&lt;0,卡牌总表!AE229*参数!$B$13,卡牌总表!AE229*参数!$B$12)*参数!$B$2+卡牌总表!AR229*参数!$B$15+卡牌总表!AC229*参数!$B$11+卡牌总表!AF229*参数!$B$40*参数!$B$2+卡牌总表!AG229*参数!$B$44*参数!$B$2+卡牌总表!AH229*参数!$B$6*参数!$B$2+卡牌总表!AI229*参数!$B$39*参数!$B$2+卡牌总表!AJ229*参数!$B$6*参数!$B$2+卡牌总表!AA229*参数!$B$13-卡牌总表!U229*参数!$B$14-卡牌总表!AD229*参数!$B$13+IF(ISNUMBER(卡牌总表!AU229),卡牌总表!AU229*参数!$B$38,0)-卡牌总表!AV229*参数!$B$41-卡牌总表!AW229*参数!$B$14</f>
        <v>0</v>
      </c>
      <c r="M229">
        <f>IF(AND(卡牌总表!F229="能力",卡牌总表!AL229="能力持续"),参数!$B$2*参数!$B$3,0)</f>
        <v>0</v>
      </c>
      <c r="N229">
        <f t="shared" si="11"/>
        <v>0</v>
      </c>
      <c r="O229">
        <f>IFERROR(MAX(IF(K229 &gt; 参数!$B$17,参数!$B$17+SQRT(K229-参数!$B$17)*参数!$B$18,K229)-MAX(G229,0)*参数!$B$10,0)/MAX(G229,0.4),0)</f>
        <v>12.612486080160913</v>
      </c>
      <c r="P229">
        <f>IFERROR(MAX(IF(N229 &gt; 参数!$B$17,参数!$B$17+SQRT(N229-参数!$B$17)*参数!$B$18,N229)-MAX(H229,0)*参数!$B$10,0)/MAX(H229,0.4),0)</f>
        <v>0</v>
      </c>
      <c r="Q229">
        <f>卡牌总表!AO229</f>
        <v>0</v>
      </c>
    </row>
    <row r="230" spans="1:17" x14ac:dyDescent="0.3">
      <c r="A230">
        <f t="shared" si="9"/>
        <v>229</v>
      </c>
      <c r="B230" t="str">
        <f>卡牌总表!B230</f>
        <v>defect_skim</v>
      </c>
      <c r="C230" t="str">
        <f>卡牌总表!D230</f>
        <v>快速检索</v>
      </c>
      <c r="D230" t="str">
        <f>卡牌总表!F230</f>
        <v>技能</v>
      </c>
      <c r="E230">
        <f>卡牌总表!AL230</f>
        <v>0</v>
      </c>
      <c r="F230">
        <f>卡牌总表!AN230</f>
        <v>0</v>
      </c>
      <c r="G230">
        <f>卡牌总表!AP230</f>
        <v>1</v>
      </c>
      <c r="H230">
        <f>IF(ISNUMBER(卡牌总表!H230),IF(AND(卡牌总表!H230=0,卡牌总表!V230=0,卡牌总表!AK230="none"),0.4,IF(卡牌总表!AK230="exhaust",MAX(卡牌总表!H230-卡牌总表!V230,0.4),IF(卡牌总表!AK230="ethereal",MAX(卡牌总表!H230-卡牌总表!V230,0.4),MAX(卡牌总表!H230-卡牌总表!V230,0.4)))),IF(OR(卡牌总表!H230="X",卡牌总表!H230="∞"),0.4,0.4))</f>
        <v>1</v>
      </c>
      <c r="I230">
        <f>卡牌总表!M230*卡牌总表!O230*参数!$B$5*IF(AND(卡牌总表!F230="能力",卡牌总表!AL230="能力持续"),参数!$B$2,1)+卡牌总表!P230*参数!$B$6*IF(AND(卡牌总表!F230="能力",卡牌总表!AL230="能力持续"),参数!$B$2,1)+卡牌总表!R230*参数!$B$7*IF(AND(卡牌总表!F230="能力",卡牌总表!AL230="能力持续"),参数!$B$2,1)+卡牌总表!V230*参数!$B$8+IF(卡牌总表!X230&lt;0,卡牌总表!X230*参数!$B$13,卡牌总表!X230*参数!$B$39)+IF(卡牌总表!AE230&lt;0,卡牌总表!AE230*参数!$B$13,卡牌总表!AE230*参数!$B$12)*参数!$B$2+卡牌总表!AQ230*参数!$B$15+卡牌总表!AB230*参数!$B$11+卡牌总表!AF230*参数!$B$40*参数!$B$2+卡牌总表!AG230*参数!$B$44*参数!$B$2+卡牌总表!AH230*参数!$B$6*参数!$B$2+卡牌总表!AI230*参数!$B$39*参数!$B$2+卡牌总表!AJ230*参数!$B$6*参数!$B$2+卡牌总表!Z230*参数!$B$13-卡牌总表!T230*参数!$B$14-卡牌总表!AD230*参数!$B$13+IF(ISNUMBER(卡牌总表!AU230),卡牌总表!AU230*参数!$B$38,0)-卡牌总表!AV230*参数!$B$41-卡牌总表!AW230*参数!$B$14</f>
        <v>2.0999999999999996</v>
      </c>
      <c r="J230">
        <f>IF(AND(卡牌总表!F230="能力",卡牌总表!AL230="能力持续"),(参数!$B$2-1)*参数!$B$3,0)</f>
        <v>0</v>
      </c>
      <c r="K230">
        <f t="shared" si="10"/>
        <v>2.0999999999999996</v>
      </c>
      <c r="L230">
        <f>卡牌总表!N230*卡牌总表!O230*参数!$B$5*IF(AND(卡牌总表!F230="能力",卡牌总表!AL230="能力持续"),参数!$B$2,1)+卡牌总表!Q230*参数!$B$6*IF(AND(卡牌总表!F230="能力",卡牌总表!AL230="能力持续"),参数!$B$2,1)+卡牌总表!S230*参数!$B$7*IF(AND(卡牌总表!F230="能力",卡牌总表!AL230="能力持续"),参数!$B$2,1)+卡牌总表!W230*参数!$B$8+IF(卡牌总表!Y230&lt;0,卡牌总表!Y230*参数!$B$13,卡牌总表!Y230*参数!$B$39)+IF(卡牌总表!AE230&lt;0,卡牌总表!AE230*参数!$B$13,卡牌总表!AE230*参数!$B$12)*参数!$B$2+卡牌总表!AR230*参数!$B$15+卡牌总表!AC230*参数!$B$11+卡牌总表!AF230*参数!$B$40*参数!$B$2+卡牌总表!AG230*参数!$B$44*参数!$B$2+卡牌总表!AH230*参数!$B$6*参数!$B$2+卡牌总表!AI230*参数!$B$39*参数!$B$2+卡牌总表!AJ230*参数!$B$6*参数!$B$2+卡牌总表!AA230*参数!$B$13-卡牌总表!U230*参数!$B$14-卡牌总表!AD230*参数!$B$13+IF(ISNUMBER(卡牌总表!AU230),卡牌总表!AU230*参数!$B$38,0)-卡牌总表!AV230*参数!$B$41-卡牌总表!AW230*参数!$B$14</f>
        <v>2.8</v>
      </c>
      <c r="M230">
        <f>IF(AND(卡牌总表!F230="能力",卡牌总表!AL230="能力持续"),参数!$B$2*参数!$B$3,0)</f>
        <v>0</v>
      </c>
      <c r="N230">
        <f t="shared" si="11"/>
        <v>2.8</v>
      </c>
      <c r="O230">
        <f>IFERROR(MAX(IF(K230 &gt; 参数!$B$17,参数!$B$17+SQRT(K230-参数!$B$17)*参数!$B$18,K230)-MAX(G230,0)*参数!$B$10,0)/MAX(G230,0.4),0)</f>
        <v>0</v>
      </c>
      <c r="P230">
        <f>IFERROR(MAX(IF(N230 &gt; 参数!$B$17,参数!$B$17+SQRT(N230-参数!$B$17)*参数!$B$18,N230)-MAX(H230,0)*参数!$B$10,0)/MAX(H230,0.4),0)</f>
        <v>0</v>
      </c>
      <c r="Q230">
        <f>卡牌总表!AO230</f>
        <v>0</v>
      </c>
    </row>
    <row r="231" spans="1:17" x14ac:dyDescent="0.3">
      <c r="A231">
        <f t="shared" si="9"/>
        <v>230</v>
      </c>
      <c r="B231" t="str">
        <f>卡牌总表!B231</f>
        <v>defect_smokestack</v>
      </c>
      <c r="C231" t="str">
        <f>卡牌总表!D231</f>
        <v>烟囱</v>
      </c>
      <c r="D231" t="str">
        <f>卡牌总表!F231</f>
        <v>能力</v>
      </c>
      <c r="E231">
        <f>卡牌总表!AL231</f>
        <v>0</v>
      </c>
      <c r="F231" t="str">
        <f>卡牌总表!AN231</f>
        <v>群体攻击，能力</v>
      </c>
      <c r="G231">
        <f>卡牌总表!AP231</f>
        <v>1</v>
      </c>
      <c r="H231">
        <f>IF(ISNUMBER(卡牌总表!H231),IF(AND(卡牌总表!H231=0,卡牌总表!V231=0,卡牌总表!AK231="none"),0.4,IF(卡牌总表!AK231="exhaust",MAX(卡牌总表!H231-卡牌总表!V231,0.4),IF(卡牌总表!AK231="ethereal",MAX(卡牌总表!H231-卡牌总表!V231,0.4),MAX(卡牌总表!H231-卡牌总表!V231,0.4)))),IF(OR(卡牌总表!H231="X",卡牌总表!H231="∞"),0.4,0.4))</f>
        <v>1</v>
      </c>
      <c r="I231">
        <f>卡牌总表!M231*卡牌总表!O231*参数!$B$5*IF(AND(卡牌总表!F231="能力",卡牌总表!AL231="能力持续"),参数!$B$2,1)+卡牌总表!P231*参数!$B$6*IF(AND(卡牌总表!F231="能力",卡牌总表!AL231="能力持续"),参数!$B$2,1)+卡牌总表!R231*参数!$B$7*IF(AND(卡牌总表!F231="能力",卡牌总表!AL231="能力持续"),参数!$B$2,1)+卡牌总表!V231*参数!$B$8+IF(卡牌总表!X231&lt;0,卡牌总表!X231*参数!$B$13,卡牌总表!X231*参数!$B$39)+IF(卡牌总表!AE231&lt;0,卡牌总表!AE231*参数!$B$13,卡牌总表!AE231*参数!$B$12)*参数!$B$2+卡牌总表!AQ231*参数!$B$15+卡牌总表!AB231*参数!$B$11+卡牌总表!AF231*参数!$B$40*参数!$B$2+卡牌总表!AG231*参数!$B$44*参数!$B$2+卡牌总表!AH231*参数!$B$6*参数!$B$2+卡牌总表!AI231*参数!$B$39*参数!$B$2+卡牌总表!AJ231*参数!$B$6*参数!$B$2+卡牌总表!Z231*参数!$B$13-卡牌总表!T231*参数!$B$14-卡牌总表!AD231*参数!$B$13+IF(ISNUMBER(卡牌总表!AU231),卡牌总表!AU231*参数!$B$38,0)-卡牌总表!AV231*参数!$B$41-卡牌总表!AW231*参数!$B$14</f>
        <v>5</v>
      </c>
      <c r="J231">
        <f>IF(AND(卡牌总表!F231="能力",卡牌总表!AL231="能力持续"),(参数!$B$2-1)*参数!$B$3,0)</f>
        <v>0</v>
      </c>
      <c r="K231">
        <f t="shared" si="10"/>
        <v>5</v>
      </c>
      <c r="L231">
        <f>卡牌总表!N231*卡牌总表!O231*参数!$B$5*IF(AND(卡牌总表!F231="能力",卡牌总表!AL231="能力持续"),参数!$B$2,1)+卡牌总表!Q231*参数!$B$6*IF(AND(卡牌总表!F231="能力",卡牌总表!AL231="能力持续"),参数!$B$2,1)+卡牌总表!S231*参数!$B$7*IF(AND(卡牌总表!F231="能力",卡牌总表!AL231="能力持续"),参数!$B$2,1)+卡牌总表!W231*参数!$B$8+IF(卡牌总表!Y231&lt;0,卡牌总表!Y231*参数!$B$13,卡牌总表!Y231*参数!$B$39)+IF(卡牌总表!AE231&lt;0,卡牌总表!AE231*参数!$B$13,卡牌总表!AE231*参数!$B$12)*参数!$B$2+卡牌总表!AR231*参数!$B$15+卡牌总表!AC231*参数!$B$11+卡牌总表!AF231*参数!$B$40*参数!$B$2+卡牌总表!AG231*参数!$B$44*参数!$B$2+卡牌总表!AH231*参数!$B$6*参数!$B$2+卡牌总表!AI231*参数!$B$39*参数!$B$2+卡牌总表!AJ231*参数!$B$6*参数!$B$2+卡牌总表!AA231*参数!$B$13-卡牌总表!U231*参数!$B$14-卡牌总表!AD231*参数!$B$13+IF(ISNUMBER(卡牌总表!AU231),卡牌总表!AU231*参数!$B$38,0)-卡牌总表!AV231*参数!$B$41-卡牌总表!AW231*参数!$B$14</f>
        <v>7</v>
      </c>
      <c r="M231">
        <f>IF(AND(卡牌总表!F231="能力",卡牌总表!AL231="能力持续"),参数!$B$2*参数!$B$3,0)</f>
        <v>0</v>
      </c>
      <c r="N231">
        <f t="shared" si="11"/>
        <v>7</v>
      </c>
      <c r="O231">
        <f>IFERROR(MAX(IF(K231 &gt; 参数!$B$17,参数!$B$17+SQRT(K231-参数!$B$17)*参数!$B$18,K231)-MAX(G231,0)*参数!$B$10,0)/MAX(G231,0.4),0)</f>
        <v>2</v>
      </c>
      <c r="P231">
        <f>IFERROR(MAX(IF(N231 &gt; 参数!$B$17,参数!$B$17+SQRT(N231-参数!$B$17)*参数!$B$18,N231)-MAX(H231,0)*参数!$B$10,0)/MAX(H231,0.4),0)</f>
        <v>4</v>
      </c>
      <c r="Q231">
        <f>卡牌总表!AO231</f>
        <v>0</v>
      </c>
    </row>
    <row r="232" spans="1:17" x14ac:dyDescent="0.3">
      <c r="A232">
        <f t="shared" si="9"/>
        <v>231</v>
      </c>
      <c r="B232" t="str">
        <f>卡牌总表!B232</f>
        <v>defect_spinner</v>
      </c>
      <c r="C232" t="str">
        <f>卡牌总表!D232</f>
        <v>旋转工艺</v>
      </c>
      <c r="D232" t="str">
        <f>卡牌总表!F232</f>
        <v>能力</v>
      </c>
      <c r="E232" t="str">
        <f>卡牌总表!AL232</f>
        <v>能力持续</v>
      </c>
      <c r="F232" t="str">
        <f>卡牌总表!AN232</f>
        <v>能力</v>
      </c>
      <c r="G232">
        <f>卡牌总表!AP232</f>
        <v>1</v>
      </c>
      <c r="H232">
        <f>IF(ISNUMBER(卡牌总表!H232),IF(AND(卡牌总表!H232=0,卡牌总表!V232=0,卡牌总表!AK232="none"),0.4,IF(卡牌总表!AK232="exhaust",MAX(卡牌总表!H232-卡牌总表!V232,0.4),IF(卡牌总表!AK232="ethereal",MAX(卡牌总表!H232-卡牌总表!V232,0.4),MAX(卡牌总表!H232-卡牌总表!V232,0.4)))),IF(OR(卡牌总表!H232="X",卡牌总表!H232="∞"),0.4,0.4))</f>
        <v>1</v>
      </c>
      <c r="I232">
        <f>卡牌总表!M232*卡牌总表!O232*参数!$B$5*IF(AND(卡牌总表!F232="能力",卡牌总表!AL232="能力持续"),参数!$B$2,1)+卡牌总表!P232*参数!$B$6*IF(AND(卡牌总表!F232="能力",卡牌总表!AL232="能力持续"),参数!$B$2,1)+卡牌总表!R232*参数!$B$7*IF(AND(卡牌总表!F232="能力",卡牌总表!AL232="能力持续"),参数!$B$2,1)+卡牌总表!V232*参数!$B$8+IF(卡牌总表!X232&lt;0,卡牌总表!X232*参数!$B$13,卡牌总表!X232*参数!$B$39)+IF(卡牌总表!AE232&lt;0,卡牌总表!AE232*参数!$B$13,卡牌总表!AE232*参数!$B$12)*参数!$B$2+卡牌总表!AQ232*参数!$B$15+卡牌总表!AB232*参数!$B$11+卡牌总表!AF232*参数!$B$40*参数!$B$2+卡牌总表!AG232*参数!$B$44*参数!$B$2+卡牌总表!AH232*参数!$B$6*参数!$B$2+卡牌总表!AI232*参数!$B$39*参数!$B$2+卡牌总表!AJ232*参数!$B$6*参数!$B$2+卡牌总表!Z232*参数!$B$13-卡牌总表!T232*参数!$B$14-卡牌总表!AD232*参数!$B$13+IF(ISNUMBER(卡牌总表!AU232),卡牌总表!AU232*参数!$B$38,0)-卡牌总表!AV232*参数!$B$41-卡牌总表!AW232*参数!$B$14</f>
        <v>0</v>
      </c>
      <c r="J232">
        <f>IF(AND(卡牌总表!F232="能力",卡牌总表!AL232="能力持续"),(参数!$B$2-1)*参数!$B$3,0)</f>
        <v>3.5999999999999996</v>
      </c>
      <c r="K232">
        <f t="shared" si="10"/>
        <v>3.5999999999999996</v>
      </c>
      <c r="L232">
        <f>卡牌总表!N232*卡牌总表!O232*参数!$B$5*IF(AND(卡牌总表!F232="能力",卡牌总表!AL232="能力持续"),参数!$B$2,1)+卡牌总表!Q232*参数!$B$6*IF(AND(卡牌总表!F232="能力",卡牌总表!AL232="能力持续"),参数!$B$2,1)+卡牌总表!S232*参数!$B$7*IF(AND(卡牌总表!F232="能力",卡牌总表!AL232="能力持续"),参数!$B$2,1)+卡牌总表!W232*参数!$B$8+IF(卡牌总表!Y232&lt;0,卡牌总表!Y232*参数!$B$13,卡牌总表!Y232*参数!$B$39)+IF(卡牌总表!AE232&lt;0,卡牌总表!AE232*参数!$B$13,卡牌总表!AE232*参数!$B$12)*参数!$B$2+卡牌总表!AR232*参数!$B$15+卡牌总表!AC232*参数!$B$11+卡牌总表!AF232*参数!$B$40*参数!$B$2+卡牌总表!AG232*参数!$B$44*参数!$B$2+卡牌总表!AH232*参数!$B$6*参数!$B$2+卡牌总表!AI232*参数!$B$39*参数!$B$2+卡牌总表!AJ232*参数!$B$6*参数!$B$2+卡牌总表!AA232*参数!$B$13-卡牌总表!U232*参数!$B$14-卡牌总表!AD232*参数!$B$13+IF(ISNUMBER(卡牌总表!AU232),卡牌总表!AU232*参数!$B$38,0)-卡牌总表!AV232*参数!$B$41-卡牌总表!AW232*参数!$B$14</f>
        <v>0</v>
      </c>
      <c r="M232">
        <f>IF(AND(卡牌总表!F232="能力",卡牌总表!AL232="能力持续"),参数!$B$2*参数!$B$3,0)</f>
        <v>4.8</v>
      </c>
      <c r="N232">
        <f t="shared" si="11"/>
        <v>4.8</v>
      </c>
      <c r="O232">
        <f>IFERROR(MAX(IF(K232 &gt; 参数!$B$17,参数!$B$17+SQRT(K232-参数!$B$17)*参数!$B$18,K232)-MAX(G232,0)*参数!$B$10,0)/MAX(G232,0.4),0)</f>
        <v>0.59999999999999964</v>
      </c>
      <c r="P232">
        <f>IFERROR(MAX(IF(N232 &gt; 参数!$B$17,参数!$B$17+SQRT(N232-参数!$B$17)*参数!$B$18,N232)-MAX(H232,0)*参数!$B$10,0)/MAX(H232,0.4),0)</f>
        <v>1.7999999999999998</v>
      </c>
      <c r="Q232">
        <f>卡牌总表!AO232</f>
        <v>0</v>
      </c>
    </row>
    <row r="233" spans="1:17" x14ac:dyDescent="0.3">
      <c r="A233">
        <f t="shared" si="9"/>
        <v>232</v>
      </c>
      <c r="B233" t="str">
        <f>卡牌总表!B233</f>
        <v>defect_storm</v>
      </c>
      <c r="C233" t="str">
        <f>卡牌总表!D233</f>
        <v>雷暴</v>
      </c>
      <c r="D233" t="str">
        <f>卡牌总表!F233</f>
        <v>能力</v>
      </c>
      <c r="E233" t="str">
        <f>卡牌总表!AL233</f>
        <v>能力持续</v>
      </c>
      <c r="F233" t="str">
        <f>卡牌总表!AN233</f>
        <v>能力</v>
      </c>
      <c r="G233">
        <f>卡牌总表!AP233</f>
        <v>1</v>
      </c>
      <c r="H233">
        <f>IF(ISNUMBER(卡牌总表!H233),IF(AND(卡牌总表!H233=0,卡牌总表!V233=0,卡牌总表!AK233="none"),0.4,IF(卡牌总表!AK233="exhaust",MAX(卡牌总表!H233-卡牌总表!V233,0.4),IF(卡牌总表!AK233="ethereal",MAX(卡牌总表!H233-卡牌总表!V233,0.4),MAX(卡牌总表!H233-卡牌总表!V233,0.4)))),IF(OR(卡牌总表!H233="X",卡牌总表!H233="∞"),0.4,0.4))</f>
        <v>1</v>
      </c>
      <c r="I233">
        <f>卡牌总表!M233*卡牌总表!O233*参数!$B$5*IF(AND(卡牌总表!F233="能力",卡牌总表!AL233="能力持续"),参数!$B$2,1)+卡牌总表!P233*参数!$B$6*IF(AND(卡牌总表!F233="能力",卡牌总表!AL233="能力持续"),参数!$B$2,1)+卡牌总表!R233*参数!$B$7*IF(AND(卡牌总表!F233="能力",卡牌总表!AL233="能力持续"),参数!$B$2,1)+卡牌总表!V233*参数!$B$8+IF(卡牌总表!X233&lt;0,卡牌总表!X233*参数!$B$13,卡牌总表!X233*参数!$B$39)+IF(卡牌总表!AE233&lt;0,卡牌总表!AE233*参数!$B$13,卡牌总表!AE233*参数!$B$12)*参数!$B$2+卡牌总表!AQ233*参数!$B$15+卡牌总表!AB233*参数!$B$11+卡牌总表!AF233*参数!$B$40*参数!$B$2+卡牌总表!AG233*参数!$B$44*参数!$B$2+卡牌总表!AH233*参数!$B$6*参数!$B$2+卡牌总表!AI233*参数!$B$39*参数!$B$2+卡牌总表!AJ233*参数!$B$6*参数!$B$2+卡牌总表!Z233*参数!$B$13-卡牌总表!T233*参数!$B$14-卡牌总表!AD233*参数!$B$13+IF(ISNUMBER(卡牌总表!AU233),卡牌总表!AU233*参数!$B$38,0)-卡牌总表!AV233*参数!$B$41-卡牌总表!AW233*参数!$B$14</f>
        <v>0</v>
      </c>
      <c r="J233">
        <f>IF(AND(卡牌总表!F233="能力",卡牌总表!AL233="能力持续"),(参数!$B$2-1)*参数!$B$3,0)</f>
        <v>3.5999999999999996</v>
      </c>
      <c r="K233">
        <f t="shared" si="10"/>
        <v>3.5999999999999996</v>
      </c>
      <c r="L233">
        <f>卡牌总表!N233*卡牌总表!O233*参数!$B$5*IF(AND(卡牌总表!F233="能力",卡牌总表!AL233="能力持续"),参数!$B$2,1)+卡牌总表!Q233*参数!$B$6*IF(AND(卡牌总表!F233="能力",卡牌总表!AL233="能力持续"),参数!$B$2,1)+卡牌总表!S233*参数!$B$7*IF(AND(卡牌总表!F233="能力",卡牌总表!AL233="能力持续"),参数!$B$2,1)+卡牌总表!W233*参数!$B$8+IF(卡牌总表!Y233&lt;0,卡牌总表!Y233*参数!$B$13,卡牌总表!Y233*参数!$B$39)+IF(卡牌总表!AE233&lt;0,卡牌总表!AE233*参数!$B$13,卡牌总表!AE233*参数!$B$12)*参数!$B$2+卡牌总表!AR233*参数!$B$15+卡牌总表!AC233*参数!$B$11+卡牌总表!AF233*参数!$B$40*参数!$B$2+卡牌总表!AG233*参数!$B$44*参数!$B$2+卡牌总表!AH233*参数!$B$6*参数!$B$2+卡牌总表!AI233*参数!$B$39*参数!$B$2+卡牌总表!AJ233*参数!$B$6*参数!$B$2+卡牌总表!AA233*参数!$B$13-卡牌总表!U233*参数!$B$14-卡牌总表!AD233*参数!$B$13+IF(ISNUMBER(卡牌总表!AU233),卡牌总表!AU233*参数!$B$38,0)-卡牌总表!AV233*参数!$B$41-卡牌总表!AW233*参数!$B$14</f>
        <v>0</v>
      </c>
      <c r="M233">
        <f>IF(AND(卡牌总表!F233="能力",卡牌总表!AL233="能力持续"),参数!$B$2*参数!$B$3,0)</f>
        <v>4.8</v>
      </c>
      <c r="N233">
        <f t="shared" si="11"/>
        <v>4.8</v>
      </c>
      <c r="O233">
        <f>IFERROR(MAX(IF(K233 &gt; 参数!$B$17,参数!$B$17+SQRT(K233-参数!$B$17)*参数!$B$18,K233)-MAX(G233,0)*参数!$B$10,0)/MAX(G233,0.4),0)</f>
        <v>0.59999999999999964</v>
      </c>
      <c r="P233">
        <f>IFERROR(MAX(IF(N233 &gt; 参数!$B$17,参数!$B$17+SQRT(N233-参数!$B$17)*参数!$B$18,N233)-MAX(H233,0)*参数!$B$10,0)/MAX(H233,0.4),0)</f>
        <v>1.7999999999999998</v>
      </c>
      <c r="Q233">
        <f>卡牌总表!AO233</f>
        <v>0</v>
      </c>
    </row>
    <row r="234" spans="1:17" x14ac:dyDescent="0.3">
      <c r="A234">
        <f t="shared" si="9"/>
        <v>233</v>
      </c>
      <c r="B234" t="str">
        <f>卡牌总表!B234</f>
        <v>defect_strike</v>
      </c>
      <c r="C234" t="str">
        <f>卡牌总表!D234</f>
        <v>打击</v>
      </c>
      <c r="D234" t="str">
        <f>卡牌总表!F234</f>
        <v>攻击</v>
      </c>
      <c r="E234">
        <f>卡牌总表!AL234</f>
        <v>0</v>
      </c>
      <c r="F234">
        <f>卡牌总表!AN234</f>
        <v>0</v>
      </c>
      <c r="G234">
        <f>卡牌总表!AP234</f>
        <v>1</v>
      </c>
      <c r="H234">
        <f>IF(ISNUMBER(卡牌总表!H234),IF(AND(卡牌总表!H234=0,卡牌总表!V234=0,卡牌总表!AK234="none"),0.4,IF(卡牌总表!AK234="exhaust",MAX(卡牌总表!H234-卡牌总表!V234,0.4),IF(卡牌总表!AK234="ethereal",MAX(卡牌总表!H234-卡牌总表!V234,0.4),MAX(卡牌总表!H234-卡牌总表!V234,0.4)))),IF(OR(卡牌总表!H234="X",卡牌总表!H234="∞"),0.4,0.4))</f>
        <v>1</v>
      </c>
      <c r="I234">
        <f>卡牌总表!M234*卡牌总表!O234*参数!$B$5*IF(AND(卡牌总表!F234="能力",卡牌总表!AL234="能力持续"),参数!$B$2,1)+卡牌总表!P234*参数!$B$6*IF(AND(卡牌总表!F234="能力",卡牌总表!AL234="能力持续"),参数!$B$2,1)+卡牌总表!R234*参数!$B$7*IF(AND(卡牌总表!F234="能力",卡牌总表!AL234="能力持续"),参数!$B$2,1)+卡牌总表!V234*参数!$B$8+IF(卡牌总表!X234&lt;0,卡牌总表!X234*参数!$B$13,卡牌总表!X234*参数!$B$39)+IF(卡牌总表!AE234&lt;0,卡牌总表!AE234*参数!$B$13,卡牌总表!AE234*参数!$B$12)*参数!$B$2+卡牌总表!AQ234*参数!$B$15+卡牌总表!AB234*参数!$B$11+卡牌总表!AF234*参数!$B$40*参数!$B$2+卡牌总表!AG234*参数!$B$44*参数!$B$2+卡牌总表!AH234*参数!$B$6*参数!$B$2+卡牌总表!AI234*参数!$B$39*参数!$B$2+卡牌总表!AJ234*参数!$B$6*参数!$B$2+卡牌总表!Z234*参数!$B$13-卡牌总表!T234*参数!$B$14-卡牌总表!AD234*参数!$B$13+IF(ISNUMBER(卡牌总表!AU234),卡牌总表!AU234*参数!$B$38,0)-卡牌总表!AV234*参数!$B$41-卡牌总表!AW234*参数!$B$14</f>
        <v>6</v>
      </c>
      <c r="J234">
        <f>IF(AND(卡牌总表!F234="能力",卡牌总表!AL234="能力持续"),(参数!$B$2-1)*参数!$B$3,0)</f>
        <v>0</v>
      </c>
      <c r="K234">
        <f t="shared" si="10"/>
        <v>6</v>
      </c>
      <c r="L234">
        <f>卡牌总表!N234*卡牌总表!O234*参数!$B$5*IF(AND(卡牌总表!F234="能力",卡牌总表!AL234="能力持续"),参数!$B$2,1)+卡牌总表!Q234*参数!$B$6*IF(AND(卡牌总表!F234="能力",卡牌总表!AL234="能力持续"),参数!$B$2,1)+卡牌总表!S234*参数!$B$7*IF(AND(卡牌总表!F234="能力",卡牌总表!AL234="能力持续"),参数!$B$2,1)+卡牌总表!W234*参数!$B$8+IF(卡牌总表!Y234&lt;0,卡牌总表!Y234*参数!$B$13,卡牌总表!Y234*参数!$B$39)+IF(卡牌总表!AE234&lt;0,卡牌总表!AE234*参数!$B$13,卡牌总表!AE234*参数!$B$12)*参数!$B$2+卡牌总表!AR234*参数!$B$15+卡牌总表!AC234*参数!$B$11+卡牌总表!AF234*参数!$B$40*参数!$B$2+卡牌总表!AG234*参数!$B$44*参数!$B$2+卡牌总表!AH234*参数!$B$6*参数!$B$2+卡牌总表!AI234*参数!$B$39*参数!$B$2+卡牌总表!AJ234*参数!$B$6*参数!$B$2+卡牌总表!AA234*参数!$B$13-卡牌总表!U234*参数!$B$14-卡牌总表!AD234*参数!$B$13+IF(ISNUMBER(卡牌总表!AU234),卡牌总表!AU234*参数!$B$38,0)-卡牌总表!AV234*参数!$B$41-卡牌总表!AW234*参数!$B$14</f>
        <v>9</v>
      </c>
      <c r="M234">
        <f>IF(AND(卡牌总表!F234="能力",卡牌总表!AL234="能力持续"),参数!$B$2*参数!$B$3,0)</f>
        <v>0</v>
      </c>
      <c r="N234">
        <f t="shared" si="11"/>
        <v>9</v>
      </c>
      <c r="O234">
        <f>IFERROR(MAX(IF(K234 &gt; 参数!$B$17,参数!$B$17+SQRT(K234-参数!$B$17)*参数!$B$18,K234)-MAX(G234,0)*参数!$B$10,0)/MAX(G234,0.4),0)</f>
        <v>3</v>
      </c>
      <c r="P234">
        <f>IFERROR(MAX(IF(N234 &gt; 参数!$B$17,参数!$B$17+SQRT(N234-参数!$B$17)*参数!$B$18,N234)-MAX(H234,0)*参数!$B$10,0)/MAX(H234,0.4),0)</f>
        <v>6</v>
      </c>
      <c r="Q234">
        <f>卡牌总表!AO234</f>
        <v>0</v>
      </c>
    </row>
    <row r="235" spans="1:17" x14ac:dyDescent="0.3">
      <c r="A235">
        <f t="shared" si="9"/>
        <v>234</v>
      </c>
      <c r="B235" t="str">
        <f>卡牌总表!B235</f>
        <v>defect_subroutine</v>
      </c>
      <c r="C235" t="str">
        <f>卡牌总表!D235</f>
        <v>子程序</v>
      </c>
      <c r="D235" t="str">
        <f>卡牌总表!F235</f>
        <v>能力</v>
      </c>
      <c r="E235" t="str">
        <f>卡牌总表!AL235</f>
        <v>能力持续</v>
      </c>
      <c r="F235" t="str">
        <f>卡牌总表!AN235</f>
        <v>能力</v>
      </c>
      <c r="G235">
        <f>卡牌总表!AP235</f>
        <v>1</v>
      </c>
      <c r="H235">
        <f>IF(ISNUMBER(卡牌总表!H235),IF(AND(卡牌总表!H235=0,卡牌总表!V235=0,卡牌总表!AK235="none"),0.4,IF(卡牌总表!AK235="exhaust",MAX(卡牌总表!H235-卡牌总表!V235,0.4),IF(卡牌总表!AK235="ethereal",MAX(卡牌总表!H235-卡牌总表!V235,0.4),MAX(卡牌总表!H235-卡牌总表!V235,0.4)))),IF(OR(卡牌总表!H235="X",卡牌总表!H235="∞"),0.4,0.4))</f>
        <v>1</v>
      </c>
      <c r="I235">
        <f>卡牌总表!M235*卡牌总表!O235*参数!$B$5*IF(AND(卡牌总表!F235="能力",卡牌总表!AL235="能力持续"),参数!$B$2,1)+卡牌总表!P235*参数!$B$6*IF(AND(卡牌总表!F235="能力",卡牌总表!AL235="能力持续"),参数!$B$2,1)+卡牌总表!R235*参数!$B$7*IF(AND(卡牌总表!F235="能力",卡牌总表!AL235="能力持续"),参数!$B$2,1)+卡牌总表!V235*参数!$B$8+IF(卡牌总表!X235&lt;0,卡牌总表!X235*参数!$B$13,卡牌总表!X235*参数!$B$39)+IF(卡牌总表!AE235&lt;0,卡牌总表!AE235*参数!$B$13,卡牌总表!AE235*参数!$B$12)*参数!$B$2+卡牌总表!AQ235*参数!$B$15+卡牌总表!AB235*参数!$B$11+卡牌总表!AF235*参数!$B$40*参数!$B$2+卡牌总表!AG235*参数!$B$44*参数!$B$2+卡牌总表!AH235*参数!$B$6*参数!$B$2+卡牌总表!AI235*参数!$B$39*参数!$B$2+卡牌总表!AJ235*参数!$B$6*参数!$B$2+卡牌总表!Z235*参数!$B$13-卡牌总表!T235*参数!$B$14-卡牌总表!AD235*参数!$B$13+IF(ISNUMBER(卡牌总表!AU235),卡牌总表!AU235*参数!$B$38,0)-卡牌总表!AV235*参数!$B$41-卡牌总表!AW235*参数!$B$14</f>
        <v>0</v>
      </c>
      <c r="J235">
        <f>IF(AND(卡牌总表!F235="能力",卡牌总表!AL235="能力持续"),(参数!$B$2-1)*参数!$B$3,0)</f>
        <v>3.5999999999999996</v>
      </c>
      <c r="K235">
        <f t="shared" si="10"/>
        <v>3.5999999999999996</v>
      </c>
      <c r="L235">
        <f>卡牌总表!N235*卡牌总表!O235*参数!$B$5*IF(AND(卡牌总表!F235="能力",卡牌总表!AL235="能力持续"),参数!$B$2,1)+卡牌总表!Q235*参数!$B$6*IF(AND(卡牌总表!F235="能力",卡牌总表!AL235="能力持续"),参数!$B$2,1)+卡牌总表!S235*参数!$B$7*IF(AND(卡牌总表!F235="能力",卡牌总表!AL235="能力持续"),参数!$B$2,1)+卡牌总表!W235*参数!$B$8+IF(卡牌总表!Y235&lt;0,卡牌总表!Y235*参数!$B$13,卡牌总表!Y235*参数!$B$39)+IF(卡牌总表!AE235&lt;0,卡牌总表!AE235*参数!$B$13,卡牌总表!AE235*参数!$B$12)*参数!$B$2+卡牌总表!AR235*参数!$B$15+卡牌总表!AC235*参数!$B$11+卡牌总表!AF235*参数!$B$40*参数!$B$2+卡牌总表!AG235*参数!$B$44*参数!$B$2+卡牌总表!AH235*参数!$B$6*参数!$B$2+卡牌总表!AI235*参数!$B$39*参数!$B$2+卡牌总表!AJ235*参数!$B$6*参数!$B$2+卡牌总表!AA235*参数!$B$13-卡牌总表!U235*参数!$B$14-卡牌总表!AD235*参数!$B$13+IF(ISNUMBER(卡牌总表!AU235),卡牌总表!AU235*参数!$B$38,0)-卡牌总表!AV235*参数!$B$41-卡牌总表!AW235*参数!$B$14</f>
        <v>0</v>
      </c>
      <c r="M235">
        <f>IF(AND(卡牌总表!F235="能力",卡牌总表!AL235="能力持续"),参数!$B$2*参数!$B$3,0)</f>
        <v>4.8</v>
      </c>
      <c r="N235">
        <f t="shared" si="11"/>
        <v>4.8</v>
      </c>
      <c r="O235">
        <f>IFERROR(MAX(IF(K235 &gt; 参数!$B$17,参数!$B$17+SQRT(K235-参数!$B$17)*参数!$B$18,K235)-MAX(G235,0)*参数!$B$10,0)/MAX(G235,0.4),0)</f>
        <v>0.59999999999999964</v>
      </c>
      <c r="P235">
        <f>IFERROR(MAX(IF(N235 &gt; 参数!$B$17,参数!$B$17+SQRT(N235-参数!$B$17)*参数!$B$18,N235)-MAX(H235,0)*参数!$B$10,0)/MAX(H235,0.4),0)</f>
        <v>1.7999999999999998</v>
      </c>
      <c r="Q235">
        <f>卡牌总表!AO235</f>
        <v>0</v>
      </c>
    </row>
    <row r="236" spans="1:17" x14ac:dyDescent="0.3">
      <c r="A236">
        <f t="shared" si="9"/>
        <v>235</v>
      </c>
      <c r="B236" t="str">
        <f>卡牌总表!B236</f>
        <v>defect_sunder</v>
      </c>
      <c r="C236" t="str">
        <f>卡牌总表!D236</f>
        <v>分离</v>
      </c>
      <c r="D236" t="str">
        <f>卡牌总表!F236</f>
        <v>攻击</v>
      </c>
      <c r="E236">
        <f>卡牌总表!AL236</f>
        <v>0</v>
      </c>
      <c r="F236">
        <f>卡牌总表!AN236</f>
        <v>0</v>
      </c>
      <c r="G236">
        <f>卡牌总表!AP236</f>
        <v>3</v>
      </c>
      <c r="H236">
        <f>IF(ISNUMBER(卡牌总表!H236),IF(AND(卡牌总表!H236=0,卡牌总表!V236=0,卡牌总表!AK236="none"),0.4,IF(卡牌总表!AK236="exhaust",MAX(卡牌总表!H236-卡牌总表!V236,0.4),IF(卡牌总表!AK236="ethereal",MAX(卡牌总表!H236-卡牌总表!V236,0.4),MAX(卡牌总表!H236-卡牌总表!V236,0.4)))),IF(OR(卡牌总表!H236="X",卡牌总表!H236="∞"),0.4,0.4))</f>
        <v>3</v>
      </c>
      <c r="I236">
        <f>卡牌总表!M236*卡牌总表!O236*参数!$B$5*IF(AND(卡牌总表!F236="能力",卡牌总表!AL236="能力持续"),参数!$B$2,1)+卡牌总表!P236*参数!$B$6*IF(AND(卡牌总表!F236="能力",卡牌总表!AL236="能力持续"),参数!$B$2,1)+卡牌总表!R236*参数!$B$7*IF(AND(卡牌总表!F236="能力",卡牌总表!AL236="能力持续"),参数!$B$2,1)+卡牌总表!V236*参数!$B$8+IF(卡牌总表!X236&lt;0,卡牌总表!X236*参数!$B$13,卡牌总表!X236*参数!$B$39)+IF(卡牌总表!AE236&lt;0,卡牌总表!AE236*参数!$B$13,卡牌总表!AE236*参数!$B$12)*参数!$B$2+卡牌总表!AQ236*参数!$B$15+卡牌总表!AB236*参数!$B$11+卡牌总表!AF236*参数!$B$40*参数!$B$2+卡牌总表!AG236*参数!$B$44*参数!$B$2+卡牌总表!AH236*参数!$B$6*参数!$B$2+卡牌总表!AI236*参数!$B$39*参数!$B$2+卡牌总表!AJ236*参数!$B$6*参数!$B$2+卡牌总表!Z236*参数!$B$13-卡牌总表!T236*参数!$B$14-卡牌总表!AD236*参数!$B$13+IF(ISNUMBER(卡牌总表!AU236),卡牌总表!AU236*参数!$B$38,0)-卡牌总表!AV236*参数!$B$41-卡牌总表!AW236*参数!$B$14</f>
        <v>24</v>
      </c>
      <c r="J236">
        <f>IF(AND(卡牌总表!F236="能力",卡牌总表!AL236="能力持续"),(参数!$B$2-1)*参数!$B$3,0)</f>
        <v>0</v>
      </c>
      <c r="K236">
        <f t="shared" si="10"/>
        <v>24</v>
      </c>
      <c r="L236">
        <f>卡牌总表!N236*卡牌总表!O236*参数!$B$5*IF(AND(卡牌总表!F236="能力",卡牌总表!AL236="能力持续"),参数!$B$2,1)+卡牌总表!Q236*参数!$B$6*IF(AND(卡牌总表!F236="能力",卡牌总表!AL236="能力持续"),参数!$B$2,1)+卡牌总表!S236*参数!$B$7*IF(AND(卡牌总表!F236="能力",卡牌总表!AL236="能力持续"),参数!$B$2,1)+卡牌总表!W236*参数!$B$8+IF(卡牌总表!Y236&lt;0,卡牌总表!Y236*参数!$B$13,卡牌总表!Y236*参数!$B$39)+IF(卡牌总表!AE236&lt;0,卡牌总表!AE236*参数!$B$13,卡牌总表!AE236*参数!$B$12)*参数!$B$2+卡牌总表!AR236*参数!$B$15+卡牌总表!AC236*参数!$B$11+卡牌总表!AF236*参数!$B$40*参数!$B$2+卡牌总表!AG236*参数!$B$44*参数!$B$2+卡牌总表!AH236*参数!$B$6*参数!$B$2+卡牌总表!AI236*参数!$B$39*参数!$B$2+卡牌总表!AJ236*参数!$B$6*参数!$B$2+卡牌总表!AA236*参数!$B$13-卡牌总表!U236*参数!$B$14-卡牌总表!AD236*参数!$B$13+IF(ISNUMBER(卡牌总表!AU236),卡牌总表!AU236*参数!$B$38,0)-卡牌总表!AV236*参数!$B$41-卡牌总表!AW236*参数!$B$14</f>
        <v>32</v>
      </c>
      <c r="M236">
        <f>IF(AND(卡牌总表!F236="能力",卡牌总表!AL236="能力持续"),参数!$B$2*参数!$B$3,0)</f>
        <v>0</v>
      </c>
      <c r="N236">
        <f t="shared" si="11"/>
        <v>32</v>
      </c>
      <c r="O236">
        <f>IFERROR(MAX(IF(K236 &gt; 参数!$B$17,参数!$B$17+SQRT(K236-参数!$B$17)*参数!$B$18,K236)-MAX(G236,0)*参数!$B$10,0)/MAX(G236,0.4),0)</f>
        <v>2.2041620267203044</v>
      </c>
      <c r="P236">
        <f>IFERROR(MAX(IF(N236 &gt; 参数!$B$17,参数!$B$17+SQRT(N236-参数!$B$17)*参数!$B$18,N236)-MAX(H236,0)*参数!$B$10,0)/MAX(H236,0.4),0)</f>
        <v>2.6785412132450475</v>
      </c>
      <c r="Q236">
        <f>卡牌总表!AO236</f>
        <v>0</v>
      </c>
    </row>
    <row r="237" spans="1:17" x14ac:dyDescent="0.3">
      <c r="A237">
        <f t="shared" si="9"/>
        <v>236</v>
      </c>
      <c r="B237" t="str">
        <f>卡牌总表!B237</f>
        <v>defect_supercritical</v>
      </c>
      <c r="C237" t="str">
        <f>卡牌总表!D237</f>
        <v>超临界态</v>
      </c>
      <c r="D237" t="str">
        <f>卡牌总表!F237</f>
        <v>技能</v>
      </c>
      <c r="E237">
        <f>卡牌总表!AL237</f>
        <v>0</v>
      </c>
      <c r="F237">
        <f>卡牌总表!AN237</f>
        <v>0</v>
      </c>
      <c r="G237">
        <f>卡牌总表!AP237</f>
        <v>0.4</v>
      </c>
      <c r="H237">
        <f>IF(ISNUMBER(卡牌总表!H237),IF(AND(卡牌总表!H237=0,卡牌总表!V237=0,卡牌总表!AK237="none"),0.4,IF(卡牌总表!AK237="exhaust",MAX(卡牌总表!H237-卡牌总表!V237,0.4),IF(卡牌总表!AK237="ethereal",MAX(卡牌总表!H237-卡牌总表!V237,0.4),MAX(卡牌总表!H237-卡牌总表!V237,0.4)))),IF(OR(卡牌总表!H237="X",卡牌总表!H237="∞"),0.4,0.4))</f>
        <v>0.4</v>
      </c>
      <c r="I237">
        <f>卡牌总表!M237*卡牌总表!O237*参数!$B$5*IF(AND(卡牌总表!F237="能力",卡牌总表!AL237="能力持续"),参数!$B$2,1)+卡牌总表!P237*参数!$B$6*IF(AND(卡牌总表!F237="能力",卡牌总表!AL237="能力持续"),参数!$B$2,1)+卡牌总表!R237*参数!$B$7*IF(AND(卡牌总表!F237="能力",卡牌总表!AL237="能力持续"),参数!$B$2,1)+卡牌总表!V237*参数!$B$8+IF(卡牌总表!X237&lt;0,卡牌总表!X237*参数!$B$13,卡牌总表!X237*参数!$B$39)+IF(卡牌总表!AE237&lt;0,卡牌总表!AE237*参数!$B$13,卡牌总表!AE237*参数!$B$12)*参数!$B$2+卡牌总表!AQ237*参数!$B$15+卡牌总表!AB237*参数!$B$11+卡牌总表!AF237*参数!$B$40*参数!$B$2+卡牌总表!AG237*参数!$B$44*参数!$B$2+卡牌总表!AH237*参数!$B$6*参数!$B$2+卡牌总表!AI237*参数!$B$39*参数!$B$2+卡牌总表!AJ237*参数!$B$6*参数!$B$2+卡牌总表!Z237*参数!$B$13-卡牌总表!T237*参数!$B$14-卡牌总表!AD237*参数!$B$13+IF(ISNUMBER(卡牌总表!AU237),卡牌总表!AU237*参数!$B$38,0)-卡牌总表!AV237*参数!$B$41-卡牌总表!AW237*参数!$B$14</f>
        <v>12</v>
      </c>
      <c r="J237">
        <f>IF(AND(卡牌总表!F237="能力",卡牌总表!AL237="能力持续"),(参数!$B$2-1)*参数!$B$3,0)</f>
        <v>0</v>
      </c>
      <c r="K237">
        <f t="shared" si="10"/>
        <v>12</v>
      </c>
      <c r="L237">
        <f>卡牌总表!N237*卡牌总表!O237*参数!$B$5*IF(AND(卡牌总表!F237="能力",卡牌总表!AL237="能力持续"),参数!$B$2,1)+卡牌总表!Q237*参数!$B$6*IF(AND(卡牌总表!F237="能力",卡牌总表!AL237="能力持续"),参数!$B$2,1)+卡牌总表!S237*参数!$B$7*IF(AND(卡牌总表!F237="能力",卡牌总表!AL237="能力持续"),参数!$B$2,1)+卡牌总表!W237*参数!$B$8+IF(卡牌总表!Y237&lt;0,卡牌总表!Y237*参数!$B$13,卡牌总表!Y237*参数!$B$39)+IF(卡牌总表!AE237&lt;0,卡牌总表!AE237*参数!$B$13,卡牌总表!AE237*参数!$B$12)*参数!$B$2+卡牌总表!AR237*参数!$B$15+卡牌总表!AC237*参数!$B$11+卡牌总表!AF237*参数!$B$40*参数!$B$2+卡牌总表!AG237*参数!$B$44*参数!$B$2+卡牌总表!AH237*参数!$B$6*参数!$B$2+卡牌总表!AI237*参数!$B$39*参数!$B$2+卡牌总表!AJ237*参数!$B$6*参数!$B$2+卡牌总表!AA237*参数!$B$13-卡牌总表!U237*参数!$B$14-卡牌总表!AD237*参数!$B$13+IF(ISNUMBER(卡牌总表!AU237),卡牌总表!AU237*参数!$B$38,0)-卡牌总表!AV237*参数!$B$41-卡牌总表!AW237*参数!$B$14</f>
        <v>18</v>
      </c>
      <c r="M237">
        <f>IF(AND(卡牌总表!F237="能力",卡牌总表!AL237="能力持续"),参数!$B$2*参数!$B$3,0)</f>
        <v>0</v>
      </c>
      <c r="N237">
        <f t="shared" si="11"/>
        <v>18</v>
      </c>
      <c r="O237">
        <f>IFERROR(MAX(IF(K237 &gt; 参数!$B$17,参数!$B$17+SQRT(K237-参数!$B$17)*参数!$B$18,K237)-MAX(G237,0)*参数!$B$10,0)/MAX(G237,0.4),0)</f>
        <v>27.303300858899107</v>
      </c>
      <c r="P237">
        <f>IFERROR(MAX(IF(N237 &gt; 参数!$B$17,参数!$B$17+SQRT(N237-参数!$B$17)*参数!$B$18,N237)-MAX(H237,0)*参数!$B$10,0)/MAX(H237,0.4),0)</f>
        <v>32.606601717798206</v>
      </c>
      <c r="Q237" t="str">
        <f>卡牌总表!AO237</f>
        <v>Gain能量数值需核对</v>
      </c>
    </row>
    <row r="238" spans="1:17" x14ac:dyDescent="0.3">
      <c r="A238">
        <f t="shared" si="9"/>
        <v>237</v>
      </c>
      <c r="B238" t="str">
        <f>卡牌总表!B238</f>
        <v>defect_sweeping_beam</v>
      </c>
      <c r="C238" t="str">
        <f>卡牌总表!D238</f>
        <v>扫荡射线</v>
      </c>
      <c r="D238" t="str">
        <f>卡牌总表!F238</f>
        <v>攻击</v>
      </c>
      <c r="E238">
        <f>卡牌总表!AL238</f>
        <v>0</v>
      </c>
      <c r="F238" t="str">
        <f>卡牌总表!AN238</f>
        <v>群体攻击</v>
      </c>
      <c r="G238">
        <f>卡牌总表!AP238</f>
        <v>1</v>
      </c>
      <c r="H238">
        <f>IF(ISNUMBER(卡牌总表!H238),IF(AND(卡牌总表!H238=0,卡牌总表!V238=0,卡牌总表!AK238="none"),0.4,IF(卡牌总表!AK238="exhaust",MAX(卡牌总表!H238-卡牌总表!V238,0.4),IF(卡牌总表!AK238="ethereal",MAX(卡牌总表!H238-卡牌总表!V238,0.4),MAX(卡牌总表!H238-卡牌总表!V238,0.4)))),IF(OR(卡牌总表!H238="X",卡牌总表!H238="∞"),0.4,0.4))</f>
        <v>1</v>
      </c>
      <c r="I238">
        <f>卡牌总表!M238*卡牌总表!O238*参数!$B$5*IF(AND(卡牌总表!F238="能力",卡牌总表!AL238="能力持续"),参数!$B$2,1)+卡牌总表!P238*参数!$B$6*IF(AND(卡牌总表!F238="能力",卡牌总表!AL238="能力持续"),参数!$B$2,1)+卡牌总表!R238*参数!$B$7*IF(AND(卡牌总表!F238="能力",卡牌总表!AL238="能力持续"),参数!$B$2,1)+卡牌总表!V238*参数!$B$8+IF(卡牌总表!X238&lt;0,卡牌总表!X238*参数!$B$13,卡牌总表!X238*参数!$B$39)+IF(卡牌总表!AE238&lt;0,卡牌总表!AE238*参数!$B$13,卡牌总表!AE238*参数!$B$12)*参数!$B$2+卡牌总表!AQ238*参数!$B$15+卡牌总表!AB238*参数!$B$11+卡牌总表!AF238*参数!$B$40*参数!$B$2+卡牌总表!AG238*参数!$B$44*参数!$B$2+卡牌总表!AH238*参数!$B$6*参数!$B$2+卡牌总表!AI238*参数!$B$39*参数!$B$2+卡牌总表!AJ238*参数!$B$6*参数!$B$2+卡牌总表!Z238*参数!$B$13-卡牌总表!T238*参数!$B$14-卡牌总表!AD238*参数!$B$13+IF(ISNUMBER(卡牌总表!AU238),卡牌总表!AU238*参数!$B$38,0)-卡牌总表!AV238*参数!$B$41-卡牌总表!AW238*参数!$B$14</f>
        <v>6.7</v>
      </c>
      <c r="J238">
        <f>IF(AND(卡牌总表!F238="能力",卡牌总表!AL238="能力持续"),(参数!$B$2-1)*参数!$B$3,0)</f>
        <v>0</v>
      </c>
      <c r="K238">
        <f t="shared" si="10"/>
        <v>6.7</v>
      </c>
      <c r="L238">
        <f>卡牌总表!N238*卡牌总表!O238*参数!$B$5*IF(AND(卡牌总表!F238="能力",卡牌总表!AL238="能力持续"),参数!$B$2,1)+卡牌总表!Q238*参数!$B$6*IF(AND(卡牌总表!F238="能力",卡牌总表!AL238="能力持续"),参数!$B$2,1)+卡牌总表!S238*参数!$B$7*IF(AND(卡牌总表!F238="能力",卡牌总表!AL238="能力持续"),参数!$B$2,1)+卡牌总表!W238*参数!$B$8+IF(卡牌总表!Y238&lt;0,卡牌总表!Y238*参数!$B$13,卡牌总表!Y238*参数!$B$39)+IF(卡牌总表!AE238&lt;0,卡牌总表!AE238*参数!$B$13,卡牌总表!AE238*参数!$B$12)*参数!$B$2+卡牌总表!AR238*参数!$B$15+卡牌总表!AC238*参数!$B$11+卡牌总表!AF238*参数!$B$40*参数!$B$2+卡牌总表!AG238*参数!$B$44*参数!$B$2+卡牌总表!AH238*参数!$B$6*参数!$B$2+卡牌总表!AI238*参数!$B$39*参数!$B$2+卡牌总表!AJ238*参数!$B$6*参数!$B$2+卡牌总表!AA238*参数!$B$13-卡牌总表!U238*参数!$B$14-卡牌总表!AD238*参数!$B$13+IF(ISNUMBER(卡牌总表!AU238),卡牌总表!AU238*参数!$B$38,0)-卡牌总表!AV238*参数!$B$41-卡牌总表!AW238*参数!$B$14</f>
        <v>9.6999999999999993</v>
      </c>
      <c r="M238">
        <f>IF(AND(卡牌总表!F238="能力",卡牌总表!AL238="能力持续"),参数!$B$2*参数!$B$3,0)</f>
        <v>0</v>
      </c>
      <c r="N238">
        <f t="shared" si="11"/>
        <v>9.6999999999999993</v>
      </c>
      <c r="O238">
        <f>IFERROR(MAX(IF(K238 &gt; 参数!$B$17,参数!$B$17+SQRT(K238-参数!$B$17)*参数!$B$18,K238)-MAX(G238,0)*参数!$B$10,0)/MAX(G238,0.4),0)</f>
        <v>3.7</v>
      </c>
      <c r="P238">
        <f>IFERROR(MAX(IF(N238 &gt; 参数!$B$17,参数!$B$17+SQRT(N238-参数!$B$17)*参数!$B$18,N238)-MAX(H238,0)*参数!$B$10,0)/MAX(H238,0.4),0)</f>
        <v>6.6999999999999993</v>
      </c>
      <c r="Q238">
        <f>卡牌总表!AO238</f>
        <v>0</v>
      </c>
    </row>
    <row r="239" spans="1:17" x14ac:dyDescent="0.3">
      <c r="A239">
        <f t="shared" si="9"/>
        <v>238</v>
      </c>
      <c r="B239" t="str">
        <f>卡牌总表!B239</f>
        <v>defect_synchronize</v>
      </c>
      <c r="C239" t="str">
        <f>卡牌总表!D239</f>
        <v>同步</v>
      </c>
      <c r="D239" t="str">
        <f>卡牌总表!F239</f>
        <v>技能</v>
      </c>
      <c r="E239">
        <f>卡牌总表!AL239</f>
        <v>0</v>
      </c>
      <c r="F239" t="str">
        <f>卡牌总表!AN239</f>
        <v>本回合</v>
      </c>
      <c r="G239">
        <f>卡牌总表!AP239</f>
        <v>1</v>
      </c>
      <c r="H239">
        <f>IF(ISNUMBER(卡牌总表!H239),IF(AND(卡牌总表!H239=0,卡牌总表!V239=0,卡牌总表!AK239="none"),0.4,IF(卡牌总表!AK239="exhaust",MAX(卡牌总表!H239-卡牌总表!V239,0.4),IF(卡牌总表!AK239="ethereal",MAX(卡牌总表!H239-卡牌总表!V239,0.4),MAX(卡牌总表!H239-卡牌总表!V239,0.4)))),IF(OR(卡牌总表!H239="X",卡牌总表!H239="∞"),0.4,0.4))</f>
        <v>1</v>
      </c>
      <c r="I239">
        <f>卡牌总表!M239*卡牌总表!O239*参数!$B$5*IF(AND(卡牌总表!F239="能力",卡牌总表!AL239="能力持续"),参数!$B$2,1)+卡牌总表!P239*参数!$B$6*IF(AND(卡牌总表!F239="能力",卡牌总表!AL239="能力持续"),参数!$B$2,1)+卡牌总表!R239*参数!$B$7*IF(AND(卡牌总表!F239="能力",卡牌总表!AL239="能力持续"),参数!$B$2,1)+卡牌总表!V239*参数!$B$8+IF(卡牌总表!X239&lt;0,卡牌总表!X239*参数!$B$13,卡牌总表!X239*参数!$B$39)+IF(卡牌总表!AE239&lt;0,卡牌总表!AE239*参数!$B$13,卡牌总表!AE239*参数!$B$12)*参数!$B$2+卡牌总表!AQ239*参数!$B$15+卡牌总表!AB239*参数!$B$11+卡牌总表!AF239*参数!$B$40*参数!$B$2+卡牌总表!AG239*参数!$B$44*参数!$B$2+卡牌总表!AH239*参数!$B$6*参数!$B$2+卡牌总表!AI239*参数!$B$39*参数!$B$2+卡牌总表!AJ239*参数!$B$6*参数!$B$2+卡牌总表!Z239*参数!$B$13-卡牌总表!T239*参数!$B$14-卡牌总表!AD239*参数!$B$13+IF(ISNUMBER(卡牌总表!AU239),卡牌总表!AU239*参数!$B$38,0)-卡牌总表!AV239*参数!$B$41-卡牌总表!AW239*参数!$B$14</f>
        <v>10.4</v>
      </c>
      <c r="J239">
        <f>IF(AND(卡牌总表!F239="能力",卡牌总表!AL239="能力持续"),(参数!$B$2-1)*参数!$B$3,0)</f>
        <v>0</v>
      </c>
      <c r="K239">
        <f t="shared" si="10"/>
        <v>10.4</v>
      </c>
      <c r="L239">
        <f>卡牌总表!N239*卡牌总表!O239*参数!$B$5*IF(AND(卡牌总表!F239="能力",卡牌总表!AL239="能力持续"),参数!$B$2,1)+卡牌总表!Q239*参数!$B$6*IF(AND(卡牌总表!F239="能力",卡牌总表!AL239="能力持续"),参数!$B$2,1)+卡牌总表!S239*参数!$B$7*IF(AND(卡牌总表!F239="能力",卡牌总表!AL239="能力持续"),参数!$B$2,1)+卡牌总表!W239*参数!$B$8+IF(卡牌总表!Y239&lt;0,卡牌总表!Y239*参数!$B$13,卡牌总表!Y239*参数!$B$39)+IF(卡牌总表!AE239&lt;0,卡牌总表!AE239*参数!$B$13,卡牌总表!AE239*参数!$B$12)*参数!$B$2+卡牌总表!AR239*参数!$B$15+卡牌总表!AC239*参数!$B$11+卡牌总表!AF239*参数!$B$40*参数!$B$2+卡牌总表!AG239*参数!$B$44*参数!$B$2+卡牌总表!AH239*参数!$B$6*参数!$B$2+卡牌总表!AI239*参数!$B$39*参数!$B$2+卡牌总表!AJ239*参数!$B$6*参数!$B$2+卡牌总表!AA239*参数!$B$13-卡牌总表!U239*参数!$B$14-卡牌总表!AD239*参数!$B$13+IF(ISNUMBER(卡牌总表!AU239),卡牌总表!AU239*参数!$B$38,0)-卡牌总表!AV239*参数!$B$41-卡牌总表!AW239*参数!$B$14</f>
        <v>10.4</v>
      </c>
      <c r="M239">
        <f>IF(AND(卡牌总表!F239="能力",卡牌总表!AL239="能力持续"),参数!$B$2*参数!$B$3,0)</f>
        <v>0</v>
      </c>
      <c r="N239">
        <f t="shared" si="11"/>
        <v>10.4</v>
      </c>
      <c r="O239">
        <f>IFERROR(MAX(IF(K239 &gt; 参数!$B$17,参数!$B$17+SQRT(K239-参数!$B$17)*参数!$B$18,K239)-MAX(G239,0)*参数!$B$10,0)/MAX(G239,0.4),0)</f>
        <v>7.9486832980505149</v>
      </c>
      <c r="P239">
        <f>IFERROR(MAX(IF(N239 &gt; 参数!$B$17,参数!$B$17+SQRT(N239-参数!$B$17)*参数!$B$18,N239)-MAX(H239,0)*参数!$B$10,0)/MAX(H239,0.4),0)</f>
        <v>7.9486832980505149</v>
      </c>
      <c r="Q239">
        <f>卡牌总表!AO239</f>
        <v>0</v>
      </c>
    </row>
    <row r="240" spans="1:17" x14ac:dyDescent="0.3">
      <c r="A240">
        <f t="shared" si="9"/>
        <v>239</v>
      </c>
      <c r="B240" t="str">
        <f>卡牌总表!B240</f>
        <v>defect_synthesis</v>
      </c>
      <c r="C240" t="str">
        <f>卡牌总表!D240</f>
        <v>合成</v>
      </c>
      <c r="D240" t="str">
        <f>卡牌总表!F240</f>
        <v>攻击</v>
      </c>
      <c r="E240">
        <f>卡牌总表!AL240</f>
        <v>0</v>
      </c>
      <c r="F240">
        <f>卡牌总表!AN240</f>
        <v>0</v>
      </c>
      <c r="G240">
        <f>卡牌总表!AP240</f>
        <v>2</v>
      </c>
      <c r="H240">
        <f>IF(ISNUMBER(卡牌总表!H240),IF(AND(卡牌总表!H240=0,卡牌总表!V240=0,卡牌总表!AK240="none"),0.4,IF(卡牌总表!AK240="exhaust",MAX(卡牌总表!H240-卡牌总表!V240,0.4),IF(卡牌总表!AK240="ethereal",MAX(卡牌总表!H240-卡牌总表!V240,0.4),MAX(卡牌总表!H240-卡牌总表!V240,0.4)))),IF(OR(卡牌总表!H240="X",卡牌总表!H240="∞"),0.4,0.4))</f>
        <v>2</v>
      </c>
      <c r="I240">
        <f>卡牌总表!M240*卡牌总表!O240*参数!$B$5*IF(AND(卡牌总表!F240="能力",卡牌总表!AL240="能力持续"),参数!$B$2,1)+卡牌总表!P240*参数!$B$6*IF(AND(卡牌总表!F240="能力",卡牌总表!AL240="能力持续"),参数!$B$2,1)+卡牌总表!R240*参数!$B$7*IF(AND(卡牌总表!F240="能力",卡牌总表!AL240="能力持续"),参数!$B$2,1)+卡牌总表!V240*参数!$B$8+IF(卡牌总表!X240&lt;0,卡牌总表!X240*参数!$B$13,卡牌总表!X240*参数!$B$39)+IF(卡牌总表!AE240&lt;0,卡牌总表!AE240*参数!$B$13,卡牌总表!AE240*参数!$B$12)*参数!$B$2+卡牌总表!AQ240*参数!$B$15+卡牌总表!AB240*参数!$B$11+卡牌总表!AF240*参数!$B$40*参数!$B$2+卡牌总表!AG240*参数!$B$44*参数!$B$2+卡牌总表!AH240*参数!$B$6*参数!$B$2+卡牌总表!AI240*参数!$B$39*参数!$B$2+卡牌总表!AJ240*参数!$B$6*参数!$B$2+卡牌总表!Z240*参数!$B$13-卡牌总表!T240*参数!$B$14-卡牌总表!AD240*参数!$B$13+IF(ISNUMBER(卡牌总表!AU240),卡牌总表!AU240*参数!$B$38,0)-卡牌总表!AV240*参数!$B$41-卡牌总表!AW240*参数!$B$14</f>
        <v>12</v>
      </c>
      <c r="J240">
        <f>IF(AND(卡牌总表!F240="能力",卡牌总表!AL240="能力持续"),(参数!$B$2-1)*参数!$B$3,0)</f>
        <v>0</v>
      </c>
      <c r="K240">
        <f t="shared" si="10"/>
        <v>12</v>
      </c>
      <c r="L240">
        <f>卡牌总表!N240*卡牌总表!O240*参数!$B$5*IF(AND(卡牌总表!F240="能力",卡牌总表!AL240="能力持续"),参数!$B$2,1)+卡牌总表!Q240*参数!$B$6*IF(AND(卡牌总表!F240="能力",卡牌总表!AL240="能力持续"),参数!$B$2,1)+卡牌总表!S240*参数!$B$7*IF(AND(卡牌总表!F240="能力",卡牌总表!AL240="能力持续"),参数!$B$2,1)+卡牌总表!W240*参数!$B$8+IF(卡牌总表!Y240&lt;0,卡牌总表!Y240*参数!$B$13,卡牌总表!Y240*参数!$B$39)+IF(卡牌总表!AE240&lt;0,卡牌总表!AE240*参数!$B$13,卡牌总表!AE240*参数!$B$12)*参数!$B$2+卡牌总表!AR240*参数!$B$15+卡牌总表!AC240*参数!$B$11+卡牌总表!AF240*参数!$B$40*参数!$B$2+卡牌总表!AG240*参数!$B$44*参数!$B$2+卡牌总表!AH240*参数!$B$6*参数!$B$2+卡牌总表!AI240*参数!$B$39*参数!$B$2+卡牌总表!AJ240*参数!$B$6*参数!$B$2+卡牌总表!AA240*参数!$B$13-卡牌总表!U240*参数!$B$14-卡牌总表!AD240*参数!$B$13+IF(ISNUMBER(卡牌总表!AU240),卡牌总表!AU240*参数!$B$38,0)-卡牌总表!AV240*参数!$B$41-卡牌总表!AW240*参数!$B$14</f>
        <v>18</v>
      </c>
      <c r="M240">
        <f>IF(AND(卡牌总表!F240="能力",卡牌总表!AL240="能力持续"),参数!$B$2*参数!$B$3,0)</f>
        <v>0</v>
      </c>
      <c r="N240">
        <f t="shared" si="11"/>
        <v>18</v>
      </c>
      <c r="O240">
        <f>IFERROR(MAX(IF(K240 &gt; 参数!$B$17,参数!$B$17+SQRT(K240-参数!$B$17)*参数!$B$18,K240)-MAX(G240,0)*参数!$B$10,0)/MAX(G240,0.4),0)</f>
        <v>3.060660171779821</v>
      </c>
      <c r="P240">
        <f>IFERROR(MAX(IF(N240 &gt; 参数!$B$17,参数!$B$17+SQRT(N240-参数!$B$17)*参数!$B$18,N240)-MAX(H240,0)*参数!$B$10,0)/MAX(H240,0.4),0)</f>
        <v>4.1213203435596428</v>
      </c>
      <c r="Q240">
        <f>卡牌总表!AO240</f>
        <v>0</v>
      </c>
    </row>
    <row r="241" spans="1:17" x14ac:dyDescent="0.3">
      <c r="A241">
        <f t="shared" si="9"/>
        <v>240</v>
      </c>
      <c r="B241" t="str">
        <f>卡牌总表!B241</f>
        <v>defect_tempest</v>
      </c>
      <c r="C241" t="str">
        <f>卡牌总表!D241</f>
        <v>暴风雨</v>
      </c>
      <c r="D241" t="str">
        <f>卡牌总表!F241</f>
        <v>技能</v>
      </c>
      <c r="E241">
        <f>卡牌总表!AL241</f>
        <v>0</v>
      </c>
      <c r="F241">
        <f>卡牌总表!AN241</f>
        <v>0</v>
      </c>
      <c r="G241">
        <f>卡牌总表!AP241</f>
        <v>0.4</v>
      </c>
      <c r="H241">
        <f>IF(ISNUMBER(卡牌总表!H241),IF(AND(卡牌总表!H241=0,卡牌总表!V241=0,卡牌总表!AK241="none"),0.4,IF(卡牌总表!AK241="exhaust",MAX(卡牌总表!H241-卡牌总表!V241,0.4),IF(卡牌总表!AK241="ethereal",MAX(卡牌总表!H241-卡牌总表!V241,0.4),MAX(卡牌总表!H241-卡牌总表!V241,0.4)))),IF(OR(卡牌总表!H241="X",卡牌总表!H241="∞"),0.4,0.4))</f>
        <v>0.4</v>
      </c>
      <c r="I241">
        <f>卡牌总表!M241*卡牌总表!O241*参数!$B$5*IF(AND(卡牌总表!F241="能力",卡牌总表!AL241="能力持续"),参数!$B$2,1)+卡牌总表!P241*参数!$B$6*IF(AND(卡牌总表!F241="能力",卡牌总表!AL241="能力持续"),参数!$B$2,1)+卡牌总表!R241*参数!$B$7*IF(AND(卡牌总表!F241="能力",卡牌总表!AL241="能力持续"),参数!$B$2,1)+卡牌总表!V241*参数!$B$8+IF(卡牌总表!X241&lt;0,卡牌总表!X241*参数!$B$13,卡牌总表!X241*参数!$B$39)+IF(卡牌总表!AE241&lt;0,卡牌总表!AE241*参数!$B$13,卡牌总表!AE241*参数!$B$12)*参数!$B$2+卡牌总表!AQ241*参数!$B$15+卡牌总表!AB241*参数!$B$11+卡牌总表!AF241*参数!$B$40*参数!$B$2+卡牌总表!AG241*参数!$B$44*参数!$B$2+卡牌总表!AH241*参数!$B$6*参数!$B$2+卡牌总表!AI241*参数!$B$39*参数!$B$2+卡牌总表!AJ241*参数!$B$6*参数!$B$2+卡牌总表!Z241*参数!$B$13-卡牌总表!T241*参数!$B$14-卡牌总表!AD241*参数!$B$13+IF(ISNUMBER(卡牌总表!AU241),卡牌总表!AU241*参数!$B$38,0)-卡牌总表!AV241*参数!$B$41-卡牌总表!AW241*参数!$B$14</f>
        <v>28</v>
      </c>
      <c r="J241">
        <f>IF(AND(卡牌总表!F241="能力",卡牌总表!AL241="能力持续"),(参数!$B$2-1)*参数!$B$3,0)</f>
        <v>0</v>
      </c>
      <c r="K241">
        <f t="shared" si="10"/>
        <v>28</v>
      </c>
      <c r="L241">
        <f>卡牌总表!N241*卡牌总表!O241*参数!$B$5*IF(AND(卡牌总表!F241="能力",卡牌总表!AL241="能力持续"),参数!$B$2,1)+卡牌总表!Q241*参数!$B$6*IF(AND(卡牌总表!F241="能力",卡牌总表!AL241="能力持续"),参数!$B$2,1)+卡牌总表!S241*参数!$B$7*IF(AND(卡牌总表!F241="能力",卡牌总表!AL241="能力持续"),参数!$B$2,1)+卡牌总表!W241*参数!$B$8+IF(卡牌总表!Y241&lt;0,卡牌总表!Y241*参数!$B$13,卡牌总表!Y241*参数!$B$39)+IF(卡牌总表!AE241&lt;0,卡牌总表!AE241*参数!$B$13,卡牌总表!AE241*参数!$B$12)*参数!$B$2+卡牌总表!AR241*参数!$B$15+卡牌总表!AC241*参数!$B$11+卡牌总表!AF241*参数!$B$40*参数!$B$2+卡牌总表!AG241*参数!$B$44*参数!$B$2+卡牌总表!AH241*参数!$B$6*参数!$B$2+卡牌总表!AI241*参数!$B$39*参数!$B$2+卡牌总表!AJ241*参数!$B$6*参数!$B$2+卡牌总表!AA241*参数!$B$13-卡牌总表!U241*参数!$B$14-卡牌总表!AD241*参数!$B$13+IF(ISNUMBER(卡牌总表!AU241),卡牌总表!AU241*参数!$B$38,0)-卡牌总表!AV241*参数!$B$41-卡牌总表!AW241*参数!$B$14</f>
        <v>0</v>
      </c>
      <c r="M241">
        <f>IF(AND(卡牌总表!F241="能力",卡牌总表!AL241="能力持续"),参数!$B$2*参数!$B$3,0)</f>
        <v>0</v>
      </c>
      <c r="N241">
        <f t="shared" si="11"/>
        <v>0</v>
      </c>
      <c r="O241">
        <f>IFERROR(MAX(IF(K241 &gt; 参数!$B$17,参数!$B$17+SQRT(K241-参数!$B$17)*参数!$B$18,K241)-MAX(G241,0)*参数!$B$10,0)/MAX(G241,0.4),0)</f>
        <v>37.90990257669732</v>
      </c>
      <c r="P241">
        <f>IFERROR(MAX(IF(N241 &gt; 参数!$B$17,参数!$B$17+SQRT(N241-参数!$B$17)*参数!$B$18,N241)-MAX(H241,0)*参数!$B$10,0)/MAX(H241,0.4),0)</f>
        <v>0</v>
      </c>
      <c r="Q241">
        <f>卡牌总表!AO241</f>
        <v>0</v>
      </c>
    </row>
    <row r="242" spans="1:17" x14ac:dyDescent="0.3">
      <c r="A242">
        <f t="shared" si="9"/>
        <v>241</v>
      </c>
      <c r="B242" t="str">
        <f>卡牌总表!B242</f>
        <v>regent_alignment</v>
      </c>
      <c r="C242" t="str">
        <f>卡牌总表!D242</f>
        <v>星位序列</v>
      </c>
      <c r="D242" t="str">
        <f>卡牌总表!F242</f>
        <v>技能</v>
      </c>
      <c r="E242">
        <f>卡牌总表!AL242</f>
        <v>0</v>
      </c>
      <c r="F242">
        <f>卡牌总表!AN242</f>
        <v>0</v>
      </c>
      <c r="G242">
        <f>卡牌总表!AP242</f>
        <v>0.4</v>
      </c>
      <c r="H242">
        <f>IF(ISNUMBER(卡牌总表!H242),IF(AND(卡牌总表!H242=0,卡牌总表!V242=0,卡牌总表!AK242="none"),0.4,IF(卡牌总表!AK242="exhaust",MAX(卡牌总表!H242-卡牌总表!V242,0.4),IF(卡牌总表!AK242="ethereal",MAX(卡牌总表!H242-卡牌总表!V242,0.4),MAX(卡牌总表!H242-卡牌总表!V242,0.4)))),IF(OR(卡牌总表!H242="X",卡牌总表!H242="∞"),0.4,0.4))</f>
        <v>0.4</v>
      </c>
      <c r="I242">
        <f>卡牌总表!M242*卡牌总表!O242*参数!$B$5*IF(AND(卡牌总表!F242="能力",卡牌总表!AL242="能力持续"),参数!$B$2,1)+卡牌总表!P242*参数!$B$6*IF(AND(卡牌总表!F242="能力",卡牌总表!AL242="能力持续"),参数!$B$2,1)+卡牌总表!R242*参数!$B$7*IF(AND(卡牌总表!F242="能力",卡牌总表!AL242="能力持续"),参数!$B$2,1)+卡牌总表!V242*参数!$B$8+IF(卡牌总表!X242&lt;0,卡牌总表!X242*参数!$B$13,卡牌总表!X242*参数!$B$39)+IF(卡牌总表!AE242&lt;0,卡牌总表!AE242*参数!$B$13,卡牌总表!AE242*参数!$B$12)*参数!$B$2+卡牌总表!AQ242*参数!$B$15+卡牌总表!AB242*参数!$B$11+卡牌总表!AF242*参数!$B$40*参数!$B$2+卡牌总表!AG242*参数!$B$44*参数!$B$2+卡牌总表!AH242*参数!$B$6*参数!$B$2+卡牌总表!AI242*参数!$B$39*参数!$B$2+卡牌总表!AJ242*参数!$B$6*参数!$B$2+卡牌总表!Z242*参数!$B$13-卡牌总表!T242*参数!$B$14-卡牌总表!AD242*参数!$B$13+IF(ISNUMBER(卡牌总表!AU242),卡牌总表!AU242*参数!$B$38,0)-卡牌总表!AV242*参数!$B$41-卡牌总表!AW242*参数!$B$14</f>
        <v>1.5</v>
      </c>
      <c r="J242">
        <f>IF(AND(卡牌总表!F242="能力",卡牌总表!AL242="能力持续"),(参数!$B$2-1)*参数!$B$3,0)</f>
        <v>0</v>
      </c>
      <c r="K242">
        <f t="shared" si="10"/>
        <v>1.5</v>
      </c>
      <c r="L242">
        <f>卡牌总表!N242*卡牌总表!O242*参数!$B$5*IF(AND(卡牌总表!F242="能力",卡牌总表!AL242="能力持续"),参数!$B$2,1)+卡牌总表!Q242*参数!$B$6*IF(AND(卡牌总表!F242="能力",卡牌总表!AL242="能力持续"),参数!$B$2,1)+卡牌总表!S242*参数!$B$7*IF(AND(卡牌总表!F242="能力",卡牌总表!AL242="能力持续"),参数!$B$2,1)+卡牌总表!W242*参数!$B$8+IF(卡牌总表!Y242&lt;0,卡牌总表!Y242*参数!$B$13,卡牌总表!Y242*参数!$B$39)+IF(卡牌总表!AE242&lt;0,卡牌总表!AE242*参数!$B$13,卡牌总表!AE242*参数!$B$12)*参数!$B$2+卡牌总表!AR242*参数!$B$15+卡牌总表!AC242*参数!$B$11+卡牌总表!AF242*参数!$B$40*参数!$B$2+卡牌总表!AG242*参数!$B$44*参数!$B$2+卡牌总表!AH242*参数!$B$6*参数!$B$2+卡牌总表!AI242*参数!$B$39*参数!$B$2+卡牌总表!AJ242*参数!$B$6*参数!$B$2+卡牌总表!AA242*参数!$B$13-卡牌总表!U242*参数!$B$14-卡牌总表!AD242*参数!$B$13+IF(ISNUMBER(卡牌总表!AU242),卡牌总表!AU242*参数!$B$38,0)-卡牌总表!AV242*参数!$B$41-卡牌总表!AW242*参数!$B$14</f>
        <v>4.5</v>
      </c>
      <c r="M242">
        <f>IF(AND(卡牌总表!F242="能力",卡牌总表!AL242="能力持续"),参数!$B$2*参数!$B$3,0)</f>
        <v>0</v>
      </c>
      <c r="N242">
        <f t="shared" si="11"/>
        <v>4.5</v>
      </c>
      <c r="O242">
        <f>IFERROR(MAX(IF(K242 &gt; 参数!$B$17,参数!$B$17+SQRT(K242-参数!$B$17)*参数!$B$18,K242)-MAX(G242,0)*参数!$B$10,0)/MAX(G242,0.4),0)</f>
        <v>0.74999999999999956</v>
      </c>
      <c r="P242">
        <f>IFERROR(MAX(IF(N242 &gt; 参数!$B$17,参数!$B$17+SQRT(N242-参数!$B$17)*参数!$B$18,N242)-MAX(H242,0)*参数!$B$10,0)/MAX(H242,0.4),0)</f>
        <v>8.2499999999999982</v>
      </c>
      <c r="Q242">
        <f>卡牌总表!AO242</f>
        <v>0</v>
      </c>
    </row>
    <row r="243" spans="1:17" x14ac:dyDescent="0.3">
      <c r="A243">
        <f t="shared" si="9"/>
        <v>242</v>
      </c>
      <c r="B243" t="str">
        <f>卡牌总表!B243</f>
        <v>regent_arsenal</v>
      </c>
      <c r="C243" t="str">
        <f>卡牌总表!D243</f>
        <v>武器库</v>
      </c>
      <c r="D243" t="str">
        <f>卡牌总表!F243</f>
        <v>能力</v>
      </c>
      <c r="E243" t="str">
        <f>卡牌总表!AL243</f>
        <v>能力持续</v>
      </c>
      <c r="F243" t="str">
        <f>卡牌总表!AN243</f>
        <v>能力</v>
      </c>
      <c r="G243">
        <f>卡牌总表!AP243</f>
        <v>1</v>
      </c>
      <c r="H243">
        <f>IF(ISNUMBER(卡牌总表!H243),IF(AND(卡牌总表!H243=0,卡牌总表!V243=0,卡牌总表!AK243="none"),0.4,IF(卡牌总表!AK243="exhaust",MAX(卡牌总表!H243-卡牌总表!V243,0.4),IF(卡牌总表!AK243="ethereal",MAX(卡牌总表!H243-卡牌总表!V243,0.4),MAX(卡牌总表!H243-卡牌总表!V243,0.4)))),IF(OR(卡牌总表!H243="X",卡牌总表!H243="∞"),0.4,0.4))</f>
        <v>1</v>
      </c>
      <c r="I243">
        <f>卡牌总表!M243*卡牌总表!O243*参数!$B$5*IF(AND(卡牌总表!F243="能力",卡牌总表!AL243="能力持续"),参数!$B$2,1)+卡牌总表!P243*参数!$B$6*IF(AND(卡牌总表!F243="能力",卡牌总表!AL243="能力持续"),参数!$B$2,1)+卡牌总表!R243*参数!$B$7*IF(AND(卡牌总表!F243="能力",卡牌总表!AL243="能力持续"),参数!$B$2,1)+卡牌总表!V243*参数!$B$8+IF(卡牌总表!X243&lt;0,卡牌总表!X243*参数!$B$13,卡牌总表!X243*参数!$B$39)+IF(卡牌总表!AE243&lt;0,卡牌总表!AE243*参数!$B$13,卡牌总表!AE243*参数!$B$12)*参数!$B$2+卡牌总表!AQ243*参数!$B$15+卡牌总表!AB243*参数!$B$11+卡牌总表!AF243*参数!$B$40*参数!$B$2+卡牌总表!AG243*参数!$B$44*参数!$B$2+卡牌总表!AH243*参数!$B$6*参数!$B$2+卡牌总表!AI243*参数!$B$39*参数!$B$2+卡牌总表!AJ243*参数!$B$6*参数!$B$2+卡牌总表!Z243*参数!$B$13-卡牌总表!T243*参数!$B$14-卡牌总表!AD243*参数!$B$13+IF(ISNUMBER(卡牌总表!AU243),卡牌总表!AU243*参数!$B$38,0)-卡牌总表!AV243*参数!$B$41-卡牌总表!AW243*参数!$B$14</f>
        <v>28.799999999999997</v>
      </c>
      <c r="J243">
        <f>IF(AND(卡牌总表!F243="能力",卡牌总表!AL243="能力持续"),(参数!$B$2-1)*参数!$B$3,0)</f>
        <v>3.5999999999999996</v>
      </c>
      <c r="K243">
        <f t="shared" si="10"/>
        <v>32.4</v>
      </c>
      <c r="L243">
        <f>卡牌总表!N243*卡牌总表!O243*参数!$B$5*IF(AND(卡牌总表!F243="能力",卡牌总表!AL243="能力持续"),参数!$B$2,1)+卡牌总表!Q243*参数!$B$6*IF(AND(卡牌总表!F243="能力",卡牌总表!AL243="能力持续"),参数!$B$2,1)+卡牌总表!S243*参数!$B$7*IF(AND(卡牌总表!F243="能力",卡牌总表!AL243="能力持续"),参数!$B$2,1)+卡牌总表!W243*参数!$B$8+IF(卡牌总表!Y243&lt;0,卡牌总表!Y243*参数!$B$13,卡牌总表!Y243*参数!$B$39)+IF(卡牌总表!AE243&lt;0,卡牌总表!AE243*参数!$B$13,卡牌总表!AE243*参数!$B$12)*参数!$B$2+卡牌总表!AR243*参数!$B$15+卡牌总表!AC243*参数!$B$11+卡牌总表!AF243*参数!$B$40*参数!$B$2+卡牌总表!AG243*参数!$B$44*参数!$B$2+卡牌总表!AH243*参数!$B$6*参数!$B$2+卡牌总表!AI243*参数!$B$39*参数!$B$2+卡牌总表!AJ243*参数!$B$6*参数!$B$2+卡牌总表!AA243*参数!$B$13-卡牌总表!U243*参数!$B$14-卡牌总表!AD243*参数!$B$13+IF(ISNUMBER(卡牌总表!AU243),卡牌总表!AU243*参数!$B$38,0)-卡牌总表!AV243*参数!$B$41-卡牌总表!AW243*参数!$B$14</f>
        <v>28.799999999999997</v>
      </c>
      <c r="M243">
        <f>IF(AND(卡牌总表!F243="能力",卡牌总表!AL243="能力持续"),参数!$B$2*参数!$B$3,0)</f>
        <v>4.8</v>
      </c>
      <c r="N243">
        <f t="shared" si="11"/>
        <v>33.599999999999994</v>
      </c>
      <c r="O243">
        <f>IFERROR(MAX(IF(K243 &gt; 参数!$B$17,参数!$B$17+SQRT(K243-参数!$B$17)*参数!$B$18,K243)-MAX(G243,0)*参数!$B$10,0)/MAX(G243,0.4),0)</f>
        <v>14.099295739719537</v>
      </c>
      <c r="P243">
        <f>IFERROR(MAX(IF(N243 &gt; 参数!$B$17,参数!$B$17+SQRT(N243-参数!$B$17)*参数!$B$18,N243)-MAX(H243,0)*参数!$B$10,0)/MAX(H243,0.4),0)</f>
        <v>14.286974680894673</v>
      </c>
      <c r="Q243">
        <f>卡牌总表!AO243</f>
        <v>0</v>
      </c>
    </row>
    <row r="244" spans="1:17" x14ac:dyDescent="0.3">
      <c r="A244">
        <f t="shared" si="9"/>
        <v>243</v>
      </c>
      <c r="B244" t="str">
        <f>卡牌总表!B244</f>
        <v>regent_astral_pulse</v>
      </c>
      <c r="C244" t="str">
        <f>卡牌总表!D244</f>
        <v>星界脉冲</v>
      </c>
      <c r="D244" t="str">
        <f>卡牌总表!F244</f>
        <v>攻击</v>
      </c>
      <c r="E244">
        <f>卡牌总表!AL244</f>
        <v>0</v>
      </c>
      <c r="F244" t="str">
        <f>卡牌总表!AN244</f>
        <v>群体攻击</v>
      </c>
      <c r="G244">
        <f>卡牌总表!AP244</f>
        <v>0.4</v>
      </c>
      <c r="H244">
        <f>IF(ISNUMBER(卡牌总表!H244),IF(AND(卡牌总表!H244=0,卡牌总表!V244=0,卡牌总表!AK244="none"),0.4,IF(卡牌总表!AK244="exhaust",MAX(卡牌总表!H244-卡牌总表!V244,0.4),IF(卡牌总表!AK244="ethereal",MAX(卡牌总表!H244-卡牌总表!V244,0.4),MAX(卡牌总表!H244-卡牌总表!V244,0.4)))),IF(OR(卡牌总表!H244="X",卡牌总表!H244="∞"),0.4,0.4))</f>
        <v>0.4</v>
      </c>
      <c r="I244">
        <f>卡牌总表!M244*卡牌总表!O244*参数!$B$5*IF(AND(卡牌总表!F244="能力",卡牌总表!AL244="能力持续"),参数!$B$2,1)+卡牌总表!P244*参数!$B$6*IF(AND(卡牌总表!F244="能力",卡牌总表!AL244="能力持续"),参数!$B$2,1)+卡牌总表!R244*参数!$B$7*IF(AND(卡牌总表!F244="能力",卡牌总表!AL244="能力持续"),参数!$B$2,1)+卡牌总表!V244*参数!$B$8+IF(卡牌总表!X244&lt;0,卡牌总表!X244*参数!$B$13,卡牌总表!X244*参数!$B$39)+IF(卡牌总表!AE244&lt;0,卡牌总表!AE244*参数!$B$13,卡牌总表!AE244*参数!$B$12)*参数!$B$2+卡牌总表!AQ244*参数!$B$15+卡牌总表!AB244*参数!$B$11+卡牌总表!AF244*参数!$B$40*参数!$B$2+卡牌总表!AG244*参数!$B$44*参数!$B$2+卡牌总表!AH244*参数!$B$6*参数!$B$2+卡牌总表!AI244*参数!$B$39*参数!$B$2+卡牌总表!AJ244*参数!$B$6*参数!$B$2+卡牌总表!Z244*参数!$B$13-卡牌总表!T244*参数!$B$14-卡牌总表!AD244*参数!$B$13+IF(ISNUMBER(卡牌总表!AU244),卡牌总表!AU244*参数!$B$38,0)-卡牌总表!AV244*参数!$B$41-卡牌总表!AW244*参数!$B$14</f>
        <v>14</v>
      </c>
      <c r="J244">
        <f>IF(AND(卡牌总表!F244="能力",卡牌总表!AL244="能力持续"),(参数!$B$2-1)*参数!$B$3,0)</f>
        <v>0</v>
      </c>
      <c r="K244">
        <f t="shared" si="10"/>
        <v>14</v>
      </c>
      <c r="L244">
        <f>卡牌总表!N244*卡牌总表!O244*参数!$B$5*IF(AND(卡牌总表!F244="能力",卡牌总表!AL244="能力持续"),参数!$B$2,1)+卡牌总表!Q244*参数!$B$6*IF(AND(卡牌总表!F244="能力",卡牌总表!AL244="能力持续"),参数!$B$2,1)+卡牌总表!S244*参数!$B$7*IF(AND(卡牌总表!F244="能力",卡牌总表!AL244="能力持续"),参数!$B$2,1)+卡牌总表!W244*参数!$B$8+IF(卡牌总表!Y244&lt;0,卡牌总表!Y244*参数!$B$13,卡牌总表!Y244*参数!$B$39)+IF(卡牌总表!AE244&lt;0,卡牌总表!AE244*参数!$B$13,卡牌总表!AE244*参数!$B$12)*参数!$B$2+卡牌总表!AR244*参数!$B$15+卡牌总表!AC244*参数!$B$11+卡牌总表!AF244*参数!$B$40*参数!$B$2+卡牌总表!AG244*参数!$B$44*参数!$B$2+卡牌总表!AH244*参数!$B$6*参数!$B$2+卡牌总表!AI244*参数!$B$39*参数!$B$2+卡牌总表!AJ244*参数!$B$6*参数!$B$2+卡牌总表!AA244*参数!$B$13-卡牌总表!U244*参数!$B$14-卡牌总表!AD244*参数!$B$13+IF(ISNUMBER(卡牌总表!AU244),卡牌总表!AU244*参数!$B$38,0)-卡牌总表!AV244*参数!$B$41-卡牌总表!AW244*参数!$B$14</f>
        <v>18</v>
      </c>
      <c r="M244">
        <f>IF(AND(卡牌总表!F244="能力",卡牌总表!AL244="能力持续"),参数!$B$2*参数!$B$3,0)</f>
        <v>0</v>
      </c>
      <c r="N244">
        <f t="shared" si="11"/>
        <v>18</v>
      </c>
      <c r="O244">
        <f>IFERROR(MAX(IF(K244 &gt; 参数!$B$17,参数!$B$17+SQRT(K244-参数!$B$17)*参数!$B$18,K244)-MAX(G244,0)*参数!$B$10,0)/MAX(G244,0.4),0)</f>
        <v>29.5</v>
      </c>
      <c r="P244">
        <f>IFERROR(MAX(IF(N244 &gt; 参数!$B$17,参数!$B$17+SQRT(N244-参数!$B$17)*参数!$B$18,N244)-MAX(H244,0)*参数!$B$10,0)/MAX(H244,0.4),0)</f>
        <v>32.606601717798206</v>
      </c>
      <c r="Q244">
        <f>卡牌总表!AO244</f>
        <v>0</v>
      </c>
    </row>
    <row r="245" spans="1:17" x14ac:dyDescent="0.3">
      <c r="A245">
        <f t="shared" si="9"/>
        <v>244</v>
      </c>
      <c r="B245" t="str">
        <f>卡牌总表!B245</f>
        <v>regent_beat_into_shape</v>
      </c>
      <c r="C245" t="str">
        <f>卡牌总表!D245</f>
        <v>锻打成型</v>
      </c>
      <c r="D245" t="str">
        <f>卡牌总表!F245</f>
        <v>攻击</v>
      </c>
      <c r="E245">
        <f>卡牌总表!AL245</f>
        <v>0</v>
      </c>
      <c r="F245" t="str">
        <f>卡牌总表!AN245</f>
        <v>本回合</v>
      </c>
      <c r="G245">
        <f>卡牌总表!AP245</f>
        <v>1</v>
      </c>
      <c r="H245">
        <f>IF(ISNUMBER(卡牌总表!H245),IF(AND(卡牌总表!H245=0,卡牌总表!V245=0,卡牌总表!AK245="none"),0.4,IF(卡牌总表!AK245="exhaust",MAX(卡牌总表!H245-卡牌总表!V245,0.4),IF(卡牌总表!AK245="ethereal",MAX(卡牌总表!H245-卡牌总表!V245,0.4),MAX(卡牌总表!H245-卡牌总表!V245,0.4)))),IF(OR(卡牌总表!H245="X",卡牌总表!H245="∞"),0.4,0.4))</f>
        <v>1</v>
      </c>
      <c r="I245">
        <f>卡牌总表!M245*卡牌总表!O245*参数!$B$5*IF(AND(卡牌总表!F245="能力",卡牌总表!AL245="能力持续"),参数!$B$2,1)+卡牌总表!P245*参数!$B$6*IF(AND(卡牌总表!F245="能力",卡牌总表!AL245="能力持续"),参数!$B$2,1)+卡牌总表!R245*参数!$B$7*IF(AND(卡牌总表!F245="能力",卡牌总表!AL245="能力持续"),参数!$B$2,1)+卡牌总表!V245*参数!$B$8+IF(卡牌总表!X245&lt;0,卡牌总表!X245*参数!$B$13,卡牌总表!X245*参数!$B$39)+IF(卡牌总表!AE245&lt;0,卡牌总表!AE245*参数!$B$13,卡牌总表!AE245*参数!$B$12)*参数!$B$2+卡牌总表!AQ245*参数!$B$15+卡牌总表!AB245*参数!$B$11+卡牌总表!AF245*参数!$B$40*参数!$B$2+卡牌总表!AG245*参数!$B$44*参数!$B$2+卡牌总表!AH245*参数!$B$6*参数!$B$2+卡牌总表!AI245*参数!$B$39*参数!$B$2+卡牌总表!AJ245*参数!$B$6*参数!$B$2+卡牌总表!Z245*参数!$B$13-卡牌总表!T245*参数!$B$14-卡牌总表!AD245*参数!$B$13+IF(ISNUMBER(卡牌总表!AU245),卡牌总表!AU245*参数!$B$38,0)-卡牌总表!AV245*参数!$B$41-卡牌总表!AW245*参数!$B$14</f>
        <v>5</v>
      </c>
      <c r="J245">
        <f>IF(AND(卡牌总表!F245="能力",卡牌总表!AL245="能力持续"),(参数!$B$2-1)*参数!$B$3,0)</f>
        <v>0</v>
      </c>
      <c r="K245">
        <f t="shared" si="10"/>
        <v>5</v>
      </c>
      <c r="L245">
        <f>卡牌总表!N245*卡牌总表!O245*参数!$B$5*IF(AND(卡牌总表!F245="能力",卡牌总表!AL245="能力持续"),参数!$B$2,1)+卡牌总表!Q245*参数!$B$6*IF(AND(卡牌总表!F245="能力",卡牌总表!AL245="能力持续"),参数!$B$2,1)+卡牌总表!S245*参数!$B$7*IF(AND(卡牌总表!F245="能力",卡牌总表!AL245="能力持续"),参数!$B$2,1)+卡牌总表!W245*参数!$B$8+IF(卡牌总表!Y245&lt;0,卡牌总表!Y245*参数!$B$13,卡牌总表!Y245*参数!$B$39)+IF(卡牌总表!AE245&lt;0,卡牌总表!AE245*参数!$B$13,卡牌总表!AE245*参数!$B$12)*参数!$B$2+卡牌总表!AR245*参数!$B$15+卡牌总表!AC245*参数!$B$11+卡牌总表!AF245*参数!$B$40*参数!$B$2+卡牌总表!AG245*参数!$B$44*参数!$B$2+卡牌总表!AH245*参数!$B$6*参数!$B$2+卡牌总表!AI245*参数!$B$39*参数!$B$2+卡牌总表!AJ245*参数!$B$6*参数!$B$2+卡牌总表!AA245*参数!$B$13-卡牌总表!U245*参数!$B$14-卡牌总表!AD245*参数!$B$13+IF(ISNUMBER(卡牌总表!AU245),卡牌总表!AU245*参数!$B$38,0)-卡牌总表!AV245*参数!$B$41-卡牌总表!AW245*参数!$B$14</f>
        <v>7</v>
      </c>
      <c r="M245">
        <f>IF(AND(卡牌总表!F245="能力",卡牌总表!AL245="能力持续"),参数!$B$2*参数!$B$3,0)</f>
        <v>0</v>
      </c>
      <c r="N245">
        <f t="shared" si="11"/>
        <v>7</v>
      </c>
      <c r="O245">
        <f>IFERROR(MAX(IF(K245 &gt; 参数!$B$17,参数!$B$17+SQRT(K245-参数!$B$17)*参数!$B$18,K245)-MAX(G245,0)*参数!$B$10,0)/MAX(G245,0.4),0)</f>
        <v>2</v>
      </c>
      <c r="P245">
        <f>IFERROR(MAX(IF(N245 &gt; 参数!$B$17,参数!$B$17+SQRT(N245-参数!$B$17)*参数!$B$18,N245)-MAX(H245,0)*参数!$B$10,0)/MAX(H245,0.4),0)</f>
        <v>4</v>
      </c>
      <c r="Q245">
        <f>卡牌总表!AO245</f>
        <v>0</v>
      </c>
    </row>
    <row r="246" spans="1:17" x14ac:dyDescent="0.3">
      <c r="A246">
        <f t="shared" si="9"/>
        <v>245</v>
      </c>
      <c r="B246" t="str">
        <f>卡牌总表!B246</f>
        <v>regent_begone</v>
      </c>
      <c r="C246" t="str">
        <f>卡牌总表!D246</f>
        <v>下去！</v>
      </c>
      <c r="D246" t="str">
        <f>卡牌总表!F246</f>
        <v>攻击</v>
      </c>
      <c r="E246">
        <f>卡牌总表!AL246</f>
        <v>0</v>
      </c>
      <c r="F246">
        <f>卡牌总表!AN246</f>
        <v>0</v>
      </c>
      <c r="G246">
        <f>卡牌总表!AP246</f>
        <v>1</v>
      </c>
      <c r="H246">
        <f>IF(ISNUMBER(卡牌总表!H246),IF(AND(卡牌总表!H246=0,卡牌总表!V246=0,卡牌总表!AK246="none"),0.4,IF(卡牌总表!AK246="exhaust",MAX(卡牌总表!H246-卡牌总表!V246,0.4),IF(卡牌总表!AK246="ethereal",MAX(卡牌总表!H246-卡牌总表!V246,0.4),MAX(卡牌总表!H246-卡牌总表!V246,0.4)))),IF(OR(卡牌总表!H246="X",卡牌总表!H246="∞"),0.4,0.4))</f>
        <v>1</v>
      </c>
      <c r="I246">
        <f>卡牌总表!M246*卡牌总表!O246*参数!$B$5*IF(AND(卡牌总表!F246="能力",卡牌总表!AL246="能力持续"),参数!$B$2,1)+卡牌总表!P246*参数!$B$6*IF(AND(卡牌总表!F246="能力",卡牌总表!AL246="能力持续"),参数!$B$2,1)+卡牌总表!R246*参数!$B$7*IF(AND(卡牌总表!F246="能力",卡牌总表!AL246="能力持续"),参数!$B$2,1)+卡牌总表!V246*参数!$B$8+IF(卡牌总表!X246&lt;0,卡牌总表!X246*参数!$B$13,卡牌总表!X246*参数!$B$39)+IF(卡牌总表!AE246&lt;0,卡牌总表!AE246*参数!$B$13,卡牌总表!AE246*参数!$B$12)*参数!$B$2+卡牌总表!AQ246*参数!$B$15+卡牌总表!AB246*参数!$B$11+卡牌总表!AF246*参数!$B$40*参数!$B$2+卡牌总表!AG246*参数!$B$44*参数!$B$2+卡牌总表!AH246*参数!$B$6*参数!$B$2+卡牌总表!AI246*参数!$B$39*参数!$B$2+卡牌总表!AJ246*参数!$B$6*参数!$B$2+卡牌总表!Z246*参数!$B$13-卡牌总表!T246*参数!$B$14-卡牌总表!AD246*参数!$B$13+IF(ISNUMBER(卡牌总表!AU246),卡牌总表!AU246*参数!$B$38,0)-卡牌总表!AV246*参数!$B$41-卡牌总表!AW246*参数!$B$14</f>
        <v>8</v>
      </c>
      <c r="J246">
        <f>IF(AND(卡牌总表!F246="能力",卡牌总表!AL246="能力持续"),(参数!$B$2-1)*参数!$B$3,0)</f>
        <v>0</v>
      </c>
      <c r="K246">
        <f t="shared" si="10"/>
        <v>8</v>
      </c>
      <c r="L246">
        <f>卡牌总表!N246*卡牌总表!O246*参数!$B$5*IF(AND(卡牌总表!F246="能力",卡牌总表!AL246="能力持续"),参数!$B$2,1)+卡牌总表!Q246*参数!$B$6*IF(AND(卡牌总表!F246="能力",卡牌总表!AL246="能力持续"),参数!$B$2,1)+卡牌总表!S246*参数!$B$7*IF(AND(卡牌总表!F246="能力",卡牌总表!AL246="能力持续"),参数!$B$2,1)+卡牌总表!W246*参数!$B$8+IF(卡牌总表!Y246&lt;0,卡牌总表!Y246*参数!$B$13,卡牌总表!Y246*参数!$B$39)+IF(卡牌总表!AE246&lt;0,卡牌总表!AE246*参数!$B$13,卡牌总表!AE246*参数!$B$12)*参数!$B$2+卡牌总表!AR246*参数!$B$15+卡牌总表!AC246*参数!$B$11+卡牌总表!AF246*参数!$B$40*参数!$B$2+卡牌总表!AG246*参数!$B$44*参数!$B$2+卡牌总表!AH246*参数!$B$6*参数!$B$2+卡牌总表!AI246*参数!$B$39*参数!$B$2+卡牌总表!AJ246*参数!$B$6*参数!$B$2+卡牌总表!AA246*参数!$B$13-卡牌总表!U246*参数!$B$14-卡牌总表!AD246*参数!$B$13+IF(ISNUMBER(卡牌总表!AU246),卡牌总表!AU246*参数!$B$38,0)-卡牌总表!AV246*参数!$B$41-卡牌总表!AW246*参数!$B$14</f>
        <v>0</v>
      </c>
      <c r="M246">
        <f>IF(AND(卡牌总表!F246="能力",卡牌总表!AL246="能力持续"),参数!$B$2*参数!$B$3,0)</f>
        <v>0</v>
      </c>
      <c r="N246">
        <f t="shared" si="11"/>
        <v>0</v>
      </c>
      <c r="O246">
        <f>IFERROR(MAX(IF(K246 &gt; 参数!$B$17,参数!$B$17+SQRT(K246-参数!$B$17)*参数!$B$18,K246)-MAX(G246,0)*参数!$B$10,0)/MAX(G246,0.4),0)</f>
        <v>5</v>
      </c>
      <c r="P246">
        <f>IFERROR(MAX(IF(N246 &gt; 参数!$B$17,参数!$B$17+SQRT(N246-参数!$B$17)*参数!$B$18,N246)-MAX(H246,0)*参数!$B$10,0)/MAX(H246,0.4),0)</f>
        <v>0</v>
      </c>
      <c r="Q246">
        <f>卡牌总表!AO246</f>
        <v>0</v>
      </c>
    </row>
    <row r="247" spans="1:17" x14ac:dyDescent="0.3">
      <c r="A247">
        <f t="shared" si="9"/>
        <v>246</v>
      </c>
      <c r="B247" t="str">
        <f>卡牌总表!B247</f>
        <v>regent_big_bang</v>
      </c>
      <c r="C247" t="str">
        <f>卡牌总表!D247</f>
        <v>大爆炸</v>
      </c>
      <c r="D247" t="str">
        <f>卡牌总表!F247</f>
        <v>技能</v>
      </c>
      <c r="E247">
        <f>卡牌总表!AL247</f>
        <v>0</v>
      </c>
      <c r="F247">
        <f>卡牌总表!AN247</f>
        <v>0</v>
      </c>
      <c r="G247">
        <f>卡牌总表!AP247</f>
        <v>0.4</v>
      </c>
      <c r="H247">
        <f>IF(ISNUMBER(卡牌总表!H247),IF(AND(卡牌总表!H247=0,卡牌总表!V247=0,卡牌总表!AK247="none"),0.4,IF(卡牌总表!AK247="exhaust",MAX(卡牌总表!H247-卡牌总表!V247,0.4),IF(卡牌总表!AK247="ethereal",MAX(卡牌总表!H247-卡牌总表!V247,0.4),MAX(卡牌总表!H247-卡牌总表!V247,0.4)))),IF(OR(卡牌总表!H247="X",卡牌总表!H247="∞"),0.4,0.4))</f>
        <v>0.4</v>
      </c>
      <c r="I247">
        <f>卡牌总表!M247*卡牌总表!O247*参数!$B$5*IF(AND(卡牌总表!F247="能力",卡牌总表!AL247="能力持续"),参数!$B$2,1)+卡牌总表!P247*参数!$B$6*IF(AND(卡牌总表!F247="能力",卡牌总表!AL247="能力持续"),参数!$B$2,1)+卡牌总表!R247*参数!$B$7*IF(AND(卡牌总表!F247="能力",卡牌总表!AL247="能力持续"),参数!$B$2,1)+卡牌总表!V247*参数!$B$8+IF(卡牌总表!X247&lt;0,卡牌总表!X247*参数!$B$13,卡牌总表!X247*参数!$B$39)+IF(卡牌总表!AE247&lt;0,卡牌总表!AE247*参数!$B$13,卡牌总表!AE247*参数!$B$12)*参数!$B$2+卡牌总表!AQ247*参数!$B$15+卡牌总表!AB247*参数!$B$11+卡牌总表!AF247*参数!$B$40*参数!$B$2+卡牌总表!AG247*参数!$B$44*参数!$B$2+卡牌总表!AH247*参数!$B$6*参数!$B$2+卡牌总表!AI247*参数!$B$39*参数!$B$2+卡牌总表!AJ247*参数!$B$6*参数!$B$2+卡牌总表!Z247*参数!$B$13-卡牌总表!T247*参数!$B$14-卡牌总表!AD247*参数!$B$13+IF(ISNUMBER(卡牌总表!AU247),卡牌总表!AU247*参数!$B$38,0)-卡牌总表!AV247*参数!$B$41-卡牌总表!AW247*参数!$B$14</f>
        <v>5</v>
      </c>
      <c r="J247">
        <f>IF(AND(卡牌总表!F247="能力",卡牌总表!AL247="能力持续"),(参数!$B$2-1)*参数!$B$3,0)</f>
        <v>0</v>
      </c>
      <c r="K247">
        <f t="shared" si="10"/>
        <v>5</v>
      </c>
      <c r="L247">
        <f>卡牌总表!N247*卡牌总表!O247*参数!$B$5*IF(AND(卡牌总表!F247="能力",卡牌总表!AL247="能力持续"),参数!$B$2,1)+卡牌总表!Q247*参数!$B$6*IF(AND(卡牌总表!F247="能力",卡牌总表!AL247="能力持续"),参数!$B$2,1)+卡牌总表!S247*参数!$B$7*IF(AND(卡牌总表!F247="能力",卡牌总表!AL247="能力持续"),参数!$B$2,1)+卡牌总表!W247*参数!$B$8+IF(卡牌总表!Y247&lt;0,卡牌总表!Y247*参数!$B$13,卡牌总表!Y247*参数!$B$39)+IF(卡牌总表!AE247&lt;0,卡牌总表!AE247*参数!$B$13,卡牌总表!AE247*参数!$B$12)*参数!$B$2+卡牌总表!AR247*参数!$B$15+卡牌总表!AC247*参数!$B$11+卡牌总表!AF247*参数!$B$40*参数!$B$2+卡牌总表!AG247*参数!$B$44*参数!$B$2+卡牌总表!AH247*参数!$B$6*参数!$B$2+卡牌总表!AI247*参数!$B$39*参数!$B$2+卡牌总表!AJ247*参数!$B$6*参数!$B$2+卡牌总表!AA247*参数!$B$13-卡牌总表!U247*参数!$B$14-卡牌总表!AD247*参数!$B$13+IF(ISNUMBER(卡牌总表!AU247),卡牌总表!AU247*参数!$B$38,0)-卡牌总表!AV247*参数!$B$41-卡牌总表!AW247*参数!$B$14</f>
        <v>5</v>
      </c>
      <c r="M247">
        <f>IF(AND(卡牌总表!F247="能力",卡牌总表!AL247="能力持续"),参数!$B$2*参数!$B$3,0)</f>
        <v>0</v>
      </c>
      <c r="N247">
        <f t="shared" si="11"/>
        <v>5</v>
      </c>
      <c r="O247">
        <f>IFERROR(MAX(IF(K247 &gt; 参数!$B$17,参数!$B$17+SQRT(K247-参数!$B$17)*参数!$B$18,K247)-MAX(G247,0)*参数!$B$10,0)/MAX(G247,0.4),0)</f>
        <v>9.4999999999999982</v>
      </c>
      <c r="P247">
        <f>IFERROR(MAX(IF(N247 &gt; 参数!$B$17,参数!$B$17+SQRT(N247-参数!$B$17)*参数!$B$18,N247)-MAX(H247,0)*参数!$B$10,0)/MAX(H247,0.4),0)</f>
        <v>9.4999999999999982</v>
      </c>
      <c r="Q247" t="str">
        <f>卡牌总表!AO247</f>
        <v>Gain能量数值需核对</v>
      </c>
    </row>
    <row r="248" spans="1:17" x14ac:dyDescent="0.3">
      <c r="A248">
        <f t="shared" si="9"/>
        <v>247</v>
      </c>
      <c r="B248" t="str">
        <f>卡牌总表!B248</f>
        <v>regent_black_hole</v>
      </c>
      <c r="C248" t="str">
        <f>卡牌总表!D248</f>
        <v>黑洞</v>
      </c>
      <c r="D248" t="str">
        <f>卡牌总表!F248</f>
        <v>能力</v>
      </c>
      <c r="E248" t="str">
        <f>卡牌总表!AL248</f>
        <v>能力持续</v>
      </c>
      <c r="F248" t="str">
        <f>卡牌总表!AN248</f>
        <v>群体攻击，能力</v>
      </c>
      <c r="G248">
        <f>卡牌总表!AP248</f>
        <v>1</v>
      </c>
      <c r="H248">
        <f>IF(ISNUMBER(卡牌总表!H248),IF(AND(卡牌总表!H248=0,卡牌总表!V248=0,卡牌总表!AK248="none"),0.4,IF(卡牌总表!AK248="exhaust",MAX(卡牌总表!H248-卡牌总表!V248,0.4),IF(卡牌总表!AK248="ethereal",MAX(卡牌总表!H248-卡牌总表!V248,0.4),MAX(卡牌总表!H248-卡牌总表!V248,0.4)))),IF(OR(卡牌总表!H248="X",卡牌总表!H248="∞"),0.4,0.4))</f>
        <v>1</v>
      </c>
      <c r="I248">
        <f>卡牌总表!M248*卡牌总表!O248*参数!$B$5*IF(AND(卡牌总表!F248="能力",卡牌总表!AL248="能力持续"),参数!$B$2,1)+卡牌总表!P248*参数!$B$6*IF(AND(卡牌总表!F248="能力",卡牌总表!AL248="能力持续"),参数!$B$2,1)+卡牌总表!R248*参数!$B$7*IF(AND(卡牌总表!F248="能力",卡牌总表!AL248="能力持续"),参数!$B$2,1)+卡牌总表!V248*参数!$B$8+IF(卡牌总表!X248&lt;0,卡牌总表!X248*参数!$B$13,卡牌总表!X248*参数!$B$39)+IF(卡牌总表!AE248&lt;0,卡牌总表!AE248*参数!$B$13,卡牌总表!AE248*参数!$B$12)*参数!$B$2+卡牌总表!AQ248*参数!$B$15+卡牌总表!AB248*参数!$B$11+卡牌总表!AF248*参数!$B$40*参数!$B$2+卡牌总表!AG248*参数!$B$44*参数!$B$2+卡牌总表!AH248*参数!$B$6*参数!$B$2+卡牌总表!AI248*参数!$B$39*参数!$B$2+卡牌总表!AJ248*参数!$B$6*参数!$B$2+卡牌总表!Z248*参数!$B$13-卡牌总表!T248*参数!$B$14-卡牌总表!AD248*参数!$B$13+IF(ISNUMBER(卡牌总表!AU248),卡牌总表!AU248*参数!$B$38,0)-卡牌总表!AV248*参数!$B$41-卡牌总表!AW248*参数!$B$14</f>
        <v>12</v>
      </c>
      <c r="J248">
        <f>IF(AND(卡牌总表!F248="能力",卡牌总表!AL248="能力持续"),(参数!$B$2-1)*参数!$B$3,0)</f>
        <v>3.5999999999999996</v>
      </c>
      <c r="K248">
        <f t="shared" si="10"/>
        <v>15.6</v>
      </c>
      <c r="L248">
        <f>卡牌总表!N248*卡牌总表!O248*参数!$B$5*IF(AND(卡牌总表!F248="能力",卡牌总表!AL248="能力持续"),参数!$B$2,1)+卡牌总表!Q248*参数!$B$6*IF(AND(卡牌总表!F248="能力",卡牌总表!AL248="能力持续"),参数!$B$2,1)+卡牌总表!S248*参数!$B$7*IF(AND(卡牌总表!F248="能力",卡牌总表!AL248="能力持续"),参数!$B$2,1)+卡牌总表!W248*参数!$B$8+IF(卡牌总表!Y248&lt;0,卡牌总表!Y248*参数!$B$13,卡牌总表!Y248*参数!$B$39)+IF(卡牌总表!AE248&lt;0,卡牌总表!AE248*参数!$B$13,卡牌总表!AE248*参数!$B$12)*参数!$B$2+卡牌总表!AR248*参数!$B$15+卡牌总表!AC248*参数!$B$11+卡牌总表!AF248*参数!$B$40*参数!$B$2+卡牌总表!AG248*参数!$B$44*参数!$B$2+卡牌总表!AH248*参数!$B$6*参数!$B$2+卡牌总表!AI248*参数!$B$39*参数!$B$2+卡牌总表!AJ248*参数!$B$6*参数!$B$2+卡牌总表!AA248*参数!$B$13-卡牌总表!U248*参数!$B$14-卡牌总表!AD248*参数!$B$13+IF(ISNUMBER(卡牌总表!AU248),卡牌总表!AU248*参数!$B$38,0)-卡牌总表!AV248*参数!$B$41-卡牌总表!AW248*参数!$B$14</f>
        <v>16</v>
      </c>
      <c r="M248">
        <f>IF(AND(卡牌总表!F248="能力",卡牌总表!AL248="能力持续"),参数!$B$2*参数!$B$3,0)</f>
        <v>4.8</v>
      </c>
      <c r="N248">
        <f t="shared" si="11"/>
        <v>20.8</v>
      </c>
      <c r="O248">
        <f>IFERROR(MAX(IF(K248 &gt; 参数!$B$17,参数!$B$17+SQRT(K248-参数!$B$17)*参数!$B$18,K248)-MAX(G248,0)*参数!$B$10,0)/MAX(G248,0.4),0)</f>
        <v>10.549647869859768</v>
      </c>
      <c r="P248">
        <f>IFERROR(MAX(IF(N248 &gt; 参数!$B$17,参数!$B$17+SQRT(N248-参数!$B$17)*参数!$B$18,N248)-MAX(H248,0)*参数!$B$10,0)/MAX(H248,0.4),0)</f>
        <v>11.929503017546494</v>
      </c>
      <c r="Q248">
        <f>卡牌总表!AO248</f>
        <v>0</v>
      </c>
    </row>
    <row r="249" spans="1:17" x14ac:dyDescent="0.3">
      <c r="A249">
        <f t="shared" si="9"/>
        <v>248</v>
      </c>
      <c r="B249" t="str">
        <f>卡牌总表!B249</f>
        <v>regent_bombardment</v>
      </c>
      <c r="C249" t="str">
        <f>卡牌总表!D249</f>
        <v>轰击</v>
      </c>
      <c r="D249" t="str">
        <f>卡牌总表!F249</f>
        <v>攻击</v>
      </c>
      <c r="E249">
        <f>卡牌总表!AL249</f>
        <v>0</v>
      </c>
      <c r="F249">
        <f>卡牌总表!AN249</f>
        <v>0</v>
      </c>
      <c r="G249">
        <f>卡牌总表!AP249</f>
        <v>3</v>
      </c>
      <c r="H249">
        <f>IF(ISNUMBER(卡牌总表!H249),IF(AND(卡牌总表!H249=0,卡牌总表!V249=0,卡牌总表!AK249="none"),0.4,IF(卡牌总表!AK249="exhaust",MAX(卡牌总表!H249-卡牌总表!V249,0.4),IF(卡牌总表!AK249="ethereal",MAX(卡牌总表!H249-卡牌总表!V249,0.4),MAX(卡牌总表!H249-卡牌总表!V249,0.4)))),IF(OR(卡牌总表!H249="X",卡牌总表!H249="∞"),0.4,0.4))</f>
        <v>3</v>
      </c>
      <c r="I249">
        <f>卡牌总表!M249*卡牌总表!O249*参数!$B$5*IF(AND(卡牌总表!F249="能力",卡牌总表!AL249="能力持续"),参数!$B$2,1)+卡牌总表!P249*参数!$B$6*IF(AND(卡牌总表!F249="能力",卡牌总表!AL249="能力持续"),参数!$B$2,1)+卡牌总表!R249*参数!$B$7*IF(AND(卡牌总表!F249="能力",卡牌总表!AL249="能力持续"),参数!$B$2,1)+卡牌总表!V249*参数!$B$8+IF(卡牌总表!X249&lt;0,卡牌总表!X249*参数!$B$13,卡牌总表!X249*参数!$B$39)+IF(卡牌总表!AE249&lt;0,卡牌总表!AE249*参数!$B$13,卡牌总表!AE249*参数!$B$12)*参数!$B$2+卡牌总表!AQ249*参数!$B$15+卡牌总表!AB249*参数!$B$11+卡牌总表!AF249*参数!$B$40*参数!$B$2+卡牌总表!AG249*参数!$B$44*参数!$B$2+卡牌总表!AH249*参数!$B$6*参数!$B$2+卡牌总表!AI249*参数!$B$39*参数!$B$2+卡牌总表!AJ249*参数!$B$6*参数!$B$2+卡牌总表!Z249*参数!$B$13-卡牌总表!T249*参数!$B$14-卡牌总表!AD249*参数!$B$13+IF(ISNUMBER(卡牌总表!AU249),卡牌总表!AU249*参数!$B$38,0)-卡牌总表!AV249*参数!$B$41-卡牌总表!AW249*参数!$B$14</f>
        <v>36</v>
      </c>
      <c r="J249">
        <f>IF(AND(卡牌总表!F249="能力",卡牌总表!AL249="能力持续"),(参数!$B$2-1)*参数!$B$3,0)</f>
        <v>0</v>
      </c>
      <c r="K249">
        <f t="shared" si="10"/>
        <v>36</v>
      </c>
      <c r="L249">
        <f>卡牌总表!N249*卡牌总表!O249*参数!$B$5*IF(AND(卡牌总表!F249="能力",卡牌总表!AL249="能力持续"),参数!$B$2,1)+卡牌总表!Q249*参数!$B$6*IF(AND(卡牌总表!F249="能力",卡牌总表!AL249="能力持续"),参数!$B$2,1)+卡牌总表!S249*参数!$B$7*IF(AND(卡牌总表!F249="能力",卡牌总表!AL249="能力持续"),参数!$B$2,1)+卡牌总表!W249*参数!$B$8+IF(卡牌总表!Y249&lt;0,卡牌总表!Y249*参数!$B$13,卡牌总表!Y249*参数!$B$39)+IF(卡牌总表!AE249&lt;0,卡牌总表!AE249*参数!$B$13,卡牌总表!AE249*参数!$B$12)*参数!$B$2+卡牌总表!AR249*参数!$B$15+卡牌总表!AC249*参数!$B$11+卡牌总表!AF249*参数!$B$40*参数!$B$2+卡牌总表!AG249*参数!$B$44*参数!$B$2+卡牌总表!AH249*参数!$B$6*参数!$B$2+卡牌总表!AI249*参数!$B$39*参数!$B$2+卡牌总表!AJ249*参数!$B$6*参数!$B$2+卡牌总表!AA249*参数!$B$13-卡牌总表!U249*参数!$B$14-卡牌总表!AD249*参数!$B$13+IF(ISNUMBER(卡牌总表!AU249),卡牌总表!AU249*参数!$B$38,0)-卡牌总表!AV249*参数!$B$41-卡牌总表!AW249*参数!$B$14</f>
        <v>48</v>
      </c>
      <c r="M249">
        <f>IF(AND(卡牌总表!F249="能力",卡牌总表!AL249="能力持续"),参数!$B$2*参数!$B$3,0)</f>
        <v>0</v>
      </c>
      <c r="N249">
        <f t="shared" si="11"/>
        <v>48</v>
      </c>
      <c r="O249">
        <f>IFERROR(MAX(IF(K249 &gt; 参数!$B$17,参数!$B$17+SQRT(K249-参数!$B$17)*参数!$B$18,K249)-MAX(G249,0)*参数!$B$10,0)/MAX(G249,0.4),0)</f>
        <v>2.8828430901297253</v>
      </c>
      <c r="P249">
        <f>IFERROR(MAX(IF(N249 &gt; 参数!$B$17,参数!$B$17+SQRT(N249-参数!$B$17)*参数!$B$18,N249)-MAX(H249,0)*参数!$B$10,0)/MAX(H249,0.4),0)</f>
        <v>3.4155403348178219</v>
      </c>
      <c r="Q249" t="str">
        <f>卡牌总表!AO249</f>
        <v>含消耗其他牌效果</v>
      </c>
    </row>
    <row r="250" spans="1:17" x14ac:dyDescent="0.3">
      <c r="A250">
        <f t="shared" si="9"/>
        <v>249</v>
      </c>
      <c r="B250" t="str">
        <f>卡牌总表!B250</f>
        <v>regent_bulwark</v>
      </c>
      <c r="C250" t="str">
        <f>卡牌总表!D250</f>
        <v>壁垒</v>
      </c>
      <c r="D250" t="str">
        <f>卡牌总表!F250</f>
        <v>技能</v>
      </c>
      <c r="E250">
        <f>卡牌总表!AL250</f>
        <v>0</v>
      </c>
      <c r="F250">
        <f>卡牌总表!AN250</f>
        <v>0</v>
      </c>
      <c r="G250">
        <f>卡牌总表!AP250</f>
        <v>2</v>
      </c>
      <c r="H250">
        <f>IF(ISNUMBER(卡牌总表!H250),IF(AND(卡牌总表!H250=0,卡牌总表!V250=0,卡牌总表!AK250="none"),0.4,IF(卡牌总表!AK250="exhaust",MAX(卡牌总表!H250-卡牌总表!V250,0.4),IF(卡牌总表!AK250="ethereal",MAX(卡牌总表!H250-卡牌总表!V250,0.4),MAX(卡牌总表!H250-卡牌总表!V250,0.4)))),IF(OR(卡牌总表!H250="X",卡牌总表!H250="∞"),0.4,0.4))</f>
        <v>2</v>
      </c>
      <c r="I250">
        <f>卡牌总表!M250*卡牌总表!O250*参数!$B$5*IF(AND(卡牌总表!F250="能力",卡牌总表!AL250="能力持续"),参数!$B$2,1)+卡牌总表!P250*参数!$B$6*IF(AND(卡牌总表!F250="能力",卡牌总表!AL250="能力持续"),参数!$B$2,1)+卡牌总表!R250*参数!$B$7*IF(AND(卡牌总表!F250="能力",卡牌总表!AL250="能力持续"),参数!$B$2,1)+卡牌总表!V250*参数!$B$8+IF(卡牌总表!X250&lt;0,卡牌总表!X250*参数!$B$13,卡牌总表!X250*参数!$B$39)+IF(卡牌总表!AE250&lt;0,卡牌总表!AE250*参数!$B$13,卡牌总表!AE250*参数!$B$12)*参数!$B$2+卡牌总表!AQ250*参数!$B$15+卡牌总表!AB250*参数!$B$11+卡牌总表!AF250*参数!$B$40*参数!$B$2+卡牌总表!AG250*参数!$B$44*参数!$B$2+卡牌总表!AH250*参数!$B$6*参数!$B$2+卡牌总表!AI250*参数!$B$39*参数!$B$2+卡牌总表!AJ250*参数!$B$6*参数!$B$2+卡牌总表!Z250*参数!$B$13-卡牌总表!T250*参数!$B$14-卡牌总表!AD250*参数!$B$13+IF(ISNUMBER(卡牌总表!AU250),卡牌总表!AU250*参数!$B$38,0)-卡牌总表!AV250*参数!$B$41-卡牌总表!AW250*参数!$B$14</f>
        <v>13.200000000000001</v>
      </c>
      <c r="J250">
        <f>IF(AND(卡牌总表!F250="能力",卡牌总表!AL250="能力持续"),(参数!$B$2-1)*参数!$B$3,0)</f>
        <v>0</v>
      </c>
      <c r="K250">
        <f t="shared" si="10"/>
        <v>13.200000000000001</v>
      </c>
      <c r="L250">
        <f>卡牌总表!N250*卡牌总表!O250*参数!$B$5*IF(AND(卡牌总表!F250="能力",卡牌总表!AL250="能力持续"),参数!$B$2,1)+卡牌总表!Q250*参数!$B$6*IF(AND(卡牌总表!F250="能力",卡牌总表!AL250="能力持续"),参数!$B$2,1)+卡牌总表!S250*参数!$B$7*IF(AND(卡牌总表!F250="能力",卡牌总表!AL250="能力持续"),参数!$B$2,1)+卡牌总表!W250*参数!$B$8+IF(卡牌总表!Y250&lt;0,卡牌总表!Y250*参数!$B$13,卡牌总表!Y250*参数!$B$39)+IF(卡牌总表!AE250&lt;0,卡牌总表!AE250*参数!$B$13,卡牌总表!AE250*参数!$B$12)*参数!$B$2+卡牌总表!AR250*参数!$B$15+卡牌总表!AC250*参数!$B$11+卡牌总表!AF250*参数!$B$40*参数!$B$2+卡牌总表!AG250*参数!$B$44*参数!$B$2+卡牌总表!AH250*参数!$B$6*参数!$B$2+卡牌总表!AI250*参数!$B$39*参数!$B$2+卡牌总表!AJ250*参数!$B$6*参数!$B$2+卡牌总表!AA250*参数!$B$13-卡牌总表!U250*参数!$B$14-卡牌总表!AD250*参数!$B$13+IF(ISNUMBER(卡牌总表!AU250),卡牌总表!AU250*参数!$B$38,0)-卡牌总表!AV250*参数!$B$41-卡牌总表!AW250*参数!$B$14</f>
        <v>16.5</v>
      </c>
      <c r="M250">
        <f>IF(AND(卡牌总表!F250="能力",卡牌总表!AL250="能力持续"),参数!$B$2*参数!$B$3,0)</f>
        <v>0</v>
      </c>
      <c r="N250">
        <f t="shared" si="11"/>
        <v>16.5</v>
      </c>
      <c r="O250">
        <f>IFERROR(MAX(IF(K250 &gt; 参数!$B$17,参数!$B$17+SQRT(K250-参数!$B$17)*参数!$B$18,K250)-MAX(G250,0)*参数!$B$10,0)/MAX(G250,0.4),0)</f>
        <v>3.3416407864998741</v>
      </c>
      <c r="P250">
        <f>IFERROR(MAX(IF(N250 &gt; 参数!$B$17,参数!$B$17+SQRT(N250-参数!$B$17)*参数!$B$18,N250)-MAX(H250,0)*参数!$B$10,0)/MAX(H250,0.4),0)</f>
        <v>3.912132317597294</v>
      </c>
      <c r="Q250">
        <f>卡牌总表!AO250</f>
        <v>0</v>
      </c>
    </row>
    <row r="251" spans="1:17" x14ac:dyDescent="0.3">
      <c r="A251">
        <f t="shared" si="9"/>
        <v>250</v>
      </c>
      <c r="B251" t="str">
        <f>卡牌总表!B251</f>
        <v>regent_bundle_of_joy</v>
      </c>
      <c r="C251" t="str">
        <f>卡牌总表!D251</f>
        <v>新生之喜</v>
      </c>
      <c r="D251" t="str">
        <f>卡牌总表!F251</f>
        <v>技能</v>
      </c>
      <c r="E251">
        <f>卡牌总表!AL251</f>
        <v>0</v>
      </c>
      <c r="F251">
        <f>卡牌总表!AN251</f>
        <v>0</v>
      </c>
      <c r="G251">
        <f>卡牌总表!AP251</f>
        <v>1</v>
      </c>
      <c r="H251">
        <f>IF(ISNUMBER(卡牌总表!H251),IF(AND(卡牌总表!H251=0,卡牌总表!V251=0,卡牌总表!AK251="none"),0.4,IF(卡牌总表!AK251="exhaust",MAX(卡牌总表!H251-卡牌总表!V251,0.4),IF(卡牌总表!AK251="ethereal",MAX(卡牌总表!H251-卡牌总表!V251,0.4),MAX(卡牌总表!H251-卡牌总表!V251,0.4)))),IF(OR(卡牌总表!H251="X",卡牌总表!H251="∞"),0.4,0.4))</f>
        <v>1</v>
      </c>
      <c r="I251">
        <f>卡牌总表!M251*卡牌总表!O251*参数!$B$5*IF(AND(卡牌总表!F251="能力",卡牌总表!AL251="能力持续"),参数!$B$2,1)+卡牌总表!P251*参数!$B$6*IF(AND(卡牌总表!F251="能力",卡牌总表!AL251="能力持续"),参数!$B$2,1)+卡牌总表!R251*参数!$B$7*IF(AND(卡牌总表!F251="能力",卡牌总表!AL251="能力持续"),参数!$B$2,1)+卡牌总表!V251*参数!$B$8+IF(卡牌总表!X251&lt;0,卡牌总表!X251*参数!$B$13,卡牌总表!X251*参数!$B$39)+IF(卡牌总表!AE251&lt;0,卡牌总表!AE251*参数!$B$13,卡牌总表!AE251*参数!$B$12)*参数!$B$2+卡牌总表!AQ251*参数!$B$15+卡牌总表!AB251*参数!$B$11+卡牌总表!AF251*参数!$B$40*参数!$B$2+卡牌总表!AG251*参数!$B$44*参数!$B$2+卡牌总表!AH251*参数!$B$6*参数!$B$2+卡牌总表!AI251*参数!$B$39*参数!$B$2+卡牌总表!AJ251*参数!$B$6*参数!$B$2+卡牌总表!Z251*参数!$B$13-卡牌总表!T251*参数!$B$14-卡牌总表!AD251*参数!$B$13+IF(ISNUMBER(卡牌总表!AU251),卡牌总表!AU251*参数!$B$38,0)-卡牌总表!AV251*参数!$B$41-卡牌总表!AW251*参数!$B$14</f>
        <v>24</v>
      </c>
      <c r="J251">
        <f>IF(AND(卡牌总表!F251="能力",卡牌总表!AL251="能力持续"),(参数!$B$2-1)*参数!$B$3,0)</f>
        <v>0</v>
      </c>
      <c r="K251">
        <f t="shared" si="10"/>
        <v>24</v>
      </c>
      <c r="L251">
        <f>卡牌总表!N251*卡牌总表!O251*参数!$B$5*IF(AND(卡牌总表!F251="能力",卡牌总表!AL251="能力持续"),参数!$B$2,1)+卡牌总表!Q251*参数!$B$6*IF(AND(卡牌总表!F251="能力",卡牌总表!AL251="能力持续"),参数!$B$2,1)+卡牌总表!S251*参数!$B$7*IF(AND(卡牌总表!F251="能力",卡牌总表!AL251="能力持续"),参数!$B$2,1)+卡牌总表!W251*参数!$B$8+IF(卡牌总表!Y251&lt;0,卡牌总表!Y251*参数!$B$13,卡牌总表!Y251*参数!$B$39)+IF(卡牌总表!AE251&lt;0,卡牌总表!AE251*参数!$B$13,卡牌总表!AE251*参数!$B$12)*参数!$B$2+卡牌总表!AR251*参数!$B$15+卡牌总表!AC251*参数!$B$11+卡牌总表!AF251*参数!$B$40*参数!$B$2+卡牌总表!AG251*参数!$B$44*参数!$B$2+卡牌总表!AH251*参数!$B$6*参数!$B$2+卡牌总表!AI251*参数!$B$39*参数!$B$2+卡牌总表!AJ251*参数!$B$6*参数!$B$2+卡牌总表!AA251*参数!$B$13-卡牌总表!U251*参数!$B$14-卡牌总表!AD251*参数!$B$13+IF(ISNUMBER(卡牌总表!AU251),卡牌总表!AU251*参数!$B$38,0)-卡牌总表!AV251*参数!$B$41-卡牌总表!AW251*参数!$B$14</f>
        <v>0</v>
      </c>
      <c r="M251">
        <f>IF(AND(卡牌总表!F251="能力",卡牌总表!AL251="能力持续"),参数!$B$2*参数!$B$3,0)</f>
        <v>0</v>
      </c>
      <c r="N251">
        <f t="shared" si="11"/>
        <v>0</v>
      </c>
      <c r="O251">
        <f>IFERROR(MAX(IF(K251 &gt; 参数!$B$17,参数!$B$17+SQRT(K251-参数!$B$17)*参数!$B$18,K251)-MAX(G251,0)*参数!$B$10,0)/MAX(G251,0.4),0)</f>
        <v>12.612486080160913</v>
      </c>
      <c r="P251">
        <f>IFERROR(MAX(IF(N251 &gt; 参数!$B$17,参数!$B$17+SQRT(N251-参数!$B$17)*参数!$B$18,N251)-MAX(H251,0)*参数!$B$10,0)/MAX(H251,0.4),0)</f>
        <v>0</v>
      </c>
      <c r="Q251">
        <f>卡牌总表!AO251</f>
        <v>0</v>
      </c>
    </row>
    <row r="252" spans="1:17" x14ac:dyDescent="0.3">
      <c r="A252">
        <f t="shared" si="9"/>
        <v>251</v>
      </c>
      <c r="B252" t="str">
        <f>卡牌总表!B252</f>
        <v>regent_celestial_might</v>
      </c>
      <c r="C252" t="str">
        <f>卡牌总表!D252</f>
        <v>天穹之力</v>
      </c>
      <c r="D252" t="str">
        <f>卡牌总表!F252</f>
        <v>攻击</v>
      </c>
      <c r="E252">
        <f>卡牌总表!AL252</f>
        <v>0</v>
      </c>
      <c r="F252">
        <f>卡牌总表!AN252</f>
        <v>0</v>
      </c>
      <c r="G252">
        <f>卡牌总表!AP252</f>
        <v>2</v>
      </c>
      <c r="H252">
        <f>IF(ISNUMBER(卡牌总表!H252),IF(AND(卡牌总表!H252=0,卡牌总表!V252=0,卡牌总表!AK252="none"),0.4,IF(卡牌总表!AK252="exhaust",MAX(卡牌总表!H252-卡牌总表!V252,0.4),IF(卡牌总表!AK252="ethereal",MAX(卡牌总表!H252-卡牌总表!V252,0.4),MAX(卡牌总表!H252-卡牌总表!V252,0.4)))),IF(OR(卡牌总表!H252="X",卡牌总表!H252="∞"),0.4,0.4))</f>
        <v>2</v>
      </c>
      <c r="I252">
        <f>卡牌总表!M252*卡牌总表!O252*参数!$B$5*IF(AND(卡牌总表!F252="能力",卡牌总表!AL252="能力持续"),参数!$B$2,1)+卡牌总表!P252*参数!$B$6*IF(AND(卡牌总表!F252="能力",卡牌总表!AL252="能力持续"),参数!$B$2,1)+卡牌总表!R252*参数!$B$7*IF(AND(卡牌总表!F252="能力",卡牌总表!AL252="能力持续"),参数!$B$2,1)+卡牌总表!V252*参数!$B$8+IF(卡牌总表!X252&lt;0,卡牌总表!X252*参数!$B$13,卡牌总表!X252*参数!$B$39)+IF(卡牌总表!AE252&lt;0,卡牌总表!AE252*参数!$B$13,卡牌总表!AE252*参数!$B$12)*参数!$B$2+卡牌总表!AQ252*参数!$B$15+卡牌总表!AB252*参数!$B$11+卡牌总表!AF252*参数!$B$40*参数!$B$2+卡牌总表!AG252*参数!$B$44*参数!$B$2+卡牌总表!AH252*参数!$B$6*参数!$B$2+卡牌总表!AI252*参数!$B$39*参数!$B$2+卡牌总表!AJ252*参数!$B$6*参数!$B$2+卡牌总表!Z252*参数!$B$13-卡牌总表!T252*参数!$B$14-卡牌总表!AD252*参数!$B$13+IF(ISNUMBER(卡牌总表!AU252),卡牌总表!AU252*参数!$B$38,0)-卡牌总表!AV252*参数!$B$41-卡牌总表!AW252*参数!$B$14</f>
        <v>18</v>
      </c>
      <c r="J252">
        <f>IF(AND(卡牌总表!F252="能力",卡牌总表!AL252="能力持续"),(参数!$B$2-1)*参数!$B$3,0)</f>
        <v>0</v>
      </c>
      <c r="K252">
        <f t="shared" si="10"/>
        <v>18</v>
      </c>
      <c r="L252">
        <f>卡牌总表!N252*卡牌总表!O252*参数!$B$5*IF(AND(卡牌总表!F252="能力",卡牌总表!AL252="能力持续"),参数!$B$2,1)+卡牌总表!Q252*参数!$B$6*IF(AND(卡牌总表!F252="能力",卡牌总表!AL252="能力持续"),参数!$B$2,1)+卡牌总表!S252*参数!$B$7*IF(AND(卡牌总表!F252="能力",卡牌总表!AL252="能力持续"),参数!$B$2,1)+卡牌总表!W252*参数!$B$8+IF(卡牌总表!Y252&lt;0,卡牌总表!Y252*参数!$B$13,卡牌总表!Y252*参数!$B$39)+IF(卡牌总表!AE252&lt;0,卡牌总表!AE252*参数!$B$13,卡牌总表!AE252*参数!$B$12)*参数!$B$2+卡牌总表!AR252*参数!$B$15+卡牌总表!AC252*参数!$B$11+卡牌总表!AF252*参数!$B$40*参数!$B$2+卡牌总表!AG252*参数!$B$44*参数!$B$2+卡牌总表!AH252*参数!$B$6*参数!$B$2+卡牌总表!AI252*参数!$B$39*参数!$B$2+卡牌总表!AJ252*参数!$B$6*参数!$B$2+卡牌总表!AA252*参数!$B$13-卡牌总表!U252*参数!$B$14-卡牌总表!AD252*参数!$B$13+IF(ISNUMBER(卡牌总表!AU252),卡牌总表!AU252*参数!$B$38,0)-卡牌总表!AV252*参数!$B$41-卡牌总表!AW252*参数!$B$14</f>
        <v>18</v>
      </c>
      <c r="M252">
        <f>IF(AND(卡牌总表!F252="能力",卡牌总表!AL252="能力持续"),参数!$B$2*参数!$B$3,0)</f>
        <v>0</v>
      </c>
      <c r="N252">
        <f t="shared" si="11"/>
        <v>18</v>
      </c>
      <c r="O252">
        <f>IFERROR(MAX(IF(K252 &gt; 参数!$B$17,参数!$B$17+SQRT(K252-参数!$B$17)*参数!$B$18,K252)-MAX(G252,0)*参数!$B$10,0)/MAX(G252,0.4),0)</f>
        <v>4.1213203435596428</v>
      </c>
      <c r="P252">
        <f>IFERROR(MAX(IF(N252 &gt; 参数!$B$17,参数!$B$17+SQRT(N252-参数!$B$17)*参数!$B$18,N252)-MAX(H252,0)*参数!$B$10,0)/MAX(H252,0.4),0)</f>
        <v>4.1213203435596428</v>
      </c>
      <c r="Q252">
        <f>卡牌总表!AO252</f>
        <v>0</v>
      </c>
    </row>
    <row r="253" spans="1:17" x14ac:dyDescent="0.3">
      <c r="A253">
        <f t="shared" si="9"/>
        <v>252</v>
      </c>
      <c r="B253" t="str">
        <f>卡牌总表!B253</f>
        <v>regent_charge</v>
      </c>
      <c r="C253" t="str">
        <f>卡牌总表!D253</f>
        <v>冲锋！！</v>
      </c>
      <c r="D253" t="str">
        <f>卡牌总表!F253</f>
        <v>技能</v>
      </c>
      <c r="E253">
        <f>卡牌总表!AL253</f>
        <v>0</v>
      </c>
      <c r="F253">
        <f>卡牌总表!AN253</f>
        <v>0</v>
      </c>
      <c r="G253">
        <f>卡牌总表!AP253</f>
        <v>1</v>
      </c>
      <c r="H253">
        <f>IF(ISNUMBER(卡牌总表!H253),IF(AND(卡牌总表!H253=0,卡牌总表!V253=0,卡牌总表!AK253="none"),0.4,IF(卡牌总表!AK253="exhaust",MAX(卡牌总表!H253-卡牌总表!V253,0.4),IF(卡牌总表!AK253="ethereal",MAX(卡牌总表!H253-卡牌总表!V253,0.4),MAX(卡牌总表!H253-卡牌总表!V253,0.4)))),IF(OR(卡牌总表!H253="X",卡牌总表!H253="∞"),0.4,0.4))</f>
        <v>1</v>
      </c>
      <c r="I253">
        <f>卡牌总表!M253*卡牌总表!O253*参数!$B$5*IF(AND(卡牌总表!F253="能力",卡牌总表!AL253="能力持续"),参数!$B$2,1)+卡牌总表!P253*参数!$B$6*IF(AND(卡牌总表!F253="能力",卡牌总表!AL253="能力持续"),参数!$B$2,1)+卡牌总表!R253*参数!$B$7*IF(AND(卡牌总表!F253="能力",卡牌总表!AL253="能力持续"),参数!$B$2,1)+卡牌总表!V253*参数!$B$8+IF(卡牌总表!X253&lt;0,卡牌总表!X253*参数!$B$13,卡牌总表!X253*参数!$B$39)+IF(卡牌总表!AE253&lt;0,卡牌总表!AE253*参数!$B$13,卡牌总表!AE253*参数!$B$12)*参数!$B$2+卡牌总表!AQ253*参数!$B$15+卡牌总表!AB253*参数!$B$11+卡牌总表!AF253*参数!$B$40*参数!$B$2+卡牌总表!AG253*参数!$B$44*参数!$B$2+卡牌总表!AH253*参数!$B$6*参数!$B$2+卡牌总表!AI253*参数!$B$39*参数!$B$2+卡牌总表!AJ253*参数!$B$6*参数!$B$2+卡牌总表!Z253*参数!$B$13-卡牌总表!T253*参数!$B$14-卡牌总表!AD253*参数!$B$13+IF(ISNUMBER(卡牌总表!AU253),卡牌总表!AU253*参数!$B$38,0)-卡牌总表!AV253*参数!$B$41-卡牌总表!AW253*参数!$B$14</f>
        <v>16</v>
      </c>
      <c r="J253">
        <f>IF(AND(卡牌总表!F253="能力",卡牌总表!AL253="能力持续"),(参数!$B$2-1)*参数!$B$3,0)</f>
        <v>0</v>
      </c>
      <c r="K253">
        <f t="shared" si="10"/>
        <v>16</v>
      </c>
      <c r="L253">
        <f>卡牌总表!N253*卡牌总表!O253*参数!$B$5*IF(AND(卡牌总表!F253="能力",卡牌总表!AL253="能力持续"),参数!$B$2,1)+卡牌总表!Q253*参数!$B$6*IF(AND(卡牌总表!F253="能力",卡牌总表!AL253="能力持续"),参数!$B$2,1)+卡牌总表!S253*参数!$B$7*IF(AND(卡牌总表!F253="能力",卡牌总表!AL253="能力持续"),参数!$B$2,1)+卡牌总表!W253*参数!$B$8+IF(卡牌总表!Y253&lt;0,卡牌总表!Y253*参数!$B$13,卡牌总表!Y253*参数!$B$39)+IF(卡牌总表!AE253&lt;0,卡牌总表!AE253*参数!$B$13,卡牌总表!AE253*参数!$B$12)*参数!$B$2+卡牌总表!AR253*参数!$B$15+卡牌总表!AC253*参数!$B$11+卡牌总表!AF253*参数!$B$40*参数!$B$2+卡牌总表!AG253*参数!$B$44*参数!$B$2+卡牌总表!AH253*参数!$B$6*参数!$B$2+卡牌总表!AI253*参数!$B$39*参数!$B$2+卡牌总表!AJ253*参数!$B$6*参数!$B$2+卡牌总表!AA253*参数!$B$13-卡牌总表!U253*参数!$B$14-卡牌总表!AD253*参数!$B$13+IF(ISNUMBER(卡牌总表!AU253),卡牌总表!AU253*参数!$B$38,0)-卡牌总表!AV253*参数!$B$41-卡牌总表!AW253*参数!$B$14</f>
        <v>0</v>
      </c>
      <c r="M253">
        <f>IF(AND(卡牌总表!F253="能力",卡牌总表!AL253="能力持续"),参数!$B$2*参数!$B$3,0)</f>
        <v>0</v>
      </c>
      <c r="N253">
        <f t="shared" si="11"/>
        <v>0</v>
      </c>
      <c r="O253">
        <f>IFERROR(MAX(IF(K253 &gt; 参数!$B$17,参数!$B$17+SQRT(K253-参数!$B$17)*参数!$B$18,K253)-MAX(G253,0)*参数!$B$10,0)/MAX(G253,0.4),0)</f>
        <v>10.674234614174766</v>
      </c>
      <c r="P253">
        <f>IFERROR(MAX(IF(N253 &gt; 参数!$B$17,参数!$B$17+SQRT(N253-参数!$B$17)*参数!$B$18,N253)-MAX(H253,0)*参数!$B$10,0)/MAX(H253,0.4),0)</f>
        <v>0</v>
      </c>
      <c r="Q253">
        <f>卡牌总表!AO253</f>
        <v>0</v>
      </c>
    </row>
    <row r="254" spans="1:17" x14ac:dyDescent="0.3">
      <c r="A254">
        <f t="shared" si="9"/>
        <v>253</v>
      </c>
      <c r="B254" t="str">
        <f>卡牌总表!B254</f>
        <v>regent_child_of_the_stars</v>
      </c>
      <c r="C254" t="str">
        <f>卡牌总表!D254</f>
        <v>群星之子</v>
      </c>
      <c r="D254" t="str">
        <f>卡牌总表!F254</f>
        <v>能力</v>
      </c>
      <c r="E254" t="str">
        <f>卡牌总表!AL254</f>
        <v>能力持续</v>
      </c>
      <c r="F254" t="str">
        <f>卡牌总表!AN254</f>
        <v>能力</v>
      </c>
      <c r="G254">
        <f>卡牌总表!AP254</f>
        <v>1</v>
      </c>
      <c r="H254">
        <f>IF(ISNUMBER(卡牌总表!H254),IF(AND(卡牌总表!H254=0,卡牌总表!V254=0,卡牌总表!AK254="none"),0.4,IF(卡牌总表!AK254="exhaust",MAX(卡牌总表!H254-卡牌总表!V254,0.4),IF(卡牌总表!AK254="ethereal",MAX(卡牌总表!H254-卡牌总表!V254,0.4),MAX(卡牌总表!H254-卡牌总表!V254,0.4)))),IF(OR(卡牌总表!H254="X",卡牌总表!H254="∞"),0.4,0.4))</f>
        <v>1</v>
      </c>
      <c r="I254">
        <f>卡牌总表!M254*卡牌总表!O254*参数!$B$5*IF(AND(卡牌总表!F254="能力",卡牌总表!AL254="能力持续"),参数!$B$2,1)+卡牌总表!P254*参数!$B$6*IF(AND(卡牌总表!F254="能力",卡牌总表!AL254="能力持续"),参数!$B$2,1)+卡牌总表!R254*参数!$B$7*IF(AND(卡牌总表!F254="能力",卡牌总表!AL254="能力持续"),参数!$B$2,1)+卡牌总表!V254*参数!$B$8+IF(卡牌总表!X254&lt;0,卡牌总表!X254*参数!$B$13,卡牌总表!X254*参数!$B$39)+IF(卡牌总表!AE254&lt;0,卡牌总表!AE254*参数!$B$13,卡牌总表!AE254*参数!$B$12)*参数!$B$2+卡牌总表!AQ254*参数!$B$15+卡牌总表!AB254*参数!$B$11+卡牌总表!AF254*参数!$B$40*参数!$B$2+卡牌总表!AG254*参数!$B$44*参数!$B$2+卡牌总表!AH254*参数!$B$6*参数!$B$2+卡牌总表!AI254*参数!$B$39*参数!$B$2+卡牌总表!AJ254*参数!$B$6*参数!$B$2+卡牌总表!Z254*参数!$B$13-卡牌总表!T254*参数!$B$14-卡牌总表!AD254*参数!$B$13+IF(ISNUMBER(卡牌总表!AU254),卡牌总表!AU254*参数!$B$38,0)-卡牌总表!AV254*参数!$B$41-卡牌总表!AW254*参数!$B$14</f>
        <v>0</v>
      </c>
      <c r="J254">
        <f>IF(AND(卡牌总表!F254="能力",卡牌总表!AL254="能力持续"),(参数!$B$2-1)*参数!$B$3,0)</f>
        <v>3.5999999999999996</v>
      </c>
      <c r="K254">
        <f t="shared" si="10"/>
        <v>3.5999999999999996</v>
      </c>
      <c r="L254">
        <f>卡牌总表!N254*卡牌总表!O254*参数!$B$5*IF(AND(卡牌总表!F254="能力",卡牌总表!AL254="能力持续"),参数!$B$2,1)+卡牌总表!Q254*参数!$B$6*IF(AND(卡牌总表!F254="能力",卡牌总表!AL254="能力持续"),参数!$B$2,1)+卡牌总表!S254*参数!$B$7*IF(AND(卡牌总表!F254="能力",卡牌总表!AL254="能力持续"),参数!$B$2,1)+卡牌总表!W254*参数!$B$8+IF(卡牌总表!Y254&lt;0,卡牌总表!Y254*参数!$B$13,卡牌总表!Y254*参数!$B$39)+IF(卡牌总表!AE254&lt;0,卡牌总表!AE254*参数!$B$13,卡牌总表!AE254*参数!$B$12)*参数!$B$2+卡牌总表!AR254*参数!$B$15+卡牌总表!AC254*参数!$B$11+卡牌总表!AF254*参数!$B$40*参数!$B$2+卡牌总表!AG254*参数!$B$44*参数!$B$2+卡牌总表!AH254*参数!$B$6*参数!$B$2+卡牌总表!AI254*参数!$B$39*参数!$B$2+卡牌总表!AJ254*参数!$B$6*参数!$B$2+卡牌总表!AA254*参数!$B$13-卡牌总表!U254*参数!$B$14-卡牌总表!AD254*参数!$B$13+IF(ISNUMBER(卡牌总表!AU254),卡牌总表!AU254*参数!$B$38,0)-卡牌总表!AV254*参数!$B$41-卡牌总表!AW254*参数!$B$14</f>
        <v>0</v>
      </c>
      <c r="M254">
        <f>IF(AND(卡牌总表!F254="能力",卡牌总表!AL254="能力持续"),参数!$B$2*参数!$B$3,0)</f>
        <v>4.8</v>
      </c>
      <c r="N254">
        <f t="shared" si="11"/>
        <v>4.8</v>
      </c>
      <c r="O254">
        <f>IFERROR(MAX(IF(K254 &gt; 参数!$B$17,参数!$B$17+SQRT(K254-参数!$B$17)*参数!$B$18,K254)-MAX(G254,0)*参数!$B$10,0)/MAX(G254,0.4),0)</f>
        <v>0.59999999999999964</v>
      </c>
      <c r="P254">
        <f>IFERROR(MAX(IF(N254 &gt; 参数!$B$17,参数!$B$17+SQRT(N254-参数!$B$17)*参数!$B$18,N254)-MAX(H254,0)*参数!$B$10,0)/MAX(H254,0.4),0)</f>
        <v>1.7999999999999998</v>
      </c>
      <c r="Q254">
        <f>卡牌总表!AO254</f>
        <v>0</v>
      </c>
    </row>
    <row r="255" spans="1:17" x14ac:dyDescent="0.3">
      <c r="A255">
        <f t="shared" si="9"/>
        <v>254</v>
      </c>
      <c r="B255" t="str">
        <f>卡牌总表!B255</f>
        <v>regent_cloak_of_stars</v>
      </c>
      <c r="C255" t="str">
        <f>卡牌总表!D255</f>
        <v>群星斗篷</v>
      </c>
      <c r="D255" t="str">
        <f>卡牌总表!F255</f>
        <v>技能</v>
      </c>
      <c r="E255">
        <f>卡牌总表!AL255</f>
        <v>0</v>
      </c>
      <c r="F255">
        <f>卡牌总表!AN255</f>
        <v>0</v>
      </c>
      <c r="G255">
        <f>卡牌总表!AP255</f>
        <v>0.4</v>
      </c>
      <c r="H255">
        <f>IF(ISNUMBER(卡牌总表!H255),IF(AND(卡牌总表!H255=0,卡牌总表!V255=0,卡牌总表!AK255="none"),0.4,IF(卡牌总表!AK255="exhaust",MAX(卡牌总表!H255-卡牌总表!V255,0.4),IF(卡牌总表!AK255="ethereal",MAX(卡牌总表!H255-卡牌总表!V255,0.4),MAX(卡牌总表!H255-卡牌总表!V255,0.4)))),IF(OR(卡牌总表!H255="X",卡牌总表!H255="∞"),0.4,0.4))</f>
        <v>0.4</v>
      </c>
      <c r="I255">
        <f>卡牌总表!M255*卡牌总表!O255*参数!$B$5*IF(AND(卡牌总表!F255="能力",卡牌总表!AL255="能力持续"),参数!$B$2,1)+卡牌总表!P255*参数!$B$6*IF(AND(卡牌总表!F255="能力",卡牌总表!AL255="能力持续"),参数!$B$2,1)+卡牌总表!R255*参数!$B$7*IF(AND(卡牌总表!F255="能力",卡牌总表!AL255="能力持续"),参数!$B$2,1)+卡牌总表!V255*参数!$B$8+IF(卡牌总表!X255&lt;0,卡牌总表!X255*参数!$B$13,卡牌总表!X255*参数!$B$39)+IF(卡牌总表!AE255&lt;0,卡牌总表!AE255*参数!$B$13,卡牌总表!AE255*参数!$B$12)*参数!$B$2+卡牌总表!AQ255*参数!$B$15+卡牌总表!AB255*参数!$B$11+卡牌总表!AF255*参数!$B$40*参数!$B$2+卡牌总表!AG255*参数!$B$44*参数!$B$2+卡牌总表!AH255*参数!$B$6*参数!$B$2+卡牌总表!AI255*参数!$B$39*参数!$B$2+卡牌总表!AJ255*参数!$B$6*参数!$B$2+卡牌总表!Z255*参数!$B$13-卡牌总表!T255*参数!$B$14-卡牌总表!AD255*参数!$B$13+IF(ISNUMBER(卡牌总表!AU255),卡牌总表!AU255*参数!$B$38,0)-卡牌总表!AV255*参数!$B$41-卡牌总表!AW255*参数!$B$14</f>
        <v>6.2000000000000011</v>
      </c>
      <c r="J255">
        <f>IF(AND(卡牌总表!F255="能力",卡牌总表!AL255="能力持续"),(参数!$B$2-1)*参数!$B$3,0)</f>
        <v>0</v>
      </c>
      <c r="K255">
        <f t="shared" si="10"/>
        <v>6.2000000000000011</v>
      </c>
      <c r="L255">
        <f>卡牌总表!N255*卡牌总表!O255*参数!$B$5*IF(AND(卡牌总表!F255="能力",卡牌总表!AL255="能力持续"),参数!$B$2,1)+卡牌总表!Q255*参数!$B$6*IF(AND(卡牌总表!F255="能力",卡牌总表!AL255="能力持续"),参数!$B$2,1)+卡牌总表!S255*参数!$B$7*IF(AND(卡牌总表!F255="能力",卡牌总表!AL255="能力持续"),参数!$B$2,1)+卡牌总表!W255*参数!$B$8+IF(卡牌总表!Y255&lt;0,卡牌总表!Y255*参数!$B$13,卡牌总表!Y255*参数!$B$39)+IF(卡牌总表!AE255&lt;0,卡牌总表!AE255*参数!$B$13,卡牌总表!AE255*参数!$B$12)*参数!$B$2+卡牌总表!AR255*参数!$B$15+卡牌总表!AC255*参数!$B$11+卡牌总表!AF255*参数!$B$40*参数!$B$2+卡牌总表!AG255*参数!$B$44*参数!$B$2+卡牌总表!AH255*参数!$B$6*参数!$B$2+卡牌总表!AI255*参数!$B$39*参数!$B$2+卡牌总表!AJ255*参数!$B$6*参数!$B$2+卡牌总表!AA255*参数!$B$13-卡牌总表!U255*参数!$B$14-卡牌总表!AD255*参数!$B$13+IF(ISNUMBER(卡牌总表!AU255),卡牌总表!AU255*参数!$B$38,0)-卡牌总表!AV255*参数!$B$41-卡牌总表!AW255*参数!$B$14</f>
        <v>9.5</v>
      </c>
      <c r="M255">
        <f>IF(AND(卡牌总表!F255="能力",卡牌总表!AL255="能力持续"),参数!$B$2*参数!$B$3,0)</f>
        <v>0</v>
      </c>
      <c r="N255">
        <f t="shared" si="11"/>
        <v>9.5</v>
      </c>
      <c r="O255">
        <f>IFERROR(MAX(IF(K255 &gt; 参数!$B$17,参数!$B$17+SQRT(K255-参数!$B$17)*参数!$B$18,K255)-MAX(G255,0)*参数!$B$10,0)/MAX(G255,0.4),0)</f>
        <v>12.500000000000002</v>
      </c>
      <c r="P255">
        <f>IFERROR(MAX(IF(N255 &gt; 参数!$B$17,参数!$B$17+SQRT(N255-参数!$B$17)*参数!$B$18,N255)-MAX(H255,0)*参数!$B$10,0)/MAX(H255,0.4),0)</f>
        <v>20.75</v>
      </c>
      <c r="Q255">
        <f>卡牌总表!AO255</f>
        <v>0</v>
      </c>
    </row>
    <row r="256" spans="1:17" x14ac:dyDescent="0.3">
      <c r="A256">
        <f t="shared" si="9"/>
        <v>255</v>
      </c>
      <c r="B256" t="str">
        <f>卡牌总表!B256</f>
        <v>regent_collision_course</v>
      </c>
      <c r="C256" t="str">
        <f>卡牌总表!D256</f>
        <v>碰撞轨迹</v>
      </c>
      <c r="D256" t="str">
        <f>卡牌总表!F256</f>
        <v>攻击</v>
      </c>
      <c r="E256">
        <f>卡牌总表!AL256</f>
        <v>0</v>
      </c>
      <c r="F256">
        <f>卡牌总表!AN256</f>
        <v>0</v>
      </c>
      <c r="G256">
        <f>卡牌总表!AP256</f>
        <v>0.4</v>
      </c>
      <c r="H256">
        <f>IF(ISNUMBER(卡牌总表!H256),IF(AND(卡牌总表!H256=0,卡牌总表!V256=0,卡牌总表!AK256="none"),0.4,IF(卡牌总表!AK256="exhaust",MAX(卡牌总表!H256-卡牌总表!V256,0.4),IF(卡牌总表!AK256="ethereal",MAX(卡牌总表!H256-卡牌总表!V256,0.4),MAX(卡牌总表!H256-卡牌总表!V256,0.4)))),IF(OR(卡牌总表!H256="X",卡牌总表!H256="∞"),0.4,0.4))</f>
        <v>0.4</v>
      </c>
      <c r="I256">
        <f>卡牌总表!M256*卡牌总表!O256*参数!$B$5*IF(AND(卡牌总表!F256="能力",卡牌总表!AL256="能力持续"),参数!$B$2,1)+卡牌总表!P256*参数!$B$6*IF(AND(卡牌总表!F256="能力",卡牌总表!AL256="能力持续"),参数!$B$2,1)+卡牌总表!R256*参数!$B$7*IF(AND(卡牌总表!F256="能力",卡牌总表!AL256="能力持续"),参数!$B$2,1)+卡牌总表!V256*参数!$B$8+IF(卡牌总表!X256&lt;0,卡牌总表!X256*参数!$B$13,卡牌总表!X256*参数!$B$39)+IF(卡牌总表!AE256&lt;0,卡牌总表!AE256*参数!$B$13,卡牌总表!AE256*参数!$B$12)*参数!$B$2+卡牌总表!AQ256*参数!$B$15+卡牌总表!AB256*参数!$B$11+卡牌总表!AF256*参数!$B$40*参数!$B$2+卡牌总表!AG256*参数!$B$44*参数!$B$2+卡牌总表!AH256*参数!$B$6*参数!$B$2+卡牌总表!AI256*参数!$B$39*参数!$B$2+卡牌总表!AJ256*参数!$B$6*参数!$B$2+卡牌总表!Z256*参数!$B$13-卡牌总表!T256*参数!$B$14-卡牌总表!AD256*参数!$B$13+IF(ISNUMBER(卡牌总表!AU256),卡牌总表!AU256*参数!$B$38,0)-卡牌总表!AV256*参数!$B$41-卡牌总表!AW256*参数!$B$14</f>
        <v>11</v>
      </c>
      <c r="J256">
        <f>IF(AND(卡牌总表!F256="能力",卡牌总表!AL256="能力持续"),(参数!$B$2-1)*参数!$B$3,0)</f>
        <v>0</v>
      </c>
      <c r="K256">
        <f t="shared" si="10"/>
        <v>11</v>
      </c>
      <c r="L256">
        <f>卡牌总表!N256*卡牌总表!O256*参数!$B$5*IF(AND(卡牌总表!F256="能力",卡牌总表!AL256="能力持续"),参数!$B$2,1)+卡牌总表!Q256*参数!$B$6*IF(AND(卡牌总表!F256="能力",卡牌总表!AL256="能力持续"),参数!$B$2,1)+卡牌总表!S256*参数!$B$7*IF(AND(卡牌总表!F256="能力",卡牌总表!AL256="能力持续"),参数!$B$2,1)+卡牌总表!W256*参数!$B$8+IF(卡牌总表!Y256&lt;0,卡牌总表!Y256*参数!$B$13,卡牌总表!Y256*参数!$B$39)+IF(卡牌总表!AE256&lt;0,卡牌总表!AE256*参数!$B$13,卡牌总表!AE256*参数!$B$12)*参数!$B$2+卡牌总表!AR256*参数!$B$15+卡牌总表!AC256*参数!$B$11+卡牌总表!AF256*参数!$B$40*参数!$B$2+卡牌总表!AG256*参数!$B$44*参数!$B$2+卡牌总表!AH256*参数!$B$6*参数!$B$2+卡牌总表!AI256*参数!$B$39*参数!$B$2+卡牌总表!AJ256*参数!$B$6*参数!$B$2+卡牌总表!AA256*参数!$B$13-卡牌总表!U256*参数!$B$14-卡牌总表!AD256*参数!$B$13+IF(ISNUMBER(卡牌总表!AU256),卡牌总表!AU256*参数!$B$38,0)-卡牌总表!AV256*参数!$B$41-卡牌总表!AW256*参数!$B$14</f>
        <v>15</v>
      </c>
      <c r="M256">
        <f>IF(AND(卡牌总表!F256="能力",卡牌总表!AL256="能力持续"),参数!$B$2*参数!$B$3,0)</f>
        <v>0</v>
      </c>
      <c r="N256">
        <f t="shared" si="11"/>
        <v>15</v>
      </c>
      <c r="O256">
        <f>IFERROR(MAX(IF(K256 &gt; 参数!$B$17,参数!$B$17+SQRT(K256-参数!$B$17)*参数!$B$18,K256)-MAX(G256,0)*参数!$B$10,0)/MAX(G256,0.4),0)</f>
        <v>25.75</v>
      </c>
      <c r="P256">
        <f>IFERROR(MAX(IF(N256 &gt; 参数!$B$17,参数!$B$17+SQRT(N256-参数!$B$17)*参数!$B$18,N256)-MAX(H256,0)*参数!$B$10,0)/MAX(H256,0.4),0)</f>
        <v>30.385254915624209</v>
      </c>
      <c r="Q256">
        <f>卡牌总表!AO256</f>
        <v>0</v>
      </c>
    </row>
    <row r="257" spans="1:17" x14ac:dyDescent="0.3">
      <c r="A257">
        <f t="shared" si="9"/>
        <v>256</v>
      </c>
      <c r="B257" t="str">
        <f>卡牌总表!B257</f>
        <v>regent_comet</v>
      </c>
      <c r="C257" t="str">
        <f>卡牌总表!D257</f>
        <v>彗星</v>
      </c>
      <c r="D257" t="str">
        <f>卡牌总表!F257</f>
        <v>攻击</v>
      </c>
      <c r="E257">
        <f>卡牌总表!AL257</f>
        <v>0</v>
      </c>
      <c r="F257">
        <f>卡牌总表!AN257</f>
        <v>0</v>
      </c>
      <c r="G257">
        <f>卡牌总表!AP257</f>
        <v>0.4</v>
      </c>
      <c r="H257">
        <f>IF(ISNUMBER(卡牌总表!H257),IF(AND(卡牌总表!H257=0,卡牌总表!V257=0,卡牌总表!AK257="none"),0.4,IF(卡牌总表!AK257="exhaust",MAX(卡牌总表!H257-卡牌总表!V257,0.4),IF(卡牌总表!AK257="ethereal",MAX(卡牌总表!H257-卡牌总表!V257,0.4),MAX(卡牌总表!H257-卡牌总表!V257,0.4)))),IF(OR(卡牌总表!H257="X",卡牌总表!H257="∞"),0.4,0.4))</f>
        <v>0.4</v>
      </c>
      <c r="I257">
        <f>卡牌总表!M257*卡牌总表!O257*参数!$B$5*IF(AND(卡牌总表!F257="能力",卡牌总表!AL257="能力持续"),参数!$B$2,1)+卡牌总表!P257*参数!$B$6*IF(AND(卡牌总表!F257="能力",卡牌总表!AL257="能力持续"),参数!$B$2,1)+卡牌总表!R257*参数!$B$7*IF(AND(卡牌总表!F257="能力",卡牌总表!AL257="能力持续"),参数!$B$2,1)+卡牌总表!V257*参数!$B$8+IF(卡牌总表!X257&lt;0,卡牌总表!X257*参数!$B$13,卡牌总表!X257*参数!$B$39)+IF(卡牌总表!AE257&lt;0,卡牌总表!AE257*参数!$B$13,卡牌总表!AE257*参数!$B$12)*参数!$B$2+卡牌总表!AQ257*参数!$B$15+卡牌总表!AB257*参数!$B$11+卡牌总表!AF257*参数!$B$40*参数!$B$2+卡牌总表!AG257*参数!$B$44*参数!$B$2+卡牌总表!AH257*参数!$B$6*参数!$B$2+卡牌总表!AI257*参数!$B$39*参数!$B$2+卡牌总表!AJ257*参数!$B$6*参数!$B$2+卡牌总表!Z257*参数!$B$13-卡牌总表!T257*参数!$B$14-卡牌总表!AD257*参数!$B$13+IF(ISNUMBER(卡牌总表!AU257),卡牌总表!AU257*参数!$B$38,0)-卡牌总表!AV257*参数!$B$41-卡牌总表!AW257*参数!$B$14</f>
        <v>33.9</v>
      </c>
      <c r="J257">
        <f>IF(AND(卡牌总表!F257="能力",卡牌总表!AL257="能力持续"),(参数!$B$2-1)*参数!$B$3,0)</f>
        <v>0</v>
      </c>
      <c r="K257">
        <f t="shared" si="10"/>
        <v>33.9</v>
      </c>
      <c r="L257">
        <f>卡牌总表!N257*卡牌总表!O257*参数!$B$5*IF(AND(卡牌总表!F257="能力",卡牌总表!AL257="能力持续"),参数!$B$2,1)+卡牌总表!Q257*参数!$B$6*IF(AND(卡牌总表!F257="能力",卡牌总表!AL257="能力持续"),参数!$B$2,1)+卡牌总表!S257*参数!$B$7*IF(AND(卡牌总表!F257="能力",卡牌总表!AL257="能力持续"),参数!$B$2,1)+卡牌总表!W257*参数!$B$8+IF(卡牌总表!Y257&lt;0,卡牌总表!Y257*参数!$B$13,卡牌总表!Y257*参数!$B$39)+IF(卡牌总表!AE257&lt;0,卡牌总表!AE257*参数!$B$13,卡牌总表!AE257*参数!$B$12)*参数!$B$2+卡牌总表!AR257*参数!$B$15+卡牌总表!AC257*参数!$B$11+卡牌总表!AF257*参数!$B$40*参数!$B$2+卡牌总表!AG257*参数!$B$44*参数!$B$2+卡牌总表!AH257*参数!$B$6*参数!$B$2+卡牌总表!AI257*参数!$B$39*参数!$B$2+卡牌总表!AJ257*参数!$B$6*参数!$B$2+卡牌总表!AA257*参数!$B$13-卡牌总表!U257*参数!$B$14-卡牌总表!AD257*参数!$B$13+IF(ISNUMBER(卡牌总表!AU257),卡牌总表!AU257*参数!$B$38,0)-卡牌总表!AV257*参数!$B$41-卡牌总表!AW257*参数!$B$14</f>
        <v>44.9</v>
      </c>
      <c r="M257">
        <f>IF(AND(卡牌总表!F257="能力",卡牌总表!AL257="能力持续"),参数!$B$2*参数!$B$3,0)</f>
        <v>0</v>
      </c>
      <c r="N257">
        <f t="shared" si="11"/>
        <v>44.9</v>
      </c>
      <c r="O257">
        <f>IFERROR(MAX(IF(K257 &gt; 参数!$B$17,参数!$B$17+SQRT(K257-参数!$B$17)*参数!$B$18,K257)-MAX(G257,0)*参数!$B$10,0)/MAX(G257,0.4),0)</f>
        <v>40.332859842370475</v>
      </c>
      <c r="P257">
        <f>IFERROR(MAX(IF(N257 &gt; 参数!$B$17,参数!$B$17+SQRT(N257-参数!$B$17)*参数!$B$18,N257)-MAX(H257,0)*参数!$B$10,0)/MAX(H257,0.4),0)</f>
        <v>44.153583231612899</v>
      </c>
      <c r="Q257">
        <f>卡牌总表!AO257</f>
        <v>0</v>
      </c>
    </row>
    <row r="258" spans="1:17" x14ac:dyDescent="0.3">
      <c r="A258">
        <f t="shared" ref="A258:A321" si="12">ROW()-1</f>
        <v>257</v>
      </c>
      <c r="B258" t="str">
        <f>卡牌总表!B258</f>
        <v>regent_conqueror</v>
      </c>
      <c r="C258" t="str">
        <f>卡牌总表!D258</f>
        <v>征服者</v>
      </c>
      <c r="D258" t="str">
        <f>卡牌总表!F258</f>
        <v>技能</v>
      </c>
      <c r="E258">
        <f>卡牌总表!AL258</f>
        <v>0</v>
      </c>
      <c r="F258" t="str">
        <f>卡牌总表!AN258</f>
        <v>本回合</v>
      </c>
      <c r="G258">
        <f>卡牌总表!AP258</f>
        <v>1</v>
      </c>
      <c r="H258">
        <f>IF(ISNUMBER(卡牌总表!H258),IF(AND(卡牌总表!H258=0,卡牌总表!V258=0,卡牌总表!AK258="none"),0.4,IF(卡牌总表!AK258="exhaust",MAX(卡牌总表!H258-卡牌总表!V258,0.4),IF(卡牌总表!AK258="ethereal",MAX(卡牌总表!H258-卡牌总表!V258,0.4),MAX(卡牌总表!H258-卡牌总表!V258,0.4)))),IF(OR(卡牌总表!H258="X",卡牌总表!H258="∞"),0.4,0.4))</f>
        <v>1</v>
      </c>
      <c r="I258">
        <f>卡牌总表!M258*卡牌总表!O258*参数!$B$5*IF(AND(卡牌总表!F258="能力",卡牌总表!AL258="能力持续"),参数!$B$2,1)+卡牌总表!P258*参数!$B$6*IF(AND(卡牌总表!F258="能力",卡牌总表!AL258="能力持续"),参数!$B$2,1)+卡牌总表!R258*参数!$B$7*IF(AND(卡牌总表!F258="能力",卡牌总表!AL258="能力持续"),参数!$B$2,1)+卡牌总表!V258*参数!$B$8+IF(卡牌总表!X258&lt;0,卡牌总表!X258*参数!$B$13,卡牌总表!X258*参数!$B$39)+IF(卡牌总表!AE258&lt;0,卡牌总表!AE258*参数!$B$13,卡牌总表!AE258*参数!$B$12)*参数!$B$2+卡牌总表!AQ258*参数!$B$15+卡牌总表!AB258*参数!$B$11+卡牌总表!AF258*参数!$B$40*参数!$B$2+卡牌总表!AG258*参数!$B$44*参数!$B$2+卡牌总表!AH258*参数!$B$6*参数!$B$2+卡牌总表!AI258*参数!$B$39*参数!$B$2+卡牌总表!AJ258*参数!$B$6*参数!$B$2+卡牌总表!Z258*参数!$B$13-卡牌总表!T258*参数!$B$14-卡牌总表!AD258*参数!$B$13+IF(ISNUMBER(卡牌总表!AU258),卡牌总表!AU258*参数!$B$38,0)-卡牌总表!AV258*参数!$B$41-卡牌总表!AW258*参数!$B$14</f>
        <v>7.2000000000000011</v>
      </c>
      <c r="J258">
        <f>IF(AND(卡牌总表!F258="能力",卡牌总表!AL258="能力持续"),(参数!$B$2-1)*参数!$B$3,0)</f>
        <v>0</v>
      </c>
      <c r="K258">
        <f t="shared" ref="K258:K321" si="13">I258+J258</f>
        <v>7.2000000000000011</v>
      </c>
      <c r="L258">
        <f>卡牌总表!N258*卡牌总表!O258*参数!$B$5*IF(AND(卡牌总表!F258="能力",卡牌总表!AL258="能力持续"),参数!$B$2,1)+卡牌总表!Q258*参数!$B$6*IF(AND(卡牌总表!F258="能力",卡牌总表!AL258="能力持续"),参数!$B$2,1)+卡牌总表!S258*参数!$B$7*IF(AND(卡牌总表!F258="能力",卡牌总表!AL258="能力持续"),参数!$B$2,1)+卡牌总表!W258*参数!$B$8+IF(卡牌总表!Y258&lt;0,卡牌总表!Y258*参数!$B$13,卡牌总表!Y258*参数!$B$39)+IF(卡牌总表!AE258&lt;0,卡牌总表!AE258*参数!$B$13,卡牌总表!AE258*参数!$B$12)*参数!$B$2+卡牌总表!AR258*参数!$B$15+卡牌总表!AC258*参数!$B$11+卡牌总表!AF258*参数!$B$40*参数!$B$2+卡牌总表!AG258*参数!$B$44*参数!$B$2+卡牌总表!AH258*参数!$B$6*参数!$B$2+卡牌总表!AI258*参数!$B$39*参数!$B$2+卡牌总表!AJ258*参数!$B$6*参数!$B$2+卡牌总表!AA258*参数!$B$13-卡牌总表!U258*参数!$B$14-卡牌总表!AD258*参数!$B$13+IF(ISNUMBER(卡牌总表!AU258),卡牌总表!AU258*参数!$B$38,0)-卡牌总表!AV258*参数!$B$41-卡牌总表!AW258*参数!$B$14</f>
        <v>0</v>
      </c>
      <c r="M258">
        <f>IF(AND(卡牌总表!F258="能力",卡牌总表!AL258="能力持续"),参数!$B$2*参数!$B$3,0)</f>
        <v>0</v>
      </c>
      <c r="N258">
        <f t="shared" ref="N258:N321" si="14">L258+M258</f>
        <v>0</v>
      </c>
      <c r="O258">
        <f>IFERROR(MAX(IF(K258 &gt; 参数!$B$17,参数!$B$17+SQRT(K258-参数!$B$17)*参数!$B$18,K258)-MAX(G258,0)*参数!$B$10,0)/MAX(G258,0.4),0)</f>
        <v>4.2000000000000011</v>
      </c>
      <c r="P258">
        <f>IFERROR(MAX(IF(N258 &gt; 参数!$B$17,参数!$B$17+SQRT(N258-参数!$B$17)*参数!$B$18,N258)-MAX(H258,0)*参数!$B$10,0)/MAX(H258,0.4),0)</f>
        <v>0</v>
      </c>
      <c r="Q258">
        <f>卡牌总表!AO258</f>
        <v>0</v>
      </c>
    </row>
    <row r="259" spans="1:17" x14ac:dyDescent="0.3">
      <c r="A259">
        <f t="shared" si="12"/>
        <v>258</v>
      </c>
      <c r="B259" t="str">
        <f>卡牌总表!B259</f>
        <v>regent_convergence</v>
      </c>
      <c r="C259" t="str">
        <f>卡牌总表!D259</f>
        <v>汇流</v>
      </c>
      <c r="D259" t="str">
        <f>卡牌总表!F259</f>
        <v>技能</v>
      </c>
      <c r="E259">
        <f>卡牌总表!AL259</f>
        <v>0</v>
      </c>
      <c r="F259" t="str">
        <f>卡牌总表!AN259</f>
        <v>本回合</v>
      </c>
      <c r="G259">
        <f>卡牌总表!AP259</f>
        <v>0.4</v>
      </c>
      <c r="H259">
        <f>IF(ISNUMBER(卡牌总表!H259),IF(AND(卡牌总表!H259=0,卡牌总表!V259=0,卡牌总表!AK259="none"),0.4,IF(卡牌总表!AK259="exhaust",MAX(卡牌总表!H259-卡牌总表!V259,0.4),IF(卡牌总表!AK259="ethereal",MAX(卡牌总表!H259-卡牌总表!V259,0.4),MAX(卡牌总表!H259-卡牌总表!V259,0.4)))),IF(OR(卡牌总表!H259="X",卡牌总表!H259="∞"),0.4,0.4))</f>
        <v>0.4</v>
      </c>
      <c r="I259">
        <f>卡牌总表!M259*卡牌总表!O259*参数!$B$5*IF(AND(卡牌总表!F259="能力",卡牌总表!AL259="能力持续"),参数!$B$2,1)+卡牌总表!P259*参数!$B$6*IF(AND(卡牌总表!F259="能力",卡牌总表!AL259="能力持续"),参数!$B$2,1)+卡牌总表!R259*参数!$B$7*IF(AND(卡牌总表!F259="能力",卡牌总表!AL259="能力持续"),参数!$B$2,1)+卡牌总表!V259*参数!$B$8+IF(卡牌总表!X259&lt;0,卡牌总表!X259*参数!$B$13,卡牌总表!X259*参数!$B$39)+IF(卡牌总表!AE259&lt;0,卡牌总表!AE259*参数!$B$13,卡牌总表!AE259*参数!$B$12)*参数!$B$2+卡牌总表!AQ259*参数!$B$15+卡牌总表!AB259*参数!$B$11+卡牌总表!AF259*参数!$B$40*参数!$B$2+卡牌总表!AG259*参数!$B$44*参数!$B$2+卡牌总表!AH259*参数!$B$6*参数!$B$2+卡牌总表!AI259*参数!$B$39*参数!$B$2+卡牌总表!AJ259*参数!$B$6*参数!$B$2+卡牌总表!Z259*参数!$B$13-卡牌总表!T259*参数!$B$14-卡牌总表!AD259*参数!$B$13+IF(ISNUMBER(卡牌总表!AU259),卡牌总表!AU259*参数!$B$38,0)-卡牌总表!AV259*参数!$B$41-卡牌总表!AW259*参数!$B$14</f>
        <v>4.3</v>
      </c>
      <c r="J259">
        <f>IF(AND(卡牌总表!F259="能力",卡牌总表!AL259="能力持续"),(参数!$B$2-1)*参数!$B$3,0)</f>
        <v>0</v>
      </c>
      <c r="K259">
        <f t="shared" si="13"/>
        <v>4.3</v>
      </c>
      <c r="L259">
        <f>卡牌总表!N259*卡牌总表!O259*参数!$B$5*IF(AND(卡牌总表!F259="能力",卡牌总表!AL259="能力持续"),参数!$B$2,1)+卡牌总表!Q259*参数!$B$6*IF(AND(卡牌总表!F259="能力",卡牌总表!AL259="能力持续"),参数!$B$2,1)+卡牌总表!S259*参数!$B$7*IF(AND(卡牌总表!F259="能力",卡牌总表!AL259="能力持续"),参数!$B$2,1)+卡牌总表!W259*参数!$B$8+IF(卡牌总表!Y259&lt;0,卡牌总表!Y259*参数!$B$13,卡牌总表!Y259*参数!$B$39)+IF(卡牌总表!AE259&lt;0,卡牌总表!AE259*参数!$B$13,卡牌总表!AE259*参数!$B$12)*参数!$B$2+卡牌总表!AR259*参数!$B$15+卡牌总表!AC259*参数!$B$11+卡牌总表!AF259*参数!$B$40*参数!$B$2+卡牌总表!AG259*参数!$B$44*参数!$B$2+卡牌总表!AH259*参数!$B$6*参数!$B$2+卡牌总表!AI259*参数!$B$39*参数!$B$2+卡牌总表!AJ259*参数!$B$6*参数!$B$2+卡牌总表!AA259*参数!$B$13-卡牌总表!U259*参数!$B$14-卡牌总表!AD259*参数!$B$13+IF(ISNUMBER(卡牌总表!AU259),卡牌总表!AU259*参数!$B$38,0)-卡牌总表!AV259*参数!$B$41-卡牌总表!AW259*参数!$B$14</f>
        <v>5.6</v>
      </c>
      <c r="M259">
        <f>IF(AND(卡牌总表!F259="能力",卡牌总表!AL259="能力持续"),参数!$B$2*参数!$B$3,0)</f>
        <v>0</v>
      </c>
      <c r="N259">
        <f t="shared" si="14"/>
        <v>5.6</v>
      </c>
      <c r="O259">
        <f>IFERROR(MAX(IF(K259 &gt; 参数!$B$17,参数!$B$17+SQRT(K259-参数!$B$17)*参数!$B$18,K259)-MAX(G259,0)*参数!$B$10,0)/MAX(G259,0.4),0)</f>
        <v>7.7499999999999991</v>
      </c>
      <c r="P259">
        <f>IFERROR(MAX(IF(N259 &gt; 参数!$B$17,参数!$B$17+SQRT(N259-参数!$B$17)*参数!$B$18,N259)-MAX(H259,0)*参数!$B$10,0)/MAX(H259,0.4),0)</f>
        <v>10.999999999999998</v>
      </c>
      <c r="Q259">
        <f>卡牌总表!AO259</f>
        <v>0</v>
      </c>
    </row>
    <row r="260" spans="1:17" x14ac:dyDescent="0.3">
      <c r="A260">
        <f t="shared" si="12"/>
        <v>259</v>
      </c>
      <c r="B260" t="str">
        <f>卡牌总表!B260</f>
        <v>regent_cosmic_indifference</v>
      </c>
      <c r="C260" t="str">
        <f>卡牌总表!D260</f>
        <v>宇宙冷漠</v>
      </c>
      <c r="D260" t="str">
        <f>卡牌总表!F260</f>
        <v>技能</v>
      </c>
      <c r="E260">
        <f>卡牌总表!AL260</f>
        <v>0</v>
      </c>
      <c r="F260">
        <f>卡牌总表!AN260</f>
        <v>0</v>
      </c>
      <c r="G260">
        <f>卡牌总表!AP260</f>
        <v>1</v>
      </c>
      <c r="H260">
        <f>IF(ISNUMBER(卡牌总表!H260),IF(AND(卡牌总表!H260=0,卡牌总表!V260=0,卡牌总表!AK260="none"),0.4,IF(卡牌总表!AK260="exhaust",MAX(卡牌总表!H260-卡牌总表!V260,0.4),IF(卡牌总表!AK260="ethereal",MAX(卡牌总表!H260-卡牌总表!V260,0.4),MAX(卡牌总表!H260-卡牌总表!V260,0.4)))),IF(OR(卡牌总表!H260="X",卡牌总表!H260="∞"),0.4,0.4))</f>
        <v>1</v>
      </c>
      <c r="I260">
        <f>卡牌总表!M260*卡牌总表!O260*参数!$B$5*IF(AND(卡牌总表!F260="能力",卡牌总表!AL260="能力持续"),参数!$B$2,1)+卡牌总表!P260*参数!$B$6*IF(AND(卡牌总表!F260="能力",卡牌总表!AL260="能力持续"),参数!$B$2,1)+卡牌总表!R260*参数!$B$7*IF(AND(卡牌总表!F260="能力",卡牌总表!AL260="能力持续"),参数!$B$2,1)+卡牌总表!V260*参数!$B$8+IF(卡牌总表!X260&lt;0,卡牌总表!X260*参数!$B$13,卡牌总表!X260*参数!$B$39)+IF(卡牌总表!AE260&lt;0,卡牌总表!AE260*参数!$B$13,卡牌总表!AE260*参数!$B$12)*参数!$B$2+卡牌总表!AQ260*参数!$B$15+卡牌总表!AB260*参数!$B$11+卡牌总表!AF260*参数!$B$40*参数!$B$2+卡牌总表!AG260*参数!$B$44*参数!$B$2+卡牌总表!AH260*参数!$B$6*参数!$B$2+卡牌总表!AI260*参数!$B$39*参数!$B$2+卡牌总表!AJ260*参数!$B$6*参数!$B$2+卡牌总表!Z260*参数!$B$13-卡牌总表!T260*参数!$B$14-卡牌总表!AD260*参数!$B$13+IF(ISNUMBER(卡牌总表!AU260),卡牌总表!AU260*参数!$B$38,0)-卡牌总表!AV260*参数!$B$41-卡牌总表!AW260*参数!$B$14</f>
        <v>6.6000000000000005</v>
      </c>
      <c r="J260">
        <f>IF(AND(卡牌总表!F260="能力",卡牌总表!AL260="能力持续"),(参数!$B$2-1)*参数!$B$3,0)</f>
        <v>0</v>
      </c>
      <c r="K260">
        <f t="shared" si="13"/>
        <v>6.6000000000000005</v>
      </c>
      <c r="L260">
        <f>卡牌总表!N260*卡牌总表!O260*参数!$B$5*IF(AND(卡牌总表!F260="能力",卡牌总表!AL260="能力持续"),参数!$B$2,1)+卡牌总表!Q260*参数!$B$6*IF(AND(卡牌总表!F260="能力",卡牌总表!AL260="能力持续"),参数!$B$2,1)+卡牌总表!S260*参数!$B$7*IF(AND(卡牌总表!F260="能力",卡牌总表!AL260="能力持续"),参数!$B$2,1)+卡牌总表!W260*参数!$B$8+IF(卡牌总表!Y260&lt;0,卡牌总表!Y260*参数!$B$13,卡牌总表!Y260*参数!$B$39)+IF(卡牌总表!AE260&lt;0,卡牌总表!AE260*参数!$B$13,卡牌总表!AE260*参数!$B$12)*参数!$B$2+卡牌总表!AR260*参数!$B$15+卡牌总表!AC260*参数!$B$11+卡牌总表!AF260*参数!$B$40*参数!$B$2+卡牌总表!AG260*参数!$B$44*参数!$B$2+卡牌总表!AH260*参数!$B$6*参数!$B$2+卡牌总表!AI260*参数!$B$39*参数!$B$2+卡牌总表!AJ260*参数!$B$6*参数!$B$2+卡牌总表!AA260*参数!$B$13-卡牌总表!U260*参数!$B$14-卡牌总表!AD260*参数!$B$13+IF(ISNUMBER(卡牌总表!AU260),卡牌总表!AU260*参数!$B$38,0)-卡牌总表!AV260*参数!$B$41-卡牌总表!AW260*参数!$B$14</f>
        <v>9.9</v>
      </c>
      <c r="M260">
        <f>IF(AND(卡牌总表!F260="能力",卡牌总表!AL260="能力持续"),参数!$B$2*参数!$B$3,0)</f>
        <v>0</v>
      </c>
      <c r="N260">
        <f t="shared" si="14"/>
        <v>9.9</v>
      </c>
      <c r="O260">
        <f>IFERROR(MAX(IF(K260 &gt; 参数!$B$17,参数!$B$17+SQRT(K260-参数!$B$17)*参数!$B$18,K260)-MAX(G260,0)*参数!$B$10,0)/MAX(G260,0.4),0)</f>
        <v>3.6000000000000005</v>
      </c>
      <c r="P260">
        <f>IFERROR(MAX(IF(N260 &gt; 参数!$B$17,参数!$B$17+SQRT(N260-参数!$B$17)*参数!$B$18,N260)-MAX(H260,0)*参数!$B$10,0)/MAX(H260,0.4),0)</f>
        <v>6.9</v>
      </c>
      <c r="Q260">
        <f>卡牌总表!AO260</f>
        <v>0</v>
      </c>
    </row>
    <row r="261" spans="1:17" x14ac:dyDescent="0.3">
      <c r="A261">
        <f t="shared" si="12"/>
        <v>260</v>
      </c>
      <c r="B261" t="str">
        <f>卡牌总表!B261</f>
        <v>regent_crash_landing</v>
      </c>
      <c r="C261" t="str">
        <f>卡牌总表!D261</f>
        <v>坠落</v>
      </c>
      <c r="D261" t="str">
        <f>卡牌总表!F261</f>
        <v>攻击</v>
      </c>
      <c r="E261">
        <f>卡牌总表!AL261</f>
        <v>0</v>
      </c>
      <c r="F261" t="str">
        <f>卡牌总表!AN261</f>
        <v>群体攻击</v>
      </c>
      <c r="G261">
        <f>卡牌总表!AP261</f>
        <v>1</v>
      </c>
      <c r="H261">
        <f>IF(ISNUMBER(卡牌总表!H261),IF(AND(卡牌总表!H261=0,卡牌总表!V261=0,卡牌总表!AK261="none"),0.4,IF(卡牌总表!AK261="exhaust",MAX(卡牌总表!H261-卡牌总表!V261,0.4),IF(卡牌总表!AK261="ethereal",MAX(卡牌总表!H261-卡牌总表!V261,0.4),MAX(卡牌总表!H261-卡牌总表!V261,0.4)))),IF(OR(卡牌总表!H261="X",卡牌总表!H261="∞"),0.4,0.4))</f>
        <v>1</v>
      </c>
      <c r="I261">
        <f>卡牌总表!M261*卡牌总表!O261*参数!$B$5*IF(AND(卡牌总表!F261="能力",卡牌总表!AL261="能力持续"),参数!$B$2,1)+卡牌总表!P261*参数!$B$6*IF(AND(卡牌总表!F261="能力",卡牌总表!AL261="能力持续"),参数!$B$2,1)+卡牌总表!R261*参数!$B$7*IF(AND(卡牌总表!F261="能力",卡牌总表!AL261="能力持续"),参数!$B$2,1)+卡牌总表!V261*参数!$B$8+IF(卡牌总表!X261&lt;0,卡牌总表!X261*参数!$B$13,卡牌总表!X261*参数!$B$39)+IF(卡牌总表!AE261&lt;0,卡牌总表!AE261*参数!$B$13,卡牌总表!AE261*参数!$B$12)*参数!$B$2+卡牌总表!AQ261*参数!$B$15+卡牌总表!AB261*参数!$B$11+卡牌总表!AF261*参数!$B$40*参数!$B$2+卡牌总表!AG261*参数!$B$44*参数!$B$2+卡牌总表!AH261*参数!$B$6*参数!$B$2+卡牌总表!AI261*参数!$B$39*参数!$B$2+卡牌总表!AJ261*参数!$B$6*参数!$B$2+卡牌总表!Z261*参数!$B$13-卡牌总表!T261*参数!$B$14-卡牌总表!AD261*参数!$B$13+IF(ISNUMBER(卡牌总表!AU261),卡牌总表!AU261*参数!$B$38,0)-卡牌总表!AV261*参数!$B$41-卡牌总表!AW261*参数!$B$14</f>
        <v>13.5</v>
      </c>
      <c r="J261">
        <f>IF(AND(卡牌总表!F261="能力",卡牌总表!AL261="能力持续"),(参数!$B$2-1)*参数!$B$3,0)</f>
        <v>0</v>
      </c>
      <c r="K261">
        <f t="shared" si="13"/>
        <v>13.5</v>
      </c>
      <c r="L261">
        <f>卡牌总表!N261*卡牌总表!O261*参数!$B$5*IF(AND(卡牌总表!F261="能力",卡牌总表!AL261="能力持续"),参数!$B$2,1)+卡牌总表!Q261*参数!$B$6*IF(AND(卡牌总表!F261="能力",卡牌总表!AL261="能力持续"),参数!$B$2,1)+卡牌总表!S261*参数!$B$7*IF(AND(卡牌总表!F261="能力",卡牌总表!AL261="能力持续"),参数!$B$2,1)+卡牌总表!W261*参数!$B$8+IF(卡牌总表!Y261&lt;0,卡牌总表!Y261*参数!$B$13,卡牌总表!Y261*参数!$B$39)+IF(卡牌总表!AE261&lt;0,卡牌总表!AE261*参数!$B$13,卡牌总表!AE261*参数!$B$12)*参数!$B$2+卡牌总表!AR261*参数!$B$15+卡牌总表!AC261*参数!$B$11+卡牌总表!AF261*参数!$B$40*参数!$B$2+卡牌总表!AG261*参数!$B$44*参数!$B$2+卡牌总表!AH261*参数!$B$6*参数!$B$2+卡牌总表!AI261*参数!$B$39*参数!$B$2+卡牌总表!AJ261*参数!$B$6*参数!$B$2+卡牌总表!AA261*参数!$B$13-卡牌总表!U261*参数!$B$14-卡牌总表!AD261*参数!$B$13+IF(ISNUMBER(卡牌总表!AU261),卡牌总表!AU261*参数!$B$38,0)-卡牌总表!AV261*参数!$B$41-卡牌总表!AW261*参数!$B$14</f>
        <v>18.5</v>
      </c>
      <c r="M261">
        <f>IF(AND(卡牌总表!F261="能力",卡牌总表!AL261="能力持续"),参数!$B$2*参数!$B$3,0)</f>
        <v>0</v>
      </c>
      <c r="N261">
        <f t="shared" si="14"/>
        <v>18.5</v>
      </c>
      <c r="O261">
        <f>IFERROR(MAX(IF(K261 &gt; 参数!$B$17,参数!$B$17+SQRT(K261-参数!$B$17)*参数!$B$18,K261)-MAX(G261,0)*参数!$B$10,0)/MAX(G261,0.4),0)</f>
        <v>9.8062430400804566</v>
      </c>
      <c r="P261">
        <f>IFERROR(MAX(IF(N261 &gt; 参数!$B$17,参数!$B$17+SQRT(N261-参数!$B$17)*参数!$B$18,N261)-MAX(H261,0)*参数!$B$10,0)/MAX(H261,0.4),0)</f>
        <v>11.373213921133976</v>
      </c>
      <c r="Q261">
        <f>卡牌总表!AO261</f>
        <v>0</v>
      </c>
    </row>
    <row r="262" spans="1:17" x14ac:dyDescent="0.3">
      <c r="A262">
        <f t="shared" si="12"/>
        <v>261</v>
      </c>
      <c r="B262" t="str">
        <f>卡牌总表!B262</f>
        <v>regent_crescent_spear</v>
      </c>
      <c r="C262" t="str">
        <f>卡牌总表!D262</f>
        <v>新月长矛</v>
      </c>
      <c r="D262" t="str">
        <f>卡牌总表!F262</f>
        <v>攻击</v>
      </c>
      <c r="E262">
        <f>卡牌总表!AL262</f>
        <v>0</v>
      </c>
      <c r="F262">
        <f>卡牌总表!AN262</f>
        <v>0</v>
      </c>
      <c r="G262">
        <f>卡牌总表!AP262</f>
        <v>1</v>
      </c>
      <c r="H262">
        <f>IF(ISNUMBER(卡牌总表!H262),IF(AND(卡牌总表!H262=0,卡牌总表!V262=0,卡牌总表!AK262="none"),0.4,IF(卡牌总表!AK262="exhaust",MAX(卡牌总表!H262-卡牌总表!V262,0.4),IF(卡牌总表!AK262="ethereal",MAX(卡牌总表!H262-卡牌总表!V262,0.4),MAX(卡牌总表!H262-卡牌总表!V262,0.4)))),IF(OR(卡牌总表!H262="X",卡牌总表!H262="∞"),0.4,0.4))</f>
        <v>1</v>
      </c>
      <c r="I262">
        <f>卡牌总表!M262*卡牌总表!O262*参数!$B$5*IF(AND(卡牌总表!F262="能力",卡牌总表!AL262="能力持续"),参数!$B$2,1)+卡牌总表!P262*参数!$B$6*IF(AND(卡牌总表!F262="能力",卡牌总表!AL262="能力持续"),参数!$B$2,1)+卡牌总表!R262*参数!$B$7*IF(AND(卡牌总表!F262="能力",卡牌总表!AL262="能力持续"),参数!$B$2,1)+卡牌总表!V262*参数!$B$8+IF(卡牌总表!X262&lt;0,卡牌总表!X262*参数!$B$13,卡牌总表!X262*参数!$B$39)+IF(卡牌总表!AE262&lt;0,卡牌总表!AE262*参数!$B$13,卡牌总表!AE262*参数!$B$12)*参数!$B$2+卡牌总表!AQ262*参数!$B$15+卡牌总表!AB262*参数!$B$11+卡牌总表!AF262*参数!$B$40*参数!$B$2+卡牌总表!AG262*参数!$B$44*参数!$B$2+卡牌总表!AH262*参数!$B$6*参数!$B$2+卡牌总表!AI262*参数!$B$39*参数!$B$2+卡牌总表!AJ262*参数!$B$6*参数!$B$2+卡牌总表!Z262*参数!$B$13-卡牌总表!T262*参数!$B$14-卡牌总表!AD262*参数!$B$13+IF(ISNUMBER(卡牌总表!AU262),卡牌总表!AU262*参数!$B$38,0)-卡牌总表!AV262*参数!$B$41-卡牌总表!AW262*参数!$B$14</f>
        <v>12.5</v>
      </c>
      <c r="J262">
        <f>IF(AND(卡牌总表!F262="能力",卡牌总表!AL262="能力持续"),(参数!$B$2-1)*参数!$B$3,0)</f>
        <v>0</v>
      </c>
      <c r="K262">
        <f t="shared" si="13"/>
        <v>12.5</v>
      </c>
      <c r="L262">
        <f>卡牌总表!N262*卡牌总表!O262*参数!$B$5*IF(AND(卡牌总表!F262="能力",卡牌总表!AL262="能力持续"),参数!$B$2,1)+卡牌总表!Q262*参数!$B$6*IF(AND(卡牌总表!F262="能力",卡牌总表!AL262="能力持续"),参数!$B$2,1)+卡牌总表!S262*参数!$B$7*IF(AND(卡牌总表!F262="能力",卡牌总表!AL262="能力持续"),参数!$B$2,1)+卡牌总表!W262*参数!$B$8+IF(卡牌总表!Y262&lt;0,卡牌总表!Y262*参数!$B$13,卡牌总表!Y262*参数!$B$39)+IF(卡牌总表!AE262&lt;0,卡牌总表!AE262*参数!$B$13,卡牌总表!AE262*参数!$B$12)*参数!$B$2+卡牌总表!AR262*参数!$B$15+卡牌总表!AC262*参数!$B$11+卡牌总表!AF262*参数!$B$40*参数!$B$2+卡牌总表!AG262*参数!$B$44*参数!$B$2+卡牌总表!AH262*参数!$B$6*参数!$B$2+卡牌总表!AI262*参数!$B$39*参数!$B$2+卡牌总表!AJ262*参数!$B$6*参数!$B$2+卡牌总表!AA262*参数!$B$13-卡牌总表!U262*参数!$B$14-卡牌总表!AD262*参数!$B$13+IF(ISNUMBER(卡牌总表!AU262),卡牌总表!AU262*参数!$B$38,0)-卡牌总表!AV262*参数!$B$41-卡牌总表!AW262*参数!$B$14</f>
        <v>15.5</v>
      </c>
      <c r="M262">
        <f>IF(AND(卡牌总表!F262="能力",卡牌总表!AL262="能力持续"),参数!$B$2*参数!$B$3,0)</f>
        <v>0</v>
      </c>
      <c r="N262">
        <f t="shared" si="14"/>
        <v>15.5</v>
      </c>
      <c r="O262">
        <f>IFERROR(MAX(IF(K262 &gt; 参数!$B$17,参数!$B$17+SQRT(K262-参数!$B$17)*参数!$B$18,K262)-MAX(G262,0)*参数!$B$10,0)/MAX(G262,0.4),0)</f>
        <v>9.3717082451262854</v>
      </c>
      <c r="P262">
        <f>IFERROR(MAX(IF(N262 &gt; 参数!$B$17,参数!$B$17+SQRT(N262-参数!$B$17)*参数!$B$18,N262)-MAX(H262,0)*参数!$B$10,0)/MAX(H262,0.4),0)</f>
        <v>10.517811819867571</v>
      </c>
      <c r="Q262">
        <f>卡牌总表!AO262</f>
        <v>0</v>
      </c>
    </row>
    <row r="263" spans="1:17" x14ac:dyDescent="0.3">
      <c r="A263">
        <f t="shared" si="12"/>
        <v>262</v>
      </c>
      <c r="B263" t="str">
        <f>卡牌总表!B263</f>
        <v>regent_crush_under</v>
      </c>
      <c r="C263" t="str">
        <f>卡牌总表!D263</f>
        <v>下砸</v>
      </c>
      <c r="D263" t="str">
        <f>卡牌总表!F263</f>
        <v>攻击</v>
      </c>
      <c r="E263">
        <f>卡牌总表!AL263</f>
        <v>0</v>
      </c>
      <c r="F263" t="str">
        <f>卡牌总表!AN263</f>
        <v>群体攻击，本回合</v>
      </c>
      <c r="G263">
        <f>卡牌总表!AP263</f>
        <v>1</v>
      </c>
      <c r="H263">
        <f>IF(ISNUMBER(卡牌总表!H263),IF(AND(卡牌总表!H263=0,卡牌总表!V263=0,卡牌总表!AK263="none"),0.4,IF(卡牌总表!AK263="exhaust",MAX(卡牌总表!H263-卡牌总表!V263,0.4),IF(卡牌总表!AK263="ethereal",MAX(卡牌总表!H263-卡牌总表!V263,0.4),MAX(卡牌总表!H263-卡牌总表!V263,0.4)))),IF(OR(卡牌总表!H263="X",卡牌总表!H263="∞"),0.4,0.4))</f>
        <v>1</v>
      </c>
      <c r="I263">
        <f>卡牌总表!M263*卡牌总表!O263*参数!$B$5*IF(AND(卡牌总表!F263="能力",卡牌总表!AL263="能力持续"),参数!$B$2,1)+卡牌总表!P263*参数!$B$6*IF(AND(卡牌总表!F263="能力",卡牌总表!AL263="能力持续"),参数!$B$2,1)+卡牌总表!R263*参数!$B$7*IF(AND(卡牌总表!F263="能力",卡牌总表!AL263="能力持续"),参数!$B$2,1)+卡牌总表!V263*参数!$B$8+IF(卡牌总表!X263&lt;0,卡牌总表!X263*参数!$B$13,卡牌总表!X263*参数!$B$39)+IF(卡牌总表!AE263&lt;0,卡牌总表!AE263*参数!$B$13,卡牌总表!AE263*参数!$B$12)*参数!$B$2+卡牌总表!AQ263*参数!$B$15+卡牌总表!AB263*参数!$B$11+卡牌总表!AF263*参数!$B$40*参数!$B$2+卡牌总表!AG263*参数!$B$44*参数!$B$2+卡牌总表!AH263*参数!$B$6*参数!$B$2+卡牌总表!AI263*参数!$B$39*参数!$B$2+卡牌总表!AJ263*参数!$B$6*参数!$B$2+卡牌总表!Z263*参数!$B$13-卡牌总表!T263*参数!$B$14-卡牌总表!AD263*参数!$B$13+IF(ISNUMBER(卡牌总表!AU263),卡牌总表!AU263*参数!$B$38,0)-卡牌总表!AV263*参数!$B$41-卡牌总表!AW263*参数!$B$14</f>
        <v>8</v>
      </c>
      <c r="J263">
        <f>IF(AND(卡牌总表!F263="能力",卡牌总表!AL263="能力持续"),(参数!$B$2-1)*参数!$B$3,0)</f>
        <v>0</v>
      </c>
      <c r="K263">
        <f t="shared" si="13"/>
        <v>8</v>
      </c>
      <c r="L263">
        <f>卡牌总表!N263*卡牌总表!O263*参数!$B$5*IF(AND(卡牌总表!F263="能力",卡牌总表!AL263="能力持续"),参数!$B$2,1)+卡牌总表!Q263*参数!$B$6*IF(AND(卡牌总表!F263="能力",卡牌总表!AL263="能力持续"),参数!$B$2,1)+卡牌总表!S263*参数!$B$7*IF(AND(卡牌总表!F263="能力",卡牌总表!AL263="能力持续"),参数!$B$2,1)+卡牌总表!W263*参数!$B$8+IF(卡牌总表!Y263&lt;0,卡牌总表!Y263*参数!$B$13,卡牌总表!Y263*参数!$B$39)+IF(卡牌总表!AE263&lt;0,卡牌总表!AE263*参数!$B$13,卡牌总表!AE263*参数!$B$12)*参数!$B$2+卡牌总表!AR263*参数!$B$15+卡牌总表!AC263*参数!$B$11+卡牌总表!AF263*参数!$B$40*参数!$B$2+卡牌总表!AG263*参数!$B$44*参数!$B$2+卡牌总表!AH263*参数!$B$6*参数!$B$2+卡牌总表!AI263*参数!$B$39*参数!$B$2+卡牌总表!AJ263*参数!$B$6*参数!$B$2+卡牌总表!AA263*参数!$B$13-卡牌总表!U263*参数!$B$14-卡牌总表!AD263*参数!$B$13+IF(ISNUMBER(卡牌总表!AU263),卡牌总表!AU263*参数!$B$38,0)-卡牌总表!AV263*参数!$B$41-卡牌总表!AW263*参数!$B$14</f>
        <v>9</v>
      </c>
      <c r="M263">
        <f>IF(AND(卡牌总表!F263="能力",卡牌总表!AL263="能力持续"),参数!$B$2*参数!$B$3,0)</f>
        <v>0</v>
      </c>
      <c r="N263">
        <f t="shared" si="14"/>
        <v>9</v>
      </c>
      <c r="O263">
        <f>IFERROR(MAX(IF(K263 &gt; 参数!$B$17,参数!$B$17+SQRT(K263-参数!$B$17)*参数!$B$18,K263)-MAX(G263,0)*参数!$B$10,0)/MAX(G263,0.4),0)</f>
        <v>5</v>
      </c>
      <c r="P263">
        <f>IFERROR(MAX(IF(N263 &gt; 参数!$B$17,参数!$B$17+SQRT(N263-参数!$B$17)*参数!$B$18,N263)-MAX(H263,0)*参数!$B$10,0)/MAX(H263,0.4),0)</f>
        <v>6</v>
      </c>
      <c r="Q263" t="str">
        <f>卡牌总表!AO263</f>
        <v>减敌方力量1(本回合)</v>
      </c>
    </row>
    <row r="264" spans="1:17" x14ac:dyDescent="0.3">
      <c r="A264">
        <f t="shared" si="12"/>
        <v>263</v>
      </c>
      <c r="B264" t="str">
        <f>卡牌总表!B264</f>
        <v>regent_decisions_decisions</v>
      </c>
      <c r="C264" t="str">
        <f>卡牌总表!D264</f>
        <v>抉择</v>
      </c>
      <c r="D264" t="str">
        <f>卡牌总表!F264</f>
        <v>技能</v>
      </c>
      <c r="E264">
        <f>卡牌总表!AL264</f>
        <v>0</v>
      </c>
      <c r="F264">
        <f>卡牌总表!AN264</f>
        <v>0</v>
      </c>
      <c r="G264">
        <f>卡牌总表!AP264</f>
        <v>0.4</v>
      </c>
      <c r="H264">
        <f>IF(ISNUMBER(卡牌总表!H264),IF(AND(卡牌总表!H264=0,卡牌总表!V264=0,卡牌总表!AK264="none"),0.4,IF(卡牌总表!AK264="exhaust",MAX(卡牌总表!H264-卡牌总表!V264,0.4),IF(卡牌总表!AK264="ethereal",MAX(卡牌总表!H264-卡牌总表!V264,0.4),MAX(卡牌总表!H264-卡牌总表!V264,0.4)))),IF(OR(卡牌总表!H264="X",卡牌总表!H264="∞"),0.4,0.4))</f>
        <v>0.4</v>
      </c>
      <c r="I264">
        <f>卡牌总表!M264*卡牌总表!O264*参数!$B$5*IF(AND(卡牌总表!F264="能力",卡牌总表!AL264="能力持续"),参数!$B$2,1)+卡牌总表!P264*参数!$B$6*IF(AND(卡牌总表!F264="能力",卡牌总表!AL264="能力持续"),参数!$B$2,1)+卡牌总表!R264*参数!$B$7*IF(AND(卡牌总表!F264="能力",卡牌总表!AL264="能力持续"),参数!$B$2,1)+卡牌总表!V264*参数!$B$8+IF(卡牌总表!X264&lt;0,卡牌总表!X264*参数!$B$13,卡牌总表!X264*参数!$B$39)+IF(卡牌总表!AE264&lt;0,卡牌总表!AE264*参数!$B$13,卡牌总表!AE264*参数!$B$12)*参数!$B$2+卡牌总表!AQ264*参数!$B$15+卡牌总表!AB264*参数!$B$11+卡牌总表!AF264*参数!$B$40*参数!$B$2+卡牌总表!AG264*参数!$B$44*参数!$B$2+卡牌总表!AH264*参数!$B$6*参数!$B$2+卡牌总表!AI264*参数!$B$39*参数!$B$2+卡牌总表!AJ264*参数!$B$6*参数!$B$2+卡牌总表!Z264*参数!$B$13-卡牌总表!T264*参数!$B$14-卡牌总表!AD264*参数!$B$13+IF(ISNUMBER(卡牌总表!AU264),卡牌总表!AU264*参数!$B$38,0)-卡牌总表!AV264*参数!$B$41-卡牌总表!AW264*参数!$B$14</f>
        <v>65.099999999999994</v>
      </c>
      <c r="J264">
        <f>IF(AND(卡牌总表!F264="能力",卡牌总表!AL264="能力持续"),(参数!$B$2-1)*参数!$B$3,0)</f>
        <v>0</v>
      </c>
      <c r="K264">
        <f t="shared" si="13"/>
        <v>65.099999999999994</v>
      </c>
      <c r="L264">
        <f>卡牌总表!N264*卡牌总表!O264*参数!$B$5*IF(AND(卡牌总表!F264="能力",卡牌总表!AL264="能力持续"),参数!$B$2,1)+卡牌总表!Q264*参数!$B$6*IF(AND(卡牌总表!F264="能力",卡牌总表!AL264="能力持续"),参数!$B$2,1)+卡牌总表!S264*参数!$B$7*IF(AND(卡牌总表!F264="能力",卡牌总表!AL264="能力持续"),参数!$B$2,1)+卡牌总表!W264*参数!$B$8+IF(卡牌总表!Y264&lt;0,卡牌总表!Y264*参数!$B$13,卡牌总表!Y264*参数!$B$39)+IF(卡牌总表!AE264&lt;0,卡牌总表!AE264*参数!$B$13,卡牌总表!AE264*参数!$B$12)*参数!$B$2+卡牌总表!AR264*参数!$B$15+卡牌总表!AC264*参数!$B$11+卡牌总表!AF264*参数!$B$40*参数!$B$2+卡牌总表!AG264*参数!$B$44*参数!$B$2+卡牌总表!AH264*参数!$B$6*参数!$B$2+卡牌总表!AI264*参数!$B$39*参数!$B$2+卡牌总表!AJ264*参数!$B$6*参数!$B$2+卡牌总表!AA264*参数!$B$13-卡牌总表!U264*参数!$B$14-卡牌总表!AD264*参数!$B$13+IF(ISNUMBER(卡牌总表!AU264),卡牌总表!AU264*参数!$B$38,0)-卡牌总表!AV264*参数!$B$41-卡牌总表!AW264*参数!$B$14</f>
        <v>-5.5</v>
      </c>
      <c r="M264">
        <f>IF(AND(卡牌总表!F264="能力",卡牌总表!AL264="能力持续"),参数!$B$2*参数!$B$3,0)</f>
        <v>0</v>
      </c>
      <c r="N264">
        <f t="shared" si="14"/>
        <v>-5.5</v>
      </c>
      <c r="O264">
        <f>IFERROR(MAX(IF(K264 &gt; 参数!$B$17,参数!$B$17+SQRT(K264-参数!$B$17)*参数!$B$18,K264)-MAX(G264,0)*参数!$B$10,0)/MAX(G264,0.4),0)</f>
        <v>49.836015339843456</v>
      </c>
      <c r="P264">
        <f>IFERROR(MAX(IF(N264 &gt; 参数!$B$17,参数!$B$17+SQRT(N264-参数!$B$17)*参数!$B$18,N264)-MAX(H264,0)*参数!$B$10,0)/MAX(H264,0.4),0)</f>
        <v>0</v>
      </c>
      <c r="Q264">
        <f>卡牌总表!AO264</f>
        <v>0</v>
      </c>
    </row>
    <row r="265" spans="1:17" x14ac:dyDescent="0.3">
      <c r="A265">
        <f t="shared" si="12"/>
        <v>264</v>
      </c>
      <c r="B265" t="str">
        <f>卡牌总表!B265</f>
        <v>regent_defend</v>
      </c>
      <c r="C265" t="str">
        <f>卡牌总表!D265</f>
        <v>防御</v>
      </c>
      <c r="D265" t="str">
        <f>卡牌总表!F265</f>
        <v>技能</v>
      </c>
      <c r="E265">
        <f>卡牌总表!AL265</f>
        <v>0</v>
      </c>
      <c r="F265">
        <f>卡牌总表!AN265</f>
        <v>0</v>
      </c>
      <c r="G265">
        <f>卡牌总表!AP265</f>
        <v>1</v>
      </c>
      <c r="H265">
        <f>IF(ISNUMBER(卡牌总表!H265),IF(AND(卡牌总表!H265=0,卡牌总表!V265=0,卡牌总表!AK265="none"),0.4,IF(卡牌总表!AK265="exhaust",MAX(卡牌总表!H265-卡牌总表!V265,0.4),IF(卡牌总表!AK265="ethereal",MAX(卡牌总表!H265-卡牌总表!V265,0.4),MAX(卡牌总表!H265-卡牌总表!V265,0.4)))),IF(OR(卡牌总表!H265="X",卡牌总表!H265="∞"),0.4,0.4))</f>
        <v>1</v>
      </c>
      <c r="I265">
        <f>卡牌总表!M265*卡牌总表!O265*参数!$B$5*IF(AND(卡牌总表!F265="能力",卡牌总表!AL265="能力持续"),参数!$B$2,1)+卡牌总表!P265*参数!$B$6*IF(AND(卡牌总表!F265="能力",卡牌总表!AL265="能力持续"),参数!$B$2,1)+卡牌总表!R265*参数!$B$7*IF(AND(卡牌总表!F265="能力",卡牌总表!AL265="能力持续"),参数!$B$2,1)+卡牌总表!V265*参数!$B$8+IF(卡牌总表!X265&lt;0,卡牌总表!X265*参数!$B$13,卡牌总表!X265*参数!$B$39)+IF(卡牌总表!AE265&lt;0,卡牌总表!AE265*参数!$B$13,卡牌总表!AE265*参数!$B$12)*参数!$B$2+卡牌总表!AQ265*参数!$B$15+卡牌总表!AB265*参数!$B$11+卡牌总表!AF265*参数!$B$40*参数!$B$2+卡牌总表!AG265*参数!$B$44*参数!$B$2+卡牌总表!AH265*参数!$B$6*参数!$B$2+卡牌总表!AI265*参数!$B$39*参数!$B$2+卡牌总表!AJ265*参数!$B$6*参数!$B$2+卡牌总表!Z265*参数!$B$13-卡牌总表!T265*参数!$B$14-卡牌总表!AD265*参数!$B$13+IF(ISNUMBER(卡牌总表!AU265),卡牌总表!AU265*参数!$B$38,0)-卡牌总表!AV265*参数!$B$41-卡牌总表!AW265*参数!$B$14</f>
        <v>5.5</v>
      </c>
      <c r="J265">
        <f>IF(AND(卡牌总表!F265="能力",卡牌总表!AL265="能力持续"),(参数!$B$2-1)*参数!$B$3,0)</f>
        <v>0</v>
      </c>
      <c r="K265">
        <f t="shared" si="13"/>
        <v>5.5</v>
      </c>
      <c r="L265">
        <f>卡牌总表!N265*卡牌总表!O265*参数!$B$5*IF(AND(卡牌总表!F265="能力",卡牌总表!AL265="能力持续"),参数!$B$2,1)+卡牌总表!Q265*参数!$B$6*IF(AND(卡牌总表!F265="能力",卡牌总表!AL265="能力持续"),参数!$B$2,1)+卡牌总表!S265*参数!$B$7*IF(AND(卡牌总表!F265="能力",卡牌总表!AL265="能力持续"),参数!$B$2,1)+卡牌总表!W265*参数!$B$8+IF(卡牌总表!Y265&lt;0,卡牌总表!Y265*参数!$B$13,卡牌总表!Y265*参数!$B$39)+IF(卡牌总表!AE265&lt;0,卡牌总表!AE265*参数!$B$13,卡牌总表!AE265*参数!$B$12)*参数!$B$2+卡牌总表!AR265*参数!$B$15+卡牌总表!AC265*参数!$B$11+卡牌总表!AF265*参数!$B$40*参数!$B$2+卡牌总表!AG265*参数!$B$44*参数!$B$2+卡牌总表!AH265*参数!$B$6*参数!$B$2+卡牌总表!AI265*参数!$B$39*参数!$B$2+卡牌总表!AJ265*参数!$B$6*参数!$B$2+卡牌总表!AA265*参数!$B$13-卡牌总表!U265*参数!$B$14-卡牌总表!AD265*参数!$B$13+IF(ISNUMBER(卡牌总表!AU265),卡牌总表!AU265*参数!$B$38,0)-卡牌总表!AV265*参数!$B$41-卡牌总表!AW265*参数!$B$14</f>
        <v>8.8000000000000007</v>
      </c>
      <c r="M265">
        <f>IF(AND(卡牌总表!F265="能力",卡牌总表!AL265="能力持续"),参数!$B$2*参数!$B$3,0)</f>
        <v>0</v>
      </c>
      <c r="N265">
        <f t="shared" si="14"/>
        <v>8.8000000000000007</v>
      </c>
      <c r="O265">
        <f>IFERROR(MAX(IF(K265 &gt; 参数!$B$17,参数!$B$17+SQRT(K265-参数!$B$17)*参数!$B$18,K265)-MAX(G265,0)*参数!$B$10,0)/MAX(G265,0.4),0)</f>
        <v>2.5</v>
      </c>
      <c r="P265">
        <f>IFERROR(MAX(IF(N265 &gt; 参数!$B$17,参数!$B$17+SQRT(N265-参数!$B$17)*参数!$B$18,N265)-MAX(H265,0)*参数!$B$10,0)/MAX(H265,0.4),0)</f>
        <v>5.8000000000000007</v>
      </c>
      <c r="Q265">
        <f>卡牌总表!AO265</f>
        <v>0</v>
      </c>
    </row>
    <row r="266" spans="1:17" x14ac:dyDescent="0.3">
      <c r="A266">
        <f t="shared" si="12"/>
        <v>265</v>
      </c>
      <c r="B266" t="str">
        <f>卡牌总表!B266</f>
        <v>regent_devastate</v>
      </c>
      <c r="C266" t="str">
        <f>卡牌总表!D266</f>
        <v>葬送</v>
      </c>
      <c r="D266" t="str">
        <f>卡牌总表!F266</f>
        <v>攻击</v>
      </c>
      <c r="E266">
        <f>卡牌总表!AL266</f>
        <v>0</v>
      </c>
      <c r="F266">
        <f>卡牌总表!AN266</f>
        <v>0</v>
      </c>
      <c r="G266">
        <f>卡牌总表!AP266</f>
        <v>1</v>
      </c>
      <c r="H266">
        <f>IF(ISNUMBER(卡牌总表!H266),IF(AND(卡牌总表!H266=0,卡牌总表!V266=0,卡牌总表!AK266="none"),0.4,IF(卡牌总表!AK266="exhaust",MAX(卡牌总表!H266-卡牌总表!V266,0.4),IF(卡牌总表!AK266="ethereal",MAX(卡牌总表!H266-卡牌总表!V266,0.4),MAX(卡牌总表!H266-卡牌总表!V266,0.4)))),IF(OR(卡牌总表!H266="X",卡牌总表!H266="∞"),0.4,0.4))</f>
        <v>1</v>
      </c>
      <c r="I266">
        <f>卡牌总表!M266*卡牌总表!O266*参数!$B$5*IF(AND(卡牌总表!F266="能力",卡牌总表!AL266="能力持续"),参数!$B$2,1)+卡牌总表!P266*参数!$B$6*IF(AND(卡牌总表!F266="能力",卡牌总表!AL266="能力持续"),参数!$B$2,1)+卡牌总表!R266*参数!$B$7*IF(AND(卡牌总表!F266="能力",卡牌总表!AL266="能力持续"),参数!$B$2,1)+卡牌总表!V266*参数!$B$8+IF(卡牌总表!X266&lt;0,卡牌总表!X266*参数!$B$13,卡牌总表!X266*参数!$B$39)+IF(卡牌总表!AE266&lt;0,卡牌总表!AE266*参数!$B$13,卡牌总表!AE266*参数!$B$12)*参数!$B$2+卡牌总表!AQ266*参数!$B$15+卡牌总表!AB266*参数!$B$11+卡牌总表!AF266*参数!$B$40*参数!$B$2+卡牌总表!AG266*参数!$B$44*参数!$B$2+卡牌总表!AH266*参数!$B$6*参数!$B$2+卡牌总表!AI266*参数!$B$39*参数!$B$2+卡牌总表!AJ266*参数!$B$6*参数!$B$2+卡牌总表!Z266*参数!$B$13-卡牌总表!T266*参数!$B$14-卡牌总表!AD266*参数!$B$13+IF(ISNUMBER(卡牌总表!AU266),卡牌总表!AU266*参数!$B$38,0)-卡牌总表!AV266*参数!$B$41-卡牌总表!AW266*参数!$B$14</f>
        <v>24</v>
      </c>
      <c r="J266">
        <f>IF(AND(卡牌总表!F266="能力",卡牌总表!AL266="能力持续"),(参数!$B$2-1)*参数!$B$3,0)</f>
        <v>0</v>
      </c>
      <c r="K266">
        <f t="shared" si="13"/>
        <v>24</v>
      </c>
      <c r="L266">
        <f>卡牌总表!N266*卡牌总表!O266*参数!$B$5*IF(AND(卡牌总表!F266="能力",卡牌总表!AL266="能力持续"),参数!$B$2,1)+卡牌总表!Q266*参数!$B$6*IF(AND(卡牌总表!F266="能力",卡牌总表!AL266="能力持续"),参数!$B$2,1)+卡牌总表!S266*参数!$B$7*IF(AND(卡牌总表!F266="能力",卡牌总表!AL266="能力持续"),参数!$B$2,1)+卡牌总表!W266*参数!$B$8+IF(卡牌总表!Y266&lt;0,卡牌总表!Y266*参数!$B$13,卡牌总表!Y266*参数!$B$39)+IF(卡牌总表!AE266&lt;0,卡牌总表!AE266*参数!$B$13,卡牌总表!AE266*参数!$B$12)*参数!$B$2+卡牌总表!AR266*参数!$B$15+卡牌总表!AC266*参数!$B$11+卡牌总表!AF266*参数!$B$40*参数!$B$2+卡牌总表!AG266*参数!$B$44*参数!$B$2+卡牌总表!AH266*参数!$B$6*参数!$B$2+卡牌总表!AI266*参数!$B$39*参数!$B$2+卡牌总表!AJ266*参数!$B$6*参数!$B$2+卡牌总表!AA266*参数!$B$13-卡牌总表!U266*参数!$B$14-卡牌总表!AD266*参数!$B$13+IF(ISNUMBER(卡牌总表!AU266),卡牌总表!AU266*参数!$B$38,0)-卡牌总表!AV266*参数!$B$41-卡牌总表!AW266*参数!$B$14</f>
        <v>34</v>
      </c>
      <c r="M266">
        <f>IF(AND(卡牌总表!F266="能力",卡牌总表!AL266="能力持续"),参数!$B$2*参数!$B$3,0)</f>
        <v>0</v>
      </c>
      <c r="N266">
        <f t="shared" si="14"/>
        <v>34</v>
      </c>
      <c r="O266">
        <f>IFERROR(MAX(IF(K266 &gt; 参数!$B$17,参数!$B$17+SQRT(K266-参数!$B$17)*参数!$B$18,K266)-MAX(G266,0)*参数!$B$10,0)/MAX(G266,0.4),0)</f>
        <v>12.612486080160913</v>
      </c>
      <c r="P266">
        <f>IFERROR(MAX(IF(N266 &gt; 参数!$B$17,参数!$B$17+SQRT(N266-参数!$B$17)*参数!$B$18,N266)-MAX(H266,0)*参数!$B$10,0)/MAX(H266,0.4),0)</f>
        <v>14.348469228349533</v>
      </c>
      <c r="Q266">
        <f>卡牌总表!AO266</f>
        <v>0</v>
      </c>
    </row>
    <row r="267" spans="1:17" x14ac:dyDescent="0.3">
      <c r="A267">
        <f t="shared" si="12"/>
        <v>266</v>
      </c>
      <c r="B267" t="str">
        <f>卡牌总表!B267</f>
        <v>regent_dying_star</v>
      </c>
      <c r="C267" t="str">
        <f>卡牌总表!D267</f>
        <v>星灭</v>
      </c>
      <c r="D267" t="str">
        <f>卡牌总表!F267</f>
        <v>攻击</v>
      </c>
      <c r="E267">
        <f>卡牌总表!AL267</f>
        <v>0</v>
      </c>
      <c r="F267" t="str">
        <f>卡牌总表!AN267</f>
        <v>群体攻击，本回合</v>
      </c>
      <c r="G267">
        <f>卡牌总表!AP267</f>
        <v>1</v>
      </c>
      <c r="H267">
        <f>IF(ISNUMBER(卡牌总表!H267),IF(AND(卡牌总表!H267=0,卡牌总表!V267=0,卡牌总表!AK267="none"),0.4,IF(卡牌总表!AK267="exhaust",MAX(卡牌总表!H267-卡牌总表!V267,0.4),IF(卡牌总表!AK267="ethereal",MAX(卡牌总表!H267-卡牌总表!V267,0.4),MAX(卡牌总表!H267-卡牌总表!V267,0.4)))),IF(OR(卡牌总表!H267="X",卡牌总表!H267="∞"),0.4,0.4))</f>
        <v>1</v>
      </c>
      <c r="I267">
        <f>卡牌总表!M267*卡牌总表!O267*参数!$B$5*IF(AND(卡牌总表!F267="能力",卡牌总表!AL267="能力持续"),参数!$B$2,1)+卡牌总表!P267*参数!$B$6*IF(AND(卡牌总表!F267="能力",卡牌总表!AL267="能力持续"),参数!$B$2,1)+卡牌总表!R267*参数!$B$7*IF(AND(卡牌总表!F267="能力",卡牌总表!AL267="能力持续"),参数!$B$2,1)+卡牌总表!V267*参数!$B$8+IF(卡牌总表!X267&lt;0,卡牌总表!X267*参数!$B$13,卡牌总表!X267*参数!$B$39)+IF(卡牌总表!AE267&lt;0,卡牌总表!AE267*参数!$B$13,卡牌总表!AE267*参数!$B$12)*参数!$B$2+卡牌总表!AQ267*参数!$B$15+卡牌总表!AB267*参数!$B$11+卡牌总表!AF267*参数!$B$40*参数!$B$2+卡牌总表!AG267*参数!$B$44*参数!$B$2+卡牌总表!AH267*参数!$B$6*参数!$B$2+卡牌总表!AI267*参数!$B$39*参数!$B$2+卡牌总表!AJ267*参数!$B$6*参数!$B$2+卡牌总表!Z267*参数!$B$13-卡牌总表!T267*参数!$B$14-卡牌总表!AD267*参数!$B$13+IF(ISNUMBER(卡牌总表!AU267),卡牌总表!AU267*参数!$B$38,0)-卡牌总表!AV267*参数!$B$41-卡牌总表!AW267*参数!$B$14</f>
        <v>4.5</v>
      </c>
      <c r="J267">
        <f>IF(AND(卡牌总表!F267="能力",卡牌总表!AL267="能力持续"),(参数!$B$2-1)*参数!$B$3,0)</f>
        <v>0</v>
      </c>
      <c r="K267">
        <f t="shared" si="13"/>
        <v>4.5</v>
      </c>
      <c r="L267">
        <f>卡牌总表!N267*卡牌总表!O267*参数!$B$5*IF(AND(卡牌总表!F267="能力",卡牌总表!AL267="能力持续"),参数!$B$2,1)+卡牌总表!Q267*参数!$B$6*IF(AND(卡牌总表!F267="能力",卡牌总表!AL267="能力持续"),参数!$B$2,1)+卡牌总表!S267*参数!$B$7*IF(AND(卡牌总表!F267="能力",卡牌总表!AL267="能力持续"),参数!$B$2,1)+卡牌总表!W267*参数!$B$8+IF(卡牌总表!Y267&lt;0,卡牌总表!Y267*参数!$B$13,卡牌总表!Y267*参数!$B$39)+IF(卡牌总表!AE267&lt;0,卡牌总表!AE267*参数!$B$13,卡牌总表!AE267*参数!$B$12)*参数!$B$2+卡牌总表!AR267*参数!$B$15+卡牌总表!AC267*参数!$B$11+卡牌总表!AF267*参数!$B$40*参数!$B$2+卡牌总表!AG267*参数!$B$44*参数!$B$2+卡牌总表!AH267*参数!$B$6*参数!$B$2+卡牌总表!AI267*参数!$B$39*参数!$B$2+卡牌总表!AJ267*参数!$B$6*参数!$B$2+卡牌总表!AA267*参数!$B$13-卡牌总表!U267*参数!$B$14-卡牌总表!AD267*参数!$B$13+IF(ISNUMBER(卡牌总表!AU267),卡牌总表!AU267*参数!$B$38,0)-卡牌总表!AV267*参数!$B$41-卡牌总表!AW267*参数!$B$14</f>
        <v>6.5</v>
      </c>
      <c r="M267">
        <f>IF(AND(卡牌总表!F267="能力",卡牌总表!AL267="能力持续"),参数!$B$2*参数!$B$3,0)</f>
        <v>0</v>
      </c>
      <c r="N267">
        <f t="shared" si="14"/>
        <v>6.5</v>
      </c>
      <c r="O267">
        <f>IFERROR(MAX(IF(K267 &gt; 参数!$B$17,参数!$B$17+SQRT(K267-参数!$B$17)*参数!$B$18,K267)-MAX(G267,0)*参数!$B$10,0)/MAX(G267,0.4),0)</f>
        <v>1.5</v>
      </c>
      <c r="P267">
        <f>IFERROR(MAX(IF(N267 &gt; 参数!$B$17,参数!$B$17+SQRT(N267-参数!$B$17)*参数!$B$18,N267)-MAX(H267,0)*参数!$B$10,0)/MAX(H267,0.4),0)</f>
        <v>3.5</v>
      </c>
      <c r="Q267" t="str">
        <f>卡牌总表!AO267</f>
        <v>减敌方力量9(本回合)</v>
      </c>
    </row>
    <row r="268" spans="1:17" x14ac:dyDescent="0.3">
      <c r="A268">
        <f t="shared" si="12"/>
        <v>267</v>
      </c>
      <c r="B268" t="str">
        <f>卡牌总表!B268</f>
        <v>regent_falling_star</v>
      </c>
      <c r="C268" t="str">
        <f>卡牌总表!D268</f>
        <v>陨星</v>
      </c>
      <c r="D268" t="str">
        <f>卡牌总表!F268</f>
        <v>攻击</v>
      </c>
      <c r="E268">
        <f>卡牌总表!AL268</f>
        <v>0</v>
      </c>
      <c r="F268">
        <f>卡牌总表!AN268</f>
        <v>0</v>
      </c>
      <c r="G268">
        <f>卡牌总表!AP268</f>
        <v>0.4</v>
      </c>
      <c r="H268">
        <f>IF(ISNUMBER(卡牌总表!H268),IF(AND(卡牌总表!H268=0,卡牌总表!V268=0,卡牌总表!AK268="none"),0.4,IF(卡牌总表!AK268="exhaust",MAX(卡牌总表!H268-卡牌总表!V268,0.4),IF(卡牌总表!AK268="ethereal",MAX(卡牌总表!H268-卡牌总表!V268,0.4),MAX(卡牌总表!H268-卡牌总表!V268,0.4)))),IF(OR(卡牌总表!H268="X",卡牌总表!H268="∞"),0.4,0.4))</f>
        <v>0.4</v>
      </c>
      <c r="I268">
        <f>卡牌总表!M268*卡牌总表!O268*参数!$B$5*IF(AND(卡牌总表!F268="能力",卡牌总表!AL268="能力持续"),参数!$B$2,1)+卡牌总表!P268*参数!$B$6*IF(AND(卡牌总表!F268="能力",卡牌总表!AL268="能力持续"),参数!$B$2,1)+卡牌总表!R268*参数!$B$7*IF(AND(卡牌总表!F268="能力",卡牌总表!AL268="能力持续"),参数!$B$2,1)+卡牌总表!V268*参数!$B$8+IF(卡牌总表!X268&lt;0,卡牌总表!X268*参数!$B$13,卡牌总表!X268*参数!$B$39)+IF(卡牌总表!AE268&lt;0,卡牌总表!AE268*参数!$B$13,卡牌总表!AE268*参数!$B$12)*参数!$B$2+卡牌总表!AQ268*参数!$B$15+卡牌总表!AB268*参数!$B$11+卡牌总表!AF268*参数!$B$40*参数!$B$2+卡牌总表!AG268*参数!$B$44*参数!$B$2+卡牌总表!AH268*参数!$B$6*参数!$B$2+卡牌总表!AI268*参数!$B$39*参数!$B$2+卡牌总表!AJ268*参数!$B$6*参数!$B$2+卡牌总表!Z268*参数!$B$13-卡牌总表!T268*参数!$B$14-卡牌总表!AD268*参数!$B$13+IF(ISNUMBER(卡牌总表!AU268),卡牌总表!AU268*参数!$B$38,0)-卡牌总表!AV268*参数!$B$41-卡牌总表!AW268*参数!$B$14</f>
        <v>9.3000000000000007</v>
      </c>
      <c r="J268">
        <f>IF(AND(卡牌总表!F268="能力",卡牌总表!AL268="能力持续"),(参数!$B$2-1)*参数!$B$3,0)</f>
        <v>0</v>
      </c>
      <c r="K268">
        <f t="shared" si="13"/>
        <v>9.3000000000000007</v>
      </c>
      <c r="L268">
        <f>卡牌总表!N268*卡牌总表!O268*参数!$B$5*IF(AND(卡牌总表!F268="能力",卡牌总表!AL268="能力持续"),参数!$B$2,1)+卡牌总表!Q268*参数!$B$6*IF(AND(卡牌总表!F268="能力",卡牌总表!AL268="能力持续"),参数!$B$2,1)+卡牌总表!S268*参数!$B$7*IF(AND(卡牌总表!F268="能力",卡牌总表!AL268="能力持续"),参数!$B$2,1)+卡牌总表!W268*参数!$B$8+IF(卡牌总表!Y268&lt;0,卡牌总表!Y268*参数!$B$13,卡牌总表!Y268*参数!$B$39)+IF(卡牌总表!AE268&lt;0,卡牌总表!AE268*参数!$B$13,卡牌总表!AE268*参数!$B$12)*参数!$B$2+卡牌总表!AR268*参数!$B$15+卡牌总表!AC268*参数!$B$11+卡牌总表!AF268*参数!$B$40*参数!$B$2+卡牌总表!AG268*参数!$B$44*参数!$B$2+卡牌总表!AH268*参数!$B$6*参数!$B$2+卡牌总表!AI268*参数!$B$39*参数!$B$2+卡牌总表!AJ268*参数!$B$6*参数!$B$2+卡牌总表!AA268*参数!$B$13-卡牌总表!U268*参数!$B$14-卡牌总表!AD268*参数!$B$13+IF(ISNUMBER(卡牌总表!AU268),卡牌总表!AU268*参数!$B$38,0)-卡牌总表!AV268*参数!$B$41-卡牌总表!AW268*参数!$B$14</f>
        <v>13.3</v>
      </c>
      <c r="M268">
        <f>IF(AND(卡牌总表!F268="能力",卡牌总表!AL268="能力持续"),参数!$B$2*参数!$B$3,0)</f>
        <v>0</v>
      </c>
      <c r="N268">
        <f t="shared" si="14"/>
        <v>13.3</v>
      </c>
      <c r="O268">
        <f>IFERROR(MAX(IF(K268 &gt; 参数!$B$17,参数!$B$17+SQRT(K268-参数!$B$17)*参数!$B$18,K268)-MAX(G268,0)*参数!$B$10,0)/MAX(G268,0.4),0)</f>
        <v>20.250000000000004</v>
      </c>
      <c r="P268">
        <f>IFERROR(MAX(IF(N268 &gt; 参数!$B$17,参数!$B$17+SQRT(N268-参数!$B$17)*参数!$B$18,N268)-MAX(H268,0)*参数!$B$10,0)/MAX(H268,0.4),0)</f>
        <v>28.81221329671936</v>
      </c>
      <c r="Q268">
        <f>卡牌总表!AO268</f>
        <v>0</v>
      </c>
    </row>
    <row r="269" spans="1:17" x14ac:dyDescent="0.3">
      <c r="A269">
        <f t="shared" si="12"/>
        <v>268</v>
      </c>
      <c r="B269" t="str">
        <f>卡牌总表!B269</f>
        <v>regent_foregone_conclusion</v>
      </c>
      <c r="C269" t="str">
        <f>卡牌总表!D269</f>
        <v>既定事项</v>
      </c>
      <c r="D269" t="str">
        <f>卡牌总表!F269</f>
        <v>技能</v>
      </c>
      <c r="E269">
        <f>卡牌总表!AL269</f>
        <v>0</v>
      </c>
      <c r="F269">
        <f>卡牌总表!AN269</f>
        <v>0</v>
      </c>
      <c r="G269">
        <f>卡牌总表!AP269</f>
        <v>1</v>
      </c>
      <c r="H269">
        <f>IF(ISNUMBER(卡牌总表!H269),IF(AND(卡牌总表!H269=0,卡牌总表!V269=0,卡牌总表!AK269="none"),0.4,IF(卡牌总表!AK269="exhaust",MAX(卡牌总表!H269-卡牌总表!V269,0.4),IF(卡牌总表!AK269="ethereal",MAX(卡牌总表!H269-卡牌总表!V269,0.4),MAX(卡牌总表!H269-卡牌总表!V269,0.4)))),IF(OR(卡牌总表!H269="X",卡牌总表!H269="∞"),0.4,0.4))</f>
        <v>1</v>
      </c>
      <c r="I269">
        <f>卡牌总表!M269*卡牌总表!O269*参数!$B$5*IF(AND(卡牌总表!F269="能力",卡牌总表!AL269="能力持续"),参数!$B$2,1)+卡牌总表!P269*参数!$B$6*IF(AND(卡牌总表!F269="能力",卡牌总表!AL269="能力持续"),参数!$B$2,1)+卡牌总表!R269*参数!$B$7*IF(AND(卡牌总表!F269="能力",卡牌总表!AL269="能力持续"),参数!$B$2,1)+卡牌总表!V269*参数!$B$8+IF(卡牌总表!X269&lt;0,卡牌总表!X269*参数!$B$13,卡牌总表!X269*参数!$B$39)+IF(卡牌总表!AE269&lt;0,卡牌总表!AE269*参数!$B$13,卡牌总表!AE269*参数!$B$12)*参数!$B$2+卡牌总表!AQ269*参数!$B$15+卡牌总表!AB269*参数!$B$11+卡牌总表!AF269*参数!$B$40*参数!$B$2+卡牌总表!AG269*参数!$B$44*参数!$B$2+卡牌总表!AH269*参数!$B$6*参数!$B$2+卡牌总表!AI269*参数!$B$39*参数!$B$2+卡牌总表!AJ269*参数!$B$6*参数!$B$2+卡牌总表!Z269*参数!$B$13-卡牌总表!T269*参数!$B$14-卡牌总表!AD269*参数!$B$13+IF(ISNUMBER(卡牌总表!AU269),卡牌总表!AU269*参数!$B$38,0)-卡牌总表!AV269*参数!$B$41-卡牌总表!AW269*参数!$B$14</f>
        <v>1.4</v>
      </c>
      <c r="J269">
        <f>IF(AND(卡牌总表!F269="能力",卡牌总表!AL269="能力持续"),(参数!$B$2-1)*参数!$B$3,0)</f>
        <v>0</v>
      </c>
      <c r="K269">
        <f t="shared" si="13"/>
        <v>1.4</v>
      </c>
      <c r="L269">
        <f>卡牌总表!N269*卡牌总表!O269*参数!$B$5*IF(AND(卡牌总表!F269="能力",卡牌总表!AL269="能力持续"),参数!$B$2,1)+卡牌总表!Q269*参数!$B$6*IF(AND(卡牌总表!F269="能力",卡牌总表!AL269="能力持续"),参数!$B$2,1)+卡牌总表!S269*参数!$B$7*IF(AND(卡牌总表!F269="能力",卡牌总表!AL269="能力持续"),参数!$B$2,1)+卡牌总表!W269*参数!$B$8+IF(卡牌总表!Y269&lt;0,卡牌总表!Y269*参数!$B$13,卡牌总表!Y269*参数!$B$39)+IF(卡牌总表!AE269&lt;0,卡牌总表!AE269*参数!$B$13,卡牌总表!AE269*参数!$B$12)*参数!$B$2+卡牌总表!AR269*参数!$B$15+卡牌总表!AC269*参数!$B$11+卡牌总表!AF269*参数!$B$40*参数!$B$2+卡牌总表!AG269*参数!$B$44*参数!$B$2+卡牌总表!AH269*参数!$B$6*参数!$B$2+卡牌总表!AI269*参数!$B$39*参数!$B$2+卡牌总表!AJ269*参数!$B$6*参数!$B$2+卡牌总表!AA269*参数!$B$13-卡牌总表!U269*参数!$B$14-卡牌总表!AD269*参数!$B$13+IF(ISNUMBER(卡牌总表!AU269),卡牌总表!AU269*参数!$B$38,0)-卡牌总表!AV269*参数!$B$41-卡牌总表!AW269*参数!$B$14</f>
        <v>0</v>
      </c>
      <c r="M269">
        <f>IF(AND(卡牌总表!F269="能力",卡牌总表!AL269="能力持续"),参数!$B$2*参数!$B$3,0)</f>
        <v>0</v>
      </c>
      <c r="N269">
        <f t="shared" si="14"/>
        <v>0</v>
      </c>
      <c r="O269">
        <f>IFERROR(MAX(IF(K269 &gt; 参数!$B$17,参数!$B$17+SQRT(K269-参数!$B$17)*参数!$B$18,K269)-MAX(G269,0)*参数!$B$10,0)/MAX(G269,0.4),0)</f>
        <v>0</v>
      </c>
      <c r="P269">
        <f>IFERROR(MAX(IF(N269 &gt; 参数!$B$17,参数!$B$17+SQRT(N269-参数!$B$17)*参数!$B$18,N269)-MAX(H269,0)*参数!$B$10,0)/MAX(H269,0.4),0)</f>
        <v>0</v>
      </c>
      <c r="Q269">
        <f>卡牌总表!AO269</f>
        <v>0</v>
      </c>
    </row>
    <row r="270" spans="1:17" x14ac:dyDescent="0.3">
      <c r="A270">
        <f t="shared" si="12"/>
        <v>269</v>
      </c>
      <c r="B270" t="str">
        <f>卡牌总表!B270</f>
        <v>regent_furnace</v>
      </c>
      <c r="C270" t="str">
        <f>卡牌总表!D270</f>
        <v>熔炉</v>
      </c>
      <c r="D270" t="str">
        <f>卡牌总表!F270</f>
        <v>能力</v>
      </c>
      <c r="E270" t="str">
        <f>卡牌总表!AL270</f>
        <v>能力持续</v>
      </c>
      <c r="F270" t="str">
        <f>卡牌总表!AN270</f>
        <v>能力</v>
      </c>
      <c r="G270">
        <f>卡牌总表!AP270</f>
        <v>1</v>
      </c>
      <c r="H270">
        <f>IF(ISNUMBER(卡牌总表!H270),IF(AND(卡牌总表!H270=0,卡牌总表!V270=0,卡牌总表!AK270="none"),0.4,IF(卡牌总表!AK270="exhaust",MAX(卡牌总表!H270-卡牌总表!V270,0.4),IF(卡牌总表!AK270="ethereal",MAX(卡牌总表!H270-卡牌总表!V270,0.4),MAX(卡牌总表!H270-卡牌总表!V270,0.4)))),IF(OR(卡牌总表!H270="X",卡牌总表!H270="∞"),0.4,0.4))</f>
        <v>1</v>
      </c>
      <c r="I270">
        <f>卡牌总表!M270*卡牌总表!O270*参数!$B$5*IF(AND(卡牌总表!F270="能力",卡牌总表!AL270="能力持续"),参数!$B$2,1)+卡牌总表!P270*参数!$B$6*IF(AND(卡牌总表!F270="能力",卡牌总表!AL270="能力持续"),参数!$B$2,1)+卡牌总表!R270*参数!$B$7*IF(AND(卡牌总表!F270="能力",卡牌总表!AL270="能力持续"),参数!$B$2,1)+卡牌总表!V270*参数!$B$8+IF(卡牌总表!X270&lt;0,卡牌总表!X270*参数!$B$13,卡牌总表!X270*参数!$B$39)+IF(卡牌总表!AE270&lt;0,卡牌总表!AE270*参数!$B$13,卡牌总表!AE270*参数!$B$12)*参数!$B$2+卡牌总表!AQ270*参数!$B$15+卡牌总表!AB270*参数!$B$11+卡牌总表!AF270*参数!$B$40*参数!$B$2+卡牌总表!AG270*参数!$B$44*参数!$B$2+卡牌总表!AH270*参数!$B$6*参数!$B$2+卡牌总表!AI270*参数!$B$39*参数!$B$2+卡牌总表!AJ270*参数!$B$6*参数!$B$2+卡牌总表!Z270*参数!$B$13-卡牌总表!T270*参数!$B$14-卡牌总表!AD270*参数!$B$13+IF(ISNUMBER(卡牌总表!AU270),卡牌总表!AU270*参数!$B$38,0)-卡牌总表!AV270*参数!$B$41-卡牌总表!AW270*参数!$B$14</f>
        <v>0</v>
      </c>
      <c r="J270">
        <f>IF(AND(卡牌总表!F270="能力",卡牌总表!AL270="能力持续"),(参数!$B$2-1)*参数!$B$3,0)</f>
        <v>3.5999999999999996</v>
      </c>
      <c r="K270">
        <f t="shared" si="13"/>
        <v>3.5999999999999996</v>
      </c>
      <c r="L270">
        <f>卡牌总表!N270*卡牌总表!O270*参数!$B$5*IF(AND(卡牌总表!F270="能力",卡牌总表!AL270="能力持续"),参数!$B$2,1)+卡牌总表!Q270*参数!$B$6*IF(AND(卡牌总表!F270="能力",卡牌总表!AL270="能力持续"),参数!$B$2,1)+卡牌总表!S270*参数!$B$7*IF(AND(卡牌总表!F270="能力",卡牌总表!AL270="能力持续"),参数!$B$2,1)+卡牌总表!W270*参数!$B$8+IF(卡牌总表!Y270&lt;0,卡牌总表!Y270*参数!$B$13,卡牌总表!Y270*参数!$B$39)+IF(卡牌总表!AE270&lt;0,卡牌总表!AE270*参数!$B$13,卡牌总表!AE270*参数!$B$12)*参数!$B$2+卡牌总表!AR270*参数!$B$15+卡牌总表!AC270*参数!$B$11+卡牌总表!AF270*参数!$B$40*参数!$B$2+卡牌总表!AG270*参数!$B$44*参数!$B$2+卡牌总表!AH270*参数!$B$6*参数!$B$2+卡牌总表!AI270*参数!$B$39*参数!$B$2+卡牌总表!AJ270*参数!$B$6*参数!$B$2+卡牌总表!AA270*参数!$B$13-卡牌总表!U270*参数!$B$14-卡牌总表!AD270*参数!$B$13+IF(ISNUMBER(卡牌总表!AU270),卡牌总表!AU270*参数!$B$38,0)-卡牌总表!AV270*参数!$B$41-卡牌总表!AW270*参数!$B$14</f>
        <v>0</v>
      </c>
      <c r="M270">
        <f>IF(AND(卡牌总表!F270="能力",卡牌总表!AL270="能力持续"),参数!$B$2*参数!$B$3,0)</f>
        <v>4.8</v>
      </c>
      <c r="N270">
        <f t="shared" si="14"/>
        <v>4.8</v>
      </c>
      <c r="O270">
        <f>IFERROR(MAX(IF(K270 &gt; 参数!$B$17,参数!$B$17+SQRT(K270-参数!$B$17)*参数!$B$18,K270)-MAX(G270,0)*参数!$B$10,0)/MAX(G270,0.4),0)</f>
        <v>0.59999999999999964</v>
      </c>
      <c r="P270">
        <f>IFERROR(MAX(IF(N270 &gt; 参数!$B$17,参数!$B$17+SQRT(N270-参数!$B$17)*参数!$B$18,N270)-MAX(H270,0)*参数!$B$10,0)/MAX(H270,0.4),0)</f>
        <v>1.7999999999999998</v>
      </c>
      <c r="Q270">
        <f>卡牌总表!AO270</f>
        <v>0</v>
      </c>
    </row>
    <row r="271" spans="1:17" x14ac:dyDescent="0.3">
      <c r="A271">
        <f t="shared" si="12"/>
        <v>270</v>
      </c>
      <c r="B271" t="str">
        <f>卡牌总表!B271</f>
        <v>regent_gamma_blast</v>
      </c>
      <c r="C271" t="str">
        <f>卡牌总表!D271</f>
        <v>伽马爆破</v>
      </c>
      <c r="D271" t="str">
        <f>卡牌总表!F271</f>
        <v>攻击</v>
      </c>
      <c r="E271">
        <f>卡牌总表!AL271</f>
        <v>0</v>
      </c>
      <c r="F271">
        <f>卡牌总表!AN271</f>
        <v>0</v>
      </c>
      <c r="G271">
        <f>卡牌总表!AP271</f>
        <v>0.4</v>
      </c>
      <c r="H271">
        <f>IF(ISNUMBER(卡牌总表!H271),IF(AND(卡牌总表!H271=0,卡牌总表!V271=0,卡牌总表!AK271="none"),0.4,IF(卡牌总表!AK271="exhaust",MAX(卡牌总表!H271-卡牌总表!V271,0.4),IF(卡牌总表!AK271="ethereal",MAX(卡牌总表!H271-卡牌总表!V271,0.4),MAX(卡牌总表!H271-卡牌总表!V271,0.4)))),IF(OR(卡牌总表!H271="X",卡牌总表!H271="∞"),0.4,0.4))</f>
        <v>0.4</v>
      </c>
      <c r="I271">
        <f>卡牌总表!M271*卡牌总表!O271*参数!$B$5*IF(AND(卡牌总表!F271="能力",卡牌总表!AL271="能力持续"),参数!$B$2,1)+卡牌总表!P271*参数!$B$6*IF(AND(卡牌总表!F271="能力",卡牌总表!AL271="能力持续"),参数!$B$2,1)+卡牌总表!R271*参数!$B$7*IF(AND(卡牌总表!F271="能力",卡牌总表!AL271="能力持续"),参数!$B$2,1)+卡牌总表!V271*参数!$B$8+IF(卡牌总表!X271&lt;0,卡牌总表!X271*参数!$B$13,卡牌总表!X271*参数!$B$39)+IF(卡牌总表!AE271&lt;0,卡牌总表!AE271*参数!$B$13,卡牌总表!AE271*参数!$B$12)*参数!$B$2+卡牌总表!AQ271*参数!$B$15+卡牌总表!AB271*参数!$B$11+卡牌总表!AF271*参数!$B$40*参数!$B$2+卡牌总表!AG271*参数!$B$44*参数!$B$2+卡牌总表!AH271*参数!$B$6*参数!$B$2+卡牌总表!AI271*参数!$B$39*参数!$B$2+卡牌总表!AJ271*参数!$B$6*参数!$B$2+卡牌总表!Z271*参数!$B$13-卡牌总表!T271*参数!$B$14-卡牌总表!AD271*参数!$B$13+IF(ISNUMBER(卡牌总表!AU271),卡牌总表!AU271*参数!$B$38,0)-卡牌总表!AV271*参数!$B$41-卡牌总表!AW271*参数!$B$14</f>
        <v>14.1</v>
      </c>
      <c r="J271">
        <f>IF(AND(卡牌总表!F271="能力",卡牌总表!AL271="能力持续"),(参数!$B$2-1)*参数!$B$3,0)</f>
        <v>0</v>
      </c>
      <c r="K271">
        <f t="shared" si="13"/>
        <v>14.1</v>
      </c>
      <c r="L271">
        <f>卡牌总表!N271*卡牌总表!O271*参数!$B$5*IF(AND(卡牌总表!F271="能力",卡牌总表!AL271="能力持续"),参数!$B$2,1)+卡牌总表!Q271*参数!$B$6*IF(AND(卡牌总表!F271="能力",卡牌总表!AL271="能力持续"),参数!$B$2,1)+卡牌总表!S271*参数!$B$7*IF(AND(卡牌总表!F271="能力",卡牌总表!AL271="能力持续"),参数!$B$2,1)+卡牌总表!W271*参数!$B$8+IF(卡牌总表!Y271&lt;0,卡牌总表!Y271*参数!$B$13,卡牌总表!Y271*参数!$B$39)+IF(卡牌总表!AE271&lt;0,卡牌总表!AE271*参数!$B$13,卡牌总表!AE271*参数!$B$12)*参数!$B$2+卡牌总表!AR271*参数!$B$15+卡牌总表!AC271*参数!$B$11+卡牌总表!AF271*参数!$B$40*参数!$B$2+卡牌总表!AG271*参数!$B$44*参数!$B$2+卡牌总表!AH271*参数!$B$6*参数!$B$2+卡牌总表!AI271*参数!$B$39*参数!$B$2+卡牌总表!AJ271*参数!$B$6*参数!$B$2+卡牌总表!AA271*参数!$B$13-卡牌总表!U271*参数!$B$14-卡牌总表!AD271*参数!$B$13+IF(ISNUMBER(卡牌总表!AU271),卡牌总表!AU271*参数!$B$38,0)-卡牌总表!AV271*参数!$B$41-卡牌总表!AW271*参数!$B$14</f>
        <v>19.100000000000001</v>
      </c>
      <c r="M271">
        <f>IF(AND(卡牌总表!F271="能力",卡牌总表!AL271="能力持续"),参数!$B$2*参数!$B$3,0)</f>
        <v>0</v>
      </c>
      <c r="N271">
        <f t="shared" si="14"/>
        <v>19.100000000000001</v>
      </c>
      <c r="O271">
        <f>IFERROR(MAX(IF(K271 &gt; 参数!$B$17,参数!$B$17+SQRT(K271-参数!$B$17)*参数!$B$18,K271)-MAX(G271,0)*参数!$B$10,0)/MAX(G271,0.4),0)</f>
        <v>29.593171274243719</v>
      </c>
      <c r="P271">
        <f>IFERROR(MAX(IF(N271 &gt; 参数!$B$17,参数!$B$17+SQRT(N271-参数!$B$17)*参数!$B$18,N271)-MAX(H271,0)*参数!$B$10,0)/MAX(H271,0.4),0)</f>
        <v>33.312327346748759</v>
      </c>
      <c r="Q271">
        <f>卡牌总表!AO271</f>
        <v>0</v>
      </c>
    </row>
    <row r="272" spans="1:17" x14ac:dyDescent="0.3">
      <c r="A272">
        <f t="shared" si="12"/>
        <v>271</v>
      </c>
      <c r="B272" t="str">
        <f>卡牌总表!B272</f>
        <v>regent_gather_light</v>
      </c>
      <c r="C272" t="str">
        <f>卡牌总表!D272</f>
        <v>收集光辉</v>
      </c>
      <c r="D272" t="str">
        <f>卡牌总表!F272</f>
        <v>技能</v>
      </c>
      <c r="E272">
        <f>卡牌总表!AL272</f>
        <v>0</v>
      </c>
      <c r="F272">
        <f>卡牌总表!AN272</f>
        <v>0</v>
      </c>
      <c r="G272">
        <f>卡牌总表!AP272</f>
        <v>1</v>
      </c>
      <c r="H272">
        <f>IF(ISNUMBER(卡牌总表!H272),IF(AND(卡牌总表!H272=0,卡牌总表!V272=0,卡牌总表!AK272="none"),0.4,IF(卡牌总表!AK272="exhaust",MAX(卡牌总表!H272-卡牌总表!V272,0.4),IF(卡牌总表!AK272="ethereal",MAX(卡牌总表!H272-卡牌总表!V272,0.4),MAX(卡牌总表!H272-卡牌总表!V272,0.4)))),IF(OR(卡牌总表!H272="X",卡牌总表!H272="∞"),0.4,0.4))</f>
        <v>1</v>
      </c>
      <c r="I272">
        <f>卡牌总表!M272*卡牌总表!O272*参数!$B$5*IF(AND(卡牌总表!F272="能力",卡牌总表!AL272="能力持续"),参数!$B$2,1)+卡牌总表!P272*参数!$B$6*IF(AND(卡牌总表!F272="能力",卡牌总表!AL272="能力持续"),参数!$B$2,1)+卡牌总表!R272*参数!$B$7*IF(AND(卡牌总表!F272="能力",卡牌总表!AL272="能力持续"),参数!$B$2,1)+卡牌总表!V272*参数!$B$8+IF(卡牌总表!X272&lt;0,卡牌总表!X272*参数!$B$13,卡牌总表!X272*参数!$B$39)+IF(卡牌总表!AE272&lt;0,卡牌总表!AE272*参数!$B$13,卡牌总表!AE272*参数!$B$12)*参数!$B$2+卡牌总表!AQ272*参数!$B$15+卡牌总表!AB272*参数!$B$11+卡牌总表!AF272*参数!$B$40*参数!$B$2+卡牌总表!AG272*参数!$B$44*参数!$B$2+卡牌总表!AH272*参数!$B$6*参数!$B$2+卡牌总表!AI272*参数!$B$39*参数!$B$2+卡牌总表!AJ272*参数!$B$6*参数!$B$2+卡牌总表!Z272*参数!$B$13-卡牌总表!T272*参数!$B$14-卡牌总表!AD272*参数!$B$13+IF(ISNUMBER(卡牌总表!AU272),卡牌总表!AU272*参数!$B$38,0)-卡牌总表!AV272*参数!$B$41-卡牌总表!AW272*参数!$B$14</f>
        <v>10.100000000000001</v>
      </c>
      <c r="J272">
        <f>IF(AND(卡牌总表!F272="能力",卡牌总表!AL272="能力持续"),(参数!$B$2-1)*参数!$B$3,0)</f>
        <v>0</v>
      </c>
      <c r="K272">
        <f t="shared" si="13"/>
        <v>10.100000000000001</v>
      </c>
      <c r="L272">
        <f>卡牌总表!N272*卡牌总表!O272*参数!$B$5*IF(AND(卡牌总表!F272="能力",卡牌总表!AL272="能力持续"),参数!$B$2,1)+卡牌总表!Q272*参数!$B$6*IF(AND(卡牌总表!F272="能力",卡牌总表!AL272="能力持续"),参数!$B$2,1)+卡牌总表!S272*参数!$B$7*IF(AND(卡牌总表!F272="能力",卡牌总表!AL272="能力持续"),参数!$B$2,1)+卡牌总表!W272*参数!$B$8+IF(卡牌总表!Y272&lt;0,卡牌总表!Y272*参数!$B$13,卡牌总表!Y272*参数!$B$39)+IF(卡牌总表!AE272&lt;0,卡牌总表!AE272*参数!$B$13,卡牌总表!AE272*参数!$B$12)*参数!$B$2+卡牌总表!AR272*参数!$B$15+卡牌总表!AC272*参数!$B$11+卡牌总表!AF272*参数!$B$40*参数!$B$2+卡牌总表!AG272*参数!$B$44*参数!$B$2+卡牌总表!AH272*参数!$B$6*参数!$B$2+卡牌总表!AI272*参数!$B$39*参数!$B$2+卡牌总表!AJ272*参数!$B$6*参数!$B$2+卡牌总表!AA272*参数!$B$13-卡牌总表!U272*参数!$B$14-卡牌总表!AD272*参数!$B$13+IF(ISNUMBER(卡牌总表!AU272),卡牌总表!AU272*参数!$B$38,0)-卡牌总表!AV272*参数!$B$41-卡牌总表!AW272*参数!$B$14</f>
        <v>13.400000000000002</v>
      </c>
      <c r="M272">
        <f>IF(AND(卡牌总表!F272="能力",卡牌总表!AL272="能力持续"),参数!$B$2*参数!$B$3,0)</f>
        <v>0</v>
      </c>
      <c r="N272">
        <f t="shared" si="14"/>
        <v>13.400000000000002</v>
      </c>
      <c r="O272">
        <f>IFERROR(MAX(IF(K272 &gt; 参数!$B$17,参数!$B$17+SQRT(K272-参数!$B$17)*参数!$B$18,K272)-MAX(G272,0)*参数!$B$10,0)/MAX(G272,0.4),0)</f>
        <v>7.474341649025261</v>
      </c>
      <c r="P272">
        <f>IFERROR(MAX(IF(N272 &gt; 参数!$B$17,参数!$B$17+SQRT(N272-参数!$B$17)*参数!$B$18,N272)-MAX(H272,0)*参数!$B$10,0)/MAX(H272,0.4),0)</f>
        <v>9.7658633371878665</v>
      </c>
      <c r="Q272" t="str">
        <f>卡牌总表!AO272</f>
        <v>Gain能量数值需核对</v>
      </c>
    </row>
    <row r="273" spans="1:17" x14ac:dyDescent="0.3">
      <c r="A273">
        <f t="shared" si="12"/>
        <v>272</v>
      </c>
      <c r="B273" t="str">
        <f>卡牌总表!B273</f>
        <v>regent_genesis</v>
      </c>
      <c r="C273" t="str">
        <f>卡牌总表!D273</f>
        <v>创世纪</v>
      </c>
      <c r="D273" t="str">
        <f>卡牌总表!F273</f>
        <v>能力</v>
      </c>
      <c r="E273" t="str">
        <f>卡牌总表!AL273</f>
        <v>能力持续</v>
      </c>
      <c r="F273" t="str">
        <f>卡牌总表!AN273</f>
        <v>能力</v>
      </c>
      <c r="G273">
        <f>卡牌总表!AP273</f>
        <v>2</v>
      </c>
      <c r="H273">
        <f>IF(ISNUMBER(卡牌总表!H273),IF(AND(卡牌总表!H273=0,卡牌总表!V273=0,卡牌总表!AK273="none"),0.4,IF(卡牌总表!AK273="exhaust",MAX(卡牌总表!H273-卡牌总表!V273,0.4),IF(卡牌总表!AK273="ethereal",MAX(卡牌总表!H273-卡牌总表!V273,0.4),MAX(卡牌总表!H273-卡牌总表!V273,0.4)))),IF(OR(卡牌总表!H273="X",卡牌总表!H273="∞"),0.4,0.4))</f>
        <v>2</v>
      </c>
      <c r="I273">
        <f>卡牌总表!M273*卡牌总表!O273*参数!$B$5*IF(AND(卡牌总表!F273="能力",卡牌总表!AL273="能力持续"),参数!$B$2,1)+卡牌总表!P273*参数!$B$6*IF(AND(卡牌总表!F273="能力",卡牌总表!AL273="能力持续"),参数!$B$2,1)+卡牌总表!R273*参数!$B$7*IF(AND(卡牌总表!F273="能力",卡牌总表!AL273="能力持续"),参数!$B$2,1)+卡牌总表!V273*参数!$B$8+IF(卡牌总表!X273&lt;0,卡牌总表!X273*参数!$B$13,卡牌总表!X273*参数!$B$39)+IF(卡牌总表!AE273&lt;0,卡牌总表!AE273*参数!$B$13,卡牌总表!AE273*参数!$B$12)*参数!$B$2+卡牌总表!AQ273*参数!$B$15+卡牌总表!AB273*参数!$B$11+卡牌总表!AF273*参数!$B$40*参数!$B$2+卡牌总表!AG273*参数!$B$44*参数!$B$2+卡牌总表!AH273*参数!$B$6*参数!$B$2+卡牌总表!AI273*参数!$B$39*参数!$B$2+卡牌总表!AJ273*参数!$B$6*参数!$B$2+卡牌总表!Z273*参数!$B$13-卡牌总表!T273*参数!$B$14-卡牌总表!AD273*参数!$B$13+IF(ISNUMBER(卡牌总表!AU273),卡牌总表!AU273*参数!$B$38,0)-卡牌总表!AV273*参数!$B$41-卡牌总表!AW273*参数!$B$14</f>
        <v>10.4</v>
      </c>
      <c r="J273">
        <f>IF(AND(卡牌总表!F273="能力",卡牌总表!AL273="能力持续"),(参数!$B$2-1)*参数!$B$3,0)</f>
        <v>3.5999999999999996</v>
      </c>
      <c r="K273">
        <f t="shared" si="13"/>
        <v>14</v>
      </c>
      <c r="L273">
        <f>卡牌总表!N273*卡牌总表!O273*参数!$B$5*IF(AND(卡牌总表!F273="能力",卡牌总表!AL273="能力持续"),参数!$B$2,1)+卡牌总表!Q273*参数!$B$6*IF(AND(卡牌总表!F273="能力",卡牌总表!AL273="能力持续"),参数!$B$2,1)+卡牌总表!S273*参数!$B$7*IF(AND(卡牌总表!F273="能力",卡牌总表!AL273="能力持续"),参数!$B$2,1)+卡牌总表!W273*参数!$B$8+IF(卡牌总表!Y273&lt;0,卡牌总表!Y273*参数!$B$13,卡牌总表!Y273*参数!$B$39)+IF(卡牌总表!AE273&lt;0,卡牌总表!AE273*参数!$B$13,卡牌总表!AE273*参数!$B$12)*参数!$B$2+卡牌总表!AR273*参数!$B$15+卡牌总表!AC273*参数!$B$11+卡牌总表!AF273*参数!$B$40*参数!$B$2+卡牌总表!AG273*参数!$B$44*参数!$B$2+卡牌总表!AH273*参数!$B$6*参数!$B$2+卡牌总表!AI273*参数!$B$39*参数!$B$2+卡牌总表!AJ273*参数!$B$6*参数!$B$2+卡牌总表!AA273*参数!$B$13-卡牌总表!U273*参数!$B$14-卡牌总表!AD273*参数!$B$13+IF(ISNUMBER(卡牌总表!AU273),卡牌总表!AU273*参数!$B$38,0)-卡牌总表!AV273*参数!$B$41-卡牌总表!AW273*参数!$B$14</f>
        <v>15.600000000000001</v>
      </c>
      <c r="M273">
        <f>IF(AND(卡牌总表!F273="能力",卡牌总表!AL273="能力持续"),参数!$B$2*参数!$B$3,0)</f>
        <v>4.8</v>
      </c>
      <c r="N273">
        <f t="shared" si="14"/>
        <v>20.400000000000002</v>
      </c>
      <c r="O273">
        <f>IFERROR(MAX(IF(K273 &gt; 参数!$B$17,参数!$B$17+SQRT(K273-参数!$B$17)*参数!$B$18,K273)-MAX(G273,0)*参数!$B$10,0)/MAX(G273,0.4),0)</f>
        <v>3.5</v>
      </c>
      <c r="P273">
        <f>IFERROR(MAX(IF(N273 &gt; 参数!$B$17,参数!$B$17+SQRT(N273-参数!$B$17)*参数!$B$18,N273)-MAX(H273,0)*参数!$B$10,0)/MAX(H273,0.4),0)</f>
        <v>4.4186773244895647</v>
      </c>
      <c r="Q273">
        <f>卡牌总表!AO273</f>
        <v>0</v>
      </c>
    </row>
    <row r="274" spans="1:17" x14ac:dyDescent="0.3">
      <c r="A274">
        <f t="shared" si="12"/>
        <v>273</v>
      </c>
      <c r="B274" t="str">
        <f>卡牌总表!B274</f>
        <v>regent_glimmer</v>
      </c>
      <c r="C274" t="str">
        <f>卡牌总表!D274</f>
        <v>微光</v>
      </c>
      <c r="D274" t="str">
        <f>卡牌总表!F274</f>
        <v>技能</v>
      </c>
      <c r="E274">
        <f>卡牌总表!AL274</f>
        <v>0</v>
      </c>
      <c r="F274">
        <f>卡牌总表!AN274</f>
        <v>0</v>
      </c>
      <c r="G274">
        <f>卡牌总表!AP274</f>
        <v>1</v>
      </c>
      <c r="H274">
        <f>IF(ISNUMBER(卡牌总表!H274),IF(AND(卡牌总表!H274=0,卡牌总表!V274=0,卡牌总表!AK274="none"),0.4,IF(卡牌总表!AK274="exhaust",MAX(卡牌总表!H274-卡牌总表!V274,0.4),IF(卡牌总表!AK274="ethereal",MAX(卡牌总表!H274-卡牌总表!V274,0.4),MAX(卡牌总表!H274-卡牌总表!V274,0.4)))),IF(OR(卡牌总表!H274="X",卡牌总表!H274="∞"),0.4,0.4))</f>
        <v>1</v>
      </c>
      <c r="I274">
        <f>卡牌总表!M274*卡牌总表!O274*参数!$B$5*IF(AND(卡牌总表!F274="能力",卡牌总表!AL274="能力持续"),参数!$B$2,1)+卡牌总表!P274*参数!$B$6*IF(AND(卡牌总表!F274="能力",卡牌总表!AL274="能力持续"),参数!$B$2,1)+卡牌总表!R274*参数!$B$7*IF(AND(卡牌总表!F274="能力",卡牌总表!AL274="能力持续"),参数!$B$2,1)+卡牌总表!V274*参数!$B$8+IF(卡牌总表!X274&lt;0,卡牌总表!X274*参数!$B$13,卡牌总表!X274*参数!$B$39)+IF(卡牌总表!AE274&lt;0,卡牌总表!AE274*参数!$B$13,卡牌总表!AE274*参数!$B$12)*参数!$B$2+卡牌总表!AQ274*参数!$B$15+卡牌总表!AB274*参数!$B$11+卡牌总表!AF274*参数!$B$40*参数!$B$2+卡牌总表!AG274*参数!$B$44*参数!$B$2+卡牌总表!AH274*参数!$B$6*参数!$B$2+卡牌总表!AI274*参数!$B$39*参数!$B$2+卡牌总表!AJ274*参数!$B$6*参数!$B$2+卡牌总表!Z274*参数!$B$13-卡牌总表!T274*参数!$B$14-卡牌总表!AD274*参数!$B$13+IF(ISNUMBER(卡牌总表!AU274),卡牌总表!AU274*参数!$B$38,0)-卡牌总表!AV274*参数!$B$41-卡牌总表!AW274*参数!$B$14</f>
        <v>2.0999999999999996</v>
      </c>
      <c r="J274">
        <f>IF(AND(卡牌总表!F274="能力",卡牌总表!AL274="能力持续"),(参数!$B$2-1)*参数!$B$3,0)</f>
        <v>0</v>
      </c>
      <c r="K274">
        <f t="shared" si="13"/>
        <v>2.0999999999999996</v>
      </c>
      <c r="L274">
        <f>卡牌总表!N274*卡牌总表!O274*参数!$B$5*IF(AND(卡牌总表!F274="能力",卡牌总表!AL274="能力持续"),参数!$B$2,1)+卡牌总表!Q274*参数!$B$6*IF(AND(卡牌总表!F274="能力",卡牌总表!AL274="能力持续"),参数!$B$2,1)+卡牌总表!S274*参数!$B$7*IF(AND(卡牌总表!F274="能力",卡牌总表!AL274="能力持续"),参数!$B$2,1)+卡牌总表!W274*参数!$B$8+IF(卡牌总表!Y274&lt;0,卡牌总表!Y274*参数!$B$13,卡牌总表!Y274*参数!$B$39)+IF(卡牌总表!AE274&lt;0,卡牌总表!AE274*参数!$B$13,卡牌总表!AE274*参数!$B$12)*参数!$B$2+卡牌总表!AR274*参数!$B$15+卡牌总表!AC274*参数!$B$11+卡牌总表!AF274*参数!$B$40*参数!$B$2+卡牌总表!AG274*参数!$B$44*参数!$B$2+卡牌总表!AH274*参数!$B$6*参数!$B$2+卡牌总表!AI274*参数!$B$39*参数!$B$2+卡牌总表!AJ274*参数!$B$6*参数!$B$2+卡牌总表!AA274*参数!$B$13-卡牌总表!U274*参数!$B$14-卡牌总表!AD274*参数!$B$13+IF(ISNUMBER(卡牌总表!AU274),卡牌总表!AU274*参数!$B$38,0)-卡牌总表!AV274*参数!$B$41-卡牌总表!AW274*参数!$B$14</f>
        <v>2.8</v>
      </c>
      <c r="M274">
        <f>IF(AND(卡牌总表!F274="能力",卡牌总表!AL274="能力持续"),参数!$B$2*参数!$B$3,0)</f>
        <v>0</v>
      </c>
      <c r="N274">
        <f t="shared" si="14"/>
        <v>2.8</v>
      </c>
      <c r="O274">
        <f>IFERROR(MAX(IF(K274 &gt; 参数!$B$17,参数!$B$17+SQRT(K274-参数!$B$17)*参数!$B$18,K274)-MAX(G274,0)*参数!$B$10,0)/MAX(G274,0.4),0)</f>
        <v>0</v>
      </c>
      <c r="P274">
        <f>IFERROR(MAX(IF(N274 &gt; 参数!$B$17,参数!$B$17+SQRT(N274-参数!$B$17)*参数!$B$18,N274)-MAX(H274,0)*参数!$B$10,0)/MAX(H274,0.4),0)</f>
        <v>0</v>
      </c>
      <c r="Q274">
        <f>卡牌总表!AO274</f>
        <v>0</v>
      </c>
    </row>
    <row r="275" spans="1:17" x14ac:dyDescent="0.3">
      <c r="A275">
        <f t="shared" si="12"/>
        <v>274</v>
      </c>
      <c r="B275" t="str">
        <f>卡牌总表!B275</f>
        <v>regent_glitterstream</v>
      </c>
      <c r="C275" t="str">
        <f>卡牌总表!D275</f>
        <v>流光溢彩</v>
      </c>
      <c r="D275" t="str">
        <f>卡牌总表!F275</f>
        <v>技能</v>
      </c>
      <c r="E275">
        <f>卡牌总表!AL275</f>
        <v>0</v>
      </c>
      <c r="F275">
        <f>卡牌总表!AN275</f>
        <v>0</v>
      </c>
      <c r="G275">
        <f>卡牌总表!AP275</f>
        <v>2</v>
      </c>
      <c r="H275">
        <f>IF(ISNUMBER(卡牌总表!H275),IF(AND(卡牌总表!H275=0,卡牌总表!V275=0,卡牌总表!AK275="none"),0.4,IF(卡牌总表!AK275="exhaust",MAX(卡牌总表!H275-卡牌总表!V275,0.4),IF(卡牌总表!AK275="ethereal",MAX(卡牌总表!H275-卡牌总表!V275,0.4),MAX(卡牌总表!H275-卡牌总表!V275,0.4)))),IF(OR(卡牌总表!H275="X",卡牌总表!H275="∞"),0.4,0.4))</f>
        <v>2</v>
      </c>
      <c r="I275">
        <f>卡牌总表!M275*卡牌总表!O275*参数!$B$5*IF(AND(卡牌总表!F275="能力",卡牌总表!AL275="能力持续"),参数!$B$2,1)+卡牌总表!P275*参数!$B$6*IF(AND(卡牌总表!F275="能力",卡牌总表!AL275="能力持续"),参数!$B$2,1)+卡牌总表!R275*参数!$B$7*IF(AND(卡牌总表!F275="能力",卡牌总表!AL275="能力持续"),参数!$B$2,1)+卡牌总表!V275*参数!$B$8+IF(卡牌总表!X275&lt;0,卡牌总表!X275*参数!$B$13,卡牌总表!X275*参数!$B$39)+IF(卡牌总表!AE275&lt;0,卡牌总表!AE275*参数!$B$13,卡牌总表!AE275*参数!$B$12)*参数!$B$2+卡牌总表!AQ275*参数!$B$15+卡牌总表!AB275*参数!$B$11+卡牌总表!AF275*参数!$B$40*参数!$B$2+卡牌总表!AG275*参数!$B$44*参数!$B$2+卡牌总表!AH275*参数!$B$6*参数!$B$2+卡牌总表!AI275*参数!$B$39*参数!$B$2+卡牌总表!AJ275*参数!$B$6*参数!$B$2+卡牌总表!Z275*参数!$B$13-卡牌总表!T275*参数!$B$14-卡牌总表!AD275*参数!$B$13+IF(ISNUMBER(卡牌总表!AU275),卡牌总表!AU275*参数!$B$38,0)-卡牌总表!AV275*参数!$B$41-卡牌总表!AW275*参数!$B$14</f>
        <v>19.8</v>
      </c>
      <c r="J275">
        <f>IF(AND(卡牌总表!F275="能力",卡牌总表!AL275="能力持续"),(参数!$B$2-1)*参数!$B$3,0)</f>
        <v>0</v>
      </c>
      <c r="K275">
        <f t="shared" si="13"/>
        <v>19.8</v>
      </c>
      <c r="L275">
        <f>卡牌总表!N275*卡牌总表!O275*参数!$B$5*IF(AND(卡牌总表!F275="能力",卡牌总表!AL275="能力持续"),参数!$B$2,1)+卡牌总表!Q275*参数!$B$6*IF(AND(卡牌总表!F275="能力",卡牌总表!AL275="能力持续"),参数!$B$2,1)+卡牌总表!S275*参数!$B$7*IF(AND(卡牌总表!F275="能力",卡牌总表!AL275="能力持续"),参数!$B$2,1)+卡牌总表!W275*参数!$B$8+IF(卡牌总表!Y275&lt;0,卡牌总表!Y275*参数!$B$13,卡牌总表!Y275*参数!$B$39)+IF(卡牌总表!AE275&lt;0,卡牌总表!AE275*参数!$B$13,卡牌总表!AE275*参数!$B$12)*参数!$B$2+卡牌总表!AR275*参数!$B$15+卡牌总表!AC275*参数!$B$11+卡牌总表!AF275*参数!$B$40*参数!$B$2+卡牌总表!AG275*参数!$B$44*参数!$B$2+卡牌总表!AH275*参数!$B$6*参数!$B$2+卡牌总表!AI275*参数!$B$39*参数!$B$2+卡牌总表!AJ275*参数!$B$6*参数!$B$2+卡牌总表!AA275*参数!$B$13-卡牌总表!U275*参数!$B$14-卡牌总表!AD275*参数!$B$13+IF(ISNUMBER(卡牌总表!AU275),卡牌总表!AU275*参数!$B$38,0)-卡牌总表!AV275*参数!$B$41-卡牌总表!AW275*参数!$B$14</f>
        <v>22</v>
      </c>
      <c r="M275">
        <f>IF(AND(卡牌总表!F275="能力",卡牌总表!AL275="能力持续"),参数!$B$2*参数!$B$3,0)</f>
        <v>0</v>
      </c>
      <c r="N275">
        <f t="shared" si="14"/>
        <v>22</v>
      </c>
      <c r="O275">
        <f>IFERROR(MAX(IF(K275 &gt; 参数!$B$17,参数!$B$17+SQRT(K275-参数!$B$17)*参数!$B$18,K275)-MAX(G275,0)*参数!$B$10,0)/MAX(G275,0.4),0)</f>
        <v>4.3478713763747789</v>
      </c>
      <c r="P275">
        <f>IFERROR(MAX(IF(N275 &gt; 参数!$B$17,参数!$B$17+SQRT(N275-参数!$B$17)*参数!$B$18,N275)-MAX(H275,0)*参数!$B$10,0)/MAX(H275,0.4),0)</f>
        <v>4.598076211353316</v>
      </c>
      <c r="Q275">
        <f>卡牌总表!AO275</f>
        <v>0</v>
      </c>
    </row>
    <row r="276" spans="1:17" x14ac:dyDescent="0.3">
      <c r="A276">
        <f t="shared" si="12"/>
        <v>275</v>
      </c>
      <c r="B276" t="str">
        <f>卡牌总表!B276</f>
        <v>regent_glow</v>
      </c>
      <c r="C276" t="str">
        <f>卡牌总表!D276</f>
        <v>辉光</v>
      </c>
      <c r="D276" t="str">
        <f>卡牌总表!F276</f>
        <v>技能</v>
      </c>
      <c r="E276">
        <f>卡牌总表!AL276</f>
        <v>0</v>
      </c>
      <c r="F276">
        <f>卡牌总表!AN276</f>
        <v>0</v>
      </c>
      <c r="G276">
        <f>卡牌总表!AP276</f>
        <v>1</v>
      </c>
      <c r="H276">
        <f>IF(ISNUMBER(卡牌总表!H276),IF(AND(卡牌总表!H276=0,卡牌总表!V276=0,卡牌总表!AK276="none"),0.4,IF(卡牌总表!AK276="exhaust",MAX(卡牌总表!H276-卡牌总表!V276,0.4),IF(卡牌总表!AK276="ethereal",MAX(卡牌总表!H276-卡牌总表!V276,0.4),MAX(卡牌总表!H276-卡牌总表!V276,0.4)))),IF(OR(卡牌总表!H276="X",卡牌总表!H276="∞"),0.4,0.4))</f>
        <v>1</v>
      </c>
      <c r="I276">
        <f>卡牌总表!M276*卡牌总表!O276*参数!$B$5*IF(AND(卡牌总表!F276="能力",卡牌总表!AL276="能力持续"),参数!$B$2,1)+卡牌总表!P276*参数!$B$6*IF(AND(卡牌总表!F276="能力",卡牌总表!AL276="能力持续"),参数!$B$2,1)+卡牌总表!R276*参数!$B$7*IF(AND(卡牌总表!F276="能力",卡牌总表!AL276="能力持续"),参数!$B$2,1)+卡牌总表!V276*参数!$B$8+IF(卡牌总表!X276&lt;0,卡牌总表!X276*参数!$B$13,卡牌总表!X276*参数!$B$39)+IF(卡牌总表!AE276&lt;0,卡牌总表!AE276*参数!$B$13,卡牌总表!AE276*参数!$B$12)*参数!$B$2+卡牌总表!AQ276*参数!$B$15+卡牌总表!AB276*参数!$B$11+卡牌总表!AF276*参数!$B$40*参数!$B$2+卡牌总表!AG276*参数!$B$44*参数!$B$2+卡牌总表!AH276*参数!$B$6*参数!$B$2+卡牌总表!AI276*参数!$B$39*参数!$B$2+卡牌总表!AJ276*参数!$B$6*参数!$B$2+卡牌总表!Z276*参数!$B$13-卡牌总表!T276*参数!$B$14-卡牌总表!AD276*参数!$B$13+IF(ISNUMBER(卡牌总表!AU276),卡牌总表!AU276*参数!$B$38,0)-卡牌总表!AV276*参数!$B$41-卡牌总表!AW276*参数!$B$14</f>
        <v>2.7</v>
      </c>
      <c r="J276">
        <f>IF(AND(卡牌总表!F276="能力",卡牌总表!AL276="能力持续"),(参数!$B$2-1)*参数!$B$3,0)</f>
        <v>0</v>
      </c>
      <c r="K276">
        <f t="shared" si="13"/>
        <v>2.7</v>
      </c>
      <c r="L276">
        <f>卡牌总表!N276*卡牌总表!O276*参数!$B$5*IF(AND(卡牌总表!F276="能力",卡牌总表!AL276="能力持续"),参数!$B$2,1)+卡牌总表!Q276*参数!$B$6*IF(AND(卡牌总表!F276="能力",卡牌总表!AL276="能力持续"),参数!$B$2,1)+卡牌总表!S276*参数!$B$7*IF(AND(卡牌总表!F276="能力",卡牌总表!AL276="能力持续"),参数!$B$2,1)+卡牌总表!W276*参数!$B$8+IF(卡牌总表!Y276&lt;0,卡牌总表!Y276*参数!$B$13,卡牌总表!Y276*参数!$B$39)+IF(卡牌总表!AE276&lt;0,卡牌总表!AE276*参数!$B$13,卡牌总表!AE276*参数!$B$12)*参数!$B$2+卡牌总表!AR276*参数!$B$15+卡牌总表!AC276*参数!$B$11+卡牌总表!AF276*参数!$B$40*参数!$B$2+卡牌总表!AG276*参数!$B$44*参数!$B$2+卡牌总表!AH276*参数!$B$6*参数!$B$2+卡牌总表!AI276*参数!$B$39*参数!$B$2+卡牌总表!AJ276*参数!$B$6*参数!$B$2+卡牌总表!AA276*参数!$B$13-卡牌总表!U276*参数!$B$14-卡牌总表!AD276*参数!$B$13+IF(ISNUMBER(卡牌总表!AU276),卡牌总表!AU276*参数!$B$38,0)-卡牌总表!AV276*参数!$B$41-卡牌总表!AW276*参数!$B$14</f>
        <v>4</v>
      </c>
      <c r="M276">
        <f>IF(AND(卡牌总表!F276="能力",卡牌总表!AL276="能力持续"),参数!$B$2*参数!$B$3,0)</f>
        <v>0</v>
      </c>
      <c r="N276">
        <f t="shared" si="14"/>
        <v>4</v>
      </c>
      <c r="O276">
        <f>IFERROR(MAX(IF(K276 &gt; 参数!$B$17,参数!$B$17+SQRT(K276-参数!$B$17)*参数!$B$18,K276)-MAX(G276,0)*参数!$B$10,0)/MAX(G276,0.4),0)</f>
        <v>0</v>
      </c>
      <c r="P276">
        <f>IFERROR(MAX(IF(N276 &gt; 参数!$B$17,参数!$B$17+SQRT(N276-参数!$B$17)*参数!$B$18,N276)-MAX(H276,0)*参数!$B$10,0)/MAX(H276,0.4),0)</f>
        <v>1</v>
      </c>
      <c r="Q276" t="str">
        <f>卡牌总表!AO276</f>
        <v>Gain能量数值需核对</v>
      </c>
    </row>
    <row r="277" spans="1:17" x14ac:dyDescent="0.3">
      <c r="A277">
        <f t="shared" si="12"/>
        <v>276</v>
      </c>
      <c r="B277" t="str">
        <f>卡牌总表!B277</f>
        <v>regent_guards</v>
      </c>
      <c r="C277" t="str">
        <f>卡牌总表!D277</f>
        <v>护驾！！！</v>
      </c>
      <c r="D277" t="str">
        <f>卡牌总表!F277</f>
        <v>技能</v>
      </c>
      <c r="E277">
        <f>卡牌总表!AL277</f>
        <v>0</v>
      </c>
      <c r="F277">
        <f>卡牌总表!AN277</f>
        <v>0</v>
      </c>
      <c r="G277">
        <f>卡牌总表!AP277</f>
        <v>2</v>
      </c>
      <c r="H277">
        <f>IF(ISNUMBER(卡牌总表!H277),IF(AND(卡牌总表!H277=0,卡牌总表!V277=0,卡牌总表!AK277="none"),0.4,IF(卡牌总表!AK277="exhaust",MAX(卡牌总表!H277-卡牌总表!V277,0.4),IF(卡牌总表!AK277="ethereal",MAX(卡牌总表!H277-卡牌总表!V277,0.4),MAX(卡牌总表!H277-卡牌总表!V277,0.4)))),IF(OR(卡牌总表!H277="X",卡牌总表!H277="∞"),0.4,0.4))</f>
        <v>2</v>
      </c>
      <c r="I277">
        <f>卡牌总表!M277*卡牌总表!O277*参数!$B$5*IF(AND(卡牌总表!F277="能力",卡牌总表!AL277="能力持续"),参数!$B$2,1)+卡牌总表!P277*参数!$B$6*IF(AND(卡牌总表!F277="能力",卡牌总表!AL277="能力持续"),参数!$B$2,1)+卡牌总表!R277*参数!$B$7*IF(AND(卡牌总表!F277="能力",卡牌总表!AL277="能力持续"),参数!$B$2,1)+卡牌总表!V277*参数!$B$8+IF(卡牌总表!X277&lt;0,卡牌总表!X277*参数!$B$13,卡牌总表!X277*参数!$B$39)+IF(卡牌总表!AE277&lt;0,卡牌总表!AE277*参数!$B$13,卡牌总表!AE277*参数!$B$12)*参数!$B$2+卡牌总表!AQ277*参数!$B$15+卡牌总表!AB277*参数!$B$11+卡牌总表!AF277*参数!$B$40*参数!$B$2+卡牌总表!AG277*参数!$B$44*参数!$B$2+卡牌总表!AH277*参数!$B$6*参数!$B$2+卡牌总表!AI277*参数!$B$39*参数!$B$2+卡牌总表!AJ277*参数!$B$6*参数!$B$2+卡牌总表!Z277*参数!$B$13-卡牌总表!T277*参数!$B$14-卡牌总表!AD277*参数!$B$13+IF(ISNUMBER(卡牌总表!AU277),卡牌总表!AU277*参数!$B$38,0)-卡牌总表!AV277*参数!$B$41-卡牌总表!AW277*参数!$B$14</f>
        <v>24</v>
      </c>
      <c r="J277">
        <f>IF(AND(卡牌总表!F277="能力",卡牌总表!AL277="能力持续"),(参数!$B$2-1)*参数!$B$3,0)</f>
        <v>0</v>
      </c>
      <c r="K277">
        <f t="shared" si="13"/>
        <v>24</v>
      </c>
      <c r="L277">
        <f>卡牌总表!N277*卡牌总表!O277*参数!$B$5*IF(AND(卡牌总表!F277="能力",卡牌总表!AL277="能力持续"),参数!$B$2,1)+卡牌总表!Q277*参数!$B$6*IF(AND(卡牌总表!F277="能力",卡牌总表!AL277="能力持续"),参数!$B$2,1)+卡牌总表!S277*参数!$B$7*IF(AND(卡牌总表!F277="能力",卡牌总表!AL277="能力持续"),参数!$B$2,1)+卡牌总表!W277*参数!$B$8+IF(卡牌总表!Y277&lt;0,卡牌总表!Y277*参数!$B$13,卡牌总表!Y277*参数!$B$39)+IF(卡牌总表!AE277&lt;0,卡牌总表!AE277*参数!$B$13,卡牌总表!AE277*参数!$B$12)*参数!$B$2+卡牌总表!AR277*参数!$B$15+卡牌总表!AC277*参数!$B$11+卡牌总表!AF277*参数!$B$40*参数!$B$2+卡牌总表!AG277*参数!$B$44*参数!$B$2+卡牌总表!AH277*参数!$B$6*参数!$B$2+卡牌总表!AI277*参数!$B$39*参数!$B$2+卡牌总表!AJ277*参数!$B$6*参数!$B$2+卡牌总表!AA277*参数!$B$13-卡牌总表!U277*参数!$B$14-卡牌总表!AD277*参数!$B$13+IF(ISNUMBER(卡牌总表!AU277),卡牌总表!AU277*参数!$B$38,0)-卡牌总表!AV277*参数!$B$41-卡牌总表!AW277*参数!$B$14</f>
        <v>0</v>
      </c>
      <c r="M277">
        <f>IF(AND(卡牌总表!F277="能力",卡牌总表!AL277="能力持续"),参数!$B$2*参数!$B$3,0)</f>
        <v>0</v>
      </c>
      <c r="N277">
        <f t="shared" si="14"/>
        <v>0</v>
      </c>
      <c r="O277">
        <f>IFERROR(MAX(IF(K277 &gt; 参数!$B$17,参数!$B$17+SQRT(K277-参数!$B$17)*参数!$B$18,K277)-MAX(G277,0)*参数!$B$10,0)/MAX(G277,0.4),0)</f>
        <v>4.8062430400804566</v>
      </c>
      <c r="P277">
        <f>IFERROR(MAX(IF(N277 &gt; 参数!$B$17,参数!$B$17+SQRT(N277-参数!$B$17)*参数!$B$18,N277)-MAX(H277,0)*参数!$B$10,0)/MAX(H277,0.4),0)</f>
        <v>0</v>
      </c>
      <c r="Q277">
        <f>卡牌总表!AO277</f>
        <v>0</v>
      </c>
    </row>
    <row r="278" spans="1:17" x14ac:dyDescent="0.3">
      <c r="A278">
        <f t="shared" si="12"/>
        <v>277</v>
      </c>
      <c r="B278" t="str">
        <f>卡牌总表!B278</f>
        <v>regent_guiding_star</v>
      </c>
      <c r="C278" t="str">
        <f>卡牌总表!D278</f>
        <v>引导之星</v>
      </c>
      <c r="D278" t="str">
        <f>卡牌总表!F278</f>
        <v>攻击</v>
      </c>
      <c r="E278">
        <f>卡牌总表!AL278</f>
        <v>0</v>
      </c>
      <c r="F278">
        <f>卡牌总表!AN278</f>
        <v>0</v>
      </c>
      <c r="G278">
        <f>卡牌总表!AP278</f>
        <v>1</v>
      </c>
      <c r="H278">
        <f>IF(ISNUMBER(卡牌总表!H278),IF(AND(卡牌总表!H278=0,卡牌总表!V278=0,卡牌总表!AK278="none"),0.4,IF(卡牌总表!AK278="exhaust",MAX(卡牌总表!H278-卡牌总表!V278,0.4),IF(卡牌总表!AK278="ethereal",MAX(卡牌总表!H278-卡牌总表!V278,0.4),MAX(卡牌总表!H278-卡牌总表!V278,0.4)))),IF(OR(卡牌总表!H278="X",卡牌总表!H278="∞"),0.4,0.4))</f>
        <v>1</v>
      </c>
      <c r="I278">
        <f>卡牌总表!M278*卡牌总表!O278*参数!$B$5*IF(AND(卡牌总表!F278="能力",卡牌总表!AL278="能力持续"),参数!$B$2,1)+卡牌总表!P278*参数!$B$6*IF(AND(卡牌总表!F278="能力",卡牌总表!AL278="能力持续"),参数!$B$2,1)+卡牌总表!R278*参数!$B$7*IF(AND(卡牌总表!F278="能力",卡牌总表!AL278="能力持续"),参数!$B$2,1)+卡牌总表!V278*参数!$B$8+IF(卡牌总表!X278&lt;0,卡牌总表!X278*参数!$B$13,卡牌总表!X278*参数!$B$39)+IF(卡牌总表!AE278&lt;0,卡牌总表!AE278*参数!$B$13,卡牌总表!AE278*参数!$B$12)*参数!$B$2+卡牌总表!AQ278*参数!$B$15+卡牌总表!AB278*参数!$B$11+卡牌总表!AF278*参数!$B$40*参数!$B$2+卡牌总表!AG278*参数!$B$44*参数!$B$2+卡牌总表!AH278*参数!$B$6*参数!$B$2+卡牌总表!AI278*参数!$B$39*参数!$B$2+卡牌总表!AJ278*参数!$B$6*参数!$B$2+卡牌总表!Z278*参数!$B$13-卡牌总表!T278*参数!$B$14-卡牌总表!AD278*参数!$B$13+IF(ISNUMBER(卡牌总表!AU278),卡牌总表!AU278*参数!$B$38,0)-卡牌总表!AV278*参数!$B$41-卡牌总表!AW278*参数!$B$14</f>
        <v>10.4</v>
      </c>
      <c r="J278">
        <f>IF(AND(卡牌总表!F278="能力",卡牌总表!AL278="能力持续"),(参数!$B$2-1)*参数!$B$3,0)</f>
        <v>0</v>
      </c>
      <c r="K278">
        <f t="shared" si="13"/>
        <v>10.4</v>
      </c>
      <c r="L278">
        <f>卡牌总表!N278*卡牌总表!O278*参数!$B$5*IF(AND(卡牌总表!F278="能力",卡牌总表!AL278="能力持续"),参数!$B$2,1)+卡牌总表!Q278*参数!$B$6*IF(AND(卡牌总表!F278="能力",卡牌总表!AL278="能力持续"),参数!$B$2,1)+卡牌总表!S278*参数!$B$7*IF(AND(卡牌总表!F278="能力",卡牌总表!AL278="能力持续"),参数!$B$2,1)+卡牌总表!W278*参数!$B$8+IF(卡牌总表!Y278&lt;0,卡牌总表!Y278*参数!$B$13,卡牌总表!Y278*参数!$B$39)+IF(卡牌总表!AE278&lt;0,卡牌总表!AE278*参数!$B$13,卡牌总表!AE278*参数!$B$12)*参数!$B$2+卡牌总表!AR278*参数!$B$15+卡牌总表!AC278*参数!$B$11+卡牌总表!AF278*参数!$B$40*参数!$B$2+卡牌总表!AG278*参数!$B$44*参数!$B$2+卡牌总表!AH278*参数!$B$6*参数!$B$2+卡牌总表!AI278*参数!$B$39*参数!$B$2+卡牌总表!AJ278*参数!$B$6*参数!$B$2+卡牌总表!AA278*参数!$B$13-卡牌总表!U278*参数!$B$14-卡牌总表!AD278*参数!$B$13+IF(ISNUMBER(卡牌总表!AU278),卡牌总表!AU278*参数!$B$38,0)-卡牌总表!AV278*参数!$B$41-卡牌总表!AW278*参数!$B$14</f>
        <v>12.1</v>
      </c>
      <c r="M278">
        <f>IF(AND(卡牌总表!F278="能力",卡牌总表!AL278="能力持续"),参数!$B$2*参数!$B$3,0)</f>
        <v>0</v>
      </c>
      <c r="N278">
        <f t="shared" si="14"/>
        <v>12.1</v>
      </c>
      <c r="O278">
        <f>IFERROR(MAX(IF(K278 &gt; 参数!$B$17,参数!$B$17+SQRT(K278-参数!$B$17)*参数!$B$18,K278)-MAX(G278,0)*参数!$B$10,0)/MAX(G278,0.4),0)</f>
        <v>7.9486832980505149</v>
      </c>
      <c r="P278">
        <f>IFERROR(MAX(IF(N278 &gt; 参数!$B$17,参数!$B$17+SQRT(N278-参数!$B$17)*参数!$B$18,N278)-MAX(H278,0)*参数!$B$10,0)/MAX(H278,0.4),0)</f>
        <v>9.1737065119284154</v>
      </c>
      <c r="Q278">
        <f>卡牌总表!AO278</f>
        <v>0</v>
      </c>
    </row>
    <row r="279" spans="1:17" x14ac:dyDescent="0.3">
      <c r="A279">
        <f t="shared" si="12"/>
        <v>278</v>
      </c>
      <c r="B279" t="str">
        <f>卡牌总表!B279</f>
        <v>regent_hammer_time</v>
      </c>
      <c r="C279" t="str">
        <f>卡牌总表!D279</f>
        <v>锤子时间</v>
      </c>
      <c r="D279" t="str">
        <f>卡牌总表!F279</f>
        <v>能力</v>
      </c>
      <c r="E279" t="str">
        <f>卡牌总表!AL279</f>
        <v>能力持续</v>
      </c>
      <c r="F279" t="str">
        <f>卡牌总表!AN279</f>
        <v>能力</v>
      </c>
      <c r="G279">
        <f>卡牌总表!AP279</f>
        <v>2</v>
      </c>
      <c r="H279">
        <f>IF(ISNUMBER(卡牌总表!H279),IF(AND(卡牌总表!H279=0,卡牌总表!V279=0,卡牌总表!AK279="none"),0.4,IF(卡牌总表!AK279="exhaust",MAX(卡牌总表!H279-卡牌总表!V279,0.4),IF(卡牌总表!AK279="ethereal",MAX(卡牌总表!H279-卡牌总表!V279,0.4),MAX(卡牌总表!H279-卡牌总表!V279,0.4)))),IF(OR(卡牌总表!H279="X",卡牌总表!H279="∞"),0.4,0.4))</f>
        <v>2</v>
      </c>
      <c r="I279">
        <f>卡牌总表!M279*卡牌总表!O279*参数!$B$5*IF(AND(卡牌总表!F279="能力",卡牌总表!AL279="能力持续"),参数!$B$2,1)+卡牌总表!P279*参数!$B$6*IF(AND(卡牌总表!F279="能力",卡牌总表!AL279="能力持续"),参数!$B$2,1)+卡牌总表!R279*参数!$B$7*IF(AND(卡牌总表!F279="能力",卡牌总表!AL279="能力持续"),参数!$B$2,1)+卡牌总表!V279*参数!$B$8+IF(卡牌总表!X279&lt;0,卡牌总表!X279*参数!$B$13,卡牌总表!X279*参数!$B$39)+IF(卡牌总表!AE279&lt;0,卡牌总表!AE279*参数!$B$13,卡牌总表!AE279*参数!$B$12)*参数!$B$2+卡牌总表!AQ279*参数!$B$15+卡牌总表!AB279*参数!$B$11+卡牌总表!AF279*参数!$B$40*参数!$B$2+卡牌总表!AG279*参数!$B$44*参数!$B$2+卡牌总表!AH279*参数!$B$6*参数!$B$2+卡牌总表!AI279*参数!$B$39*参数!$B$2+卡牌总表!AJ279*参数!$B$6*参数!$B$2+卡牌总表!Z279*参数!$B$13-卡牌总表!T279*参数!$B$14-卡牌总表!AD279*参数!$B$13+IF(ISNUMBER(卡牌总表!AU279),卡牌总表!AU279*参数!$B$38,0)-卡牌总表!AV279*参数!$B$41-卡牌总表!AW279*参数!$B$14</f>
        <v>0</v>
      </c>
      <c r="J279">
        <f>IF(AND(卡牌总表!F279="能力",卡牌总表!AL279="能力持续"),(参数!$B$2-1)*参数!$B$3,0)</f>
        <v>3.5999999999999996</v>
      </c>
      <c r="K279">
        <f t="shared" si="13"/>
        <v>3.5999999999999996</v>
      </c>
      <c r="L279">
        <f>卡牌总表!N279*卡牌总表!O279*参数!$B$5*IF(AND(卡牌总表!F279="能力",卡牌总表!AL279="能力持续"),参数!$B$2,1)+卡牌总表!Q279*参数!$B$6*IF(AND(卡牌总表!F279="能力",卡牌总表!AL279="能力持续"),参数!$B$2,1)+卡牌总表!S279*参数!$B$7*IF(AND(卡牌总表!F279="能力",卡牌总表!AL279="能力持续"),参数!$B$2,1)+卡牌总表!W279*参数!$B$8+IF(卡牌总表!Y279&lt;0,卡牌总表!Y279*参数!$B$13,卡牌总表!Y279*参数!$B$39)+IF(卡牌总表!AE279&lt;0,卡牌总表!AE279*参数!$B$13,卡牌总表!AE279*参数!$B$12)*参数!$B$2+卡牌总表!AR279*参数!$B$15+卡牌总表!AC279*参数!$B$11+卡牌总表!AF279*参数!$B$40*参数!$B$2+卡牌总表!AG279*参数!$B$44*参数!$B$2+卡牌总表!AH279*参数!$B$6*参数!$B$2+卡牌总表!AI279*参数!$B$39*参数!$B$2+卡牌总表!AJ279*参数!$B$6*参数!$B$2+卡牌总表!AA279*参数!$B$13-卡牌总表!U279*参数!$B$14-卡牌总表!AD279*参数!$B$13+IF(ISNUMBER(卡牌总表!AU279),卡牌总表!AU279*参数!$B$38,0)-卡牌总表!AV279*参数!$B$41-卡牌总表!AW279*参数!$B$14</f>
        <v>0</v>
      </c>
      <c r="M279">
        <f>IF(AND(卡牌总表!F279="能力",卡牌总表!AL279="能力持续"),参数!$B$2*参数!$B$3,0)</f>
        <v>4.8</v>
      </c>
      <c r="N279">
        <f t="shared" si="14"/>
        <v>4.8</v>
      </c>
      <c r="O279">
        <f>IFERROR(MAX(IF(K279 &gt; 参数!$B$17,参数!$B$17+SQRT(K279-参数!$B$17)*参数!$B$18,K279)-MAX(G279,0)*参数!$B$10,0)/MAX(G279,0.4),0)</f>
        <v>0</v>
      </c>
      <c r="P279">
        <f>IFERROR(MAX(IF(N279 &gt; 参数!$B$17,参数!$B$17+SQRT(N279-参数!$B$17)*参数!$B$18,N279)-MAX(H279,0)*参数!$B$10,0)/MAX(H279,0.4),0)</f>
        <v>0</v>
      </c>
      <c r="Q279">
        <f>卡牌总表!AO279</f>
        <v>0</v>
      </c>
    </row>
    <row r="280" spans="1:17" x14ac:dyDescent="0.3">
      <c r="A280">
        <f t="shared" si="12"/>
        <v>279</v>
      </c>
      <c r="B280" t="str">
        <f>卡牌总表!B280</f>
        <v>regent_heavenly_drill</v>
      </c>
      <c r="C280" t="str">
        <f>卡牌总表!D280</f>
        <v>天际钻头</v>
      </c>
      <c r="D280" t="str">
        <f>卡牌总表!F280</f>
        <v>攻击</v>
      </c>
      <c r="E280">
        <f>卡牌总表!AL280</f>
        <v>0</v>
      </c>
      <c r="F280">
        <f>卡牌总表!AN280</f>
        <v>0</v>
      </c>
      <c r="G280">
        <f>卡牌总表!AP280</f>
        <v>0.4</v>
      </c>
      <c r="H280">
        <f>IF(ISNUMBER(卡牌总表!H280),IF(AND(卡牌总表!H280=0,卡牌总表!V280=0,卡牌总表!AK280="none"),0.4,IF(卡牌总表!AK280="exhaust",MAX(卡牌总表!H280-卡牌总表!V280,0.4),IF(卡牌总表!AK280="ethereal",MAX(卡牌总表!H280-卡牌总表!V280,0.4),MAX(卡牌总表!H280-卡牌总表!V280,0.4)))),IF(OR(卡牌总表!H280="X",卡牌总表!H280="∞"),0.4,0.4))</f>
        <v>0.4</v>
      </c>
      <c r="I280">
        <f>卡牌总表!M280*卡牌总表!O280*参数!$B$5*IF(AND(卡牌总表!F280="能力",卡牌总表!AL280="能力持续"),参数!$B$2,1)+卡牌总表!P280*参数!$B$6*IF(AND(卡牌总表!F280="能力",卡牌总表!AL280="能力持续"),参数!$B$2,1)+卡牌总表!R280*参数!$B$7*IF(AND(卡牌总表!F280="能力",卡牌总表!AL280="能力持续"),参数!$B$2,1)+卡牌总表!V280*参数!$B$8+IF(卡牌总表!X280&lt;0,卡牌总表!X280*参数!$B$13,卡牌总表!X280*参数!$B$39)+IF(卡牌总表!AE280&lt;0,卡牌总表!AE280*参数!$B$13,卡牌总表!AE280*参数!$B$12)*参数!$B$2+卡牌总表!AQ280*参数!$B$15+卡牌总表!AB280*参数!$B$11+卡牌总表!AF280*参数!$B$40*参数!$B$2+卡牌总表!AG280*参数!$B$44*参数!$B$2+卡牌总表!AH280*参数!$B$6*参数!$B$2+卡牌总表!AI280*参数!$B$39*参数!$B$2+卡牌总表!AJ280*参数!$B$6*参数!$B$2+卡牌总表!Z280*参数!$B$13-卡牌总表!T280*参数!$B$14-卡牌总表!AD280*参数!$B$13+IF(ISNUMBER(卡牌总表!AU280),卡牌总表!AU280*参数!$B$38,0)-卡牌总表!AV280*参数!$B$41-卡牌总表!AW280*参数!$B$14</f>
        <v>16</v>
      </c>
      <c r="J280">
        <f>IF(AND(卡牌总表!F280="能力",卡牌总表!AL280="能力持续"),(参数!$B$2-1)*参数!$B$3,0)</f>
        <v>0</v>
      </c>
      <c r="K280">
        <f t="shared" si="13"/>
        <v>16</v>
      </c>
      <c r="L280">
        <f>卡牌总表!N280*卡牌总表!O280*参数!$B$5*IF(AND(卡牌总表!F280="能力",卡牌总表!AL280="能力持续"),参数!$B$2,1)+卡牌总表!Q280*参数!$B$6*IF(AND(卡牌总表!F280="能力",卡牌总表!AL280="能力持续"),参数!$B$2,1)+卡牌总表!S280*参数!$B$7*IF(AND(卡牌总表!F280="能力",卡牌总表!AL280="能力持续"),参数!$B$2,1)+卡牌总表!W280*参数!$B$8+IF(卡牌总表!Y280&lt;0,卡牌总表!Y280*参数!$B$13,卡牌总表!Y280*参数!$B$39)+IF(卡牌总表!AE280&lt;0,卡牌总表!AE280*参数!$B$13,卡牌总表!AE280*参数!$B$12)*参数!$B$2+卡牌总表!AR280*参数!$B$15+卡牌总表!AC280*参数!$B$11+卡牌总表!AF280*参数!$B$40*参数!$B$2+卡牌总表!AG280*参数!$B$44*参数!$B$2+卡牌总表!AH280*参数!$B$6*参数!$B$2+卡牌总表!AI280*参数!$B$39*参数!$B$2+卡牌总表!AJ280*参数!$B$6*参数!$B$2+卡牌总表!AA280*参数!$B$13-卡牌总表!U280*参数!$B$14-卡牌总表!AD280*参数!$B$13+IF(ISNUMBER(卡牌总表!AU280),卡牌总表!AU280*参数!$B$38,0)-卡牌总表!AV280*参数!$B$41-卡牌总表!AW280*参数!$B$14</f>
        <v>20</v>
      </c>
      <c r="M280">
        <f>IF(AND(卡牌总表!F280="能力",卡牌总表!AL280="能力持续"),参数!$B$2*参数!$B$3,0)</f>
        <v>0</v>
      </c>
      <c r="N280">
        <f t="shared" si="14"/>
        <v>20</v>
      </c>
      <c r="O280">
        <f>IFERROR(MAX(IF(K280 &gt; 参数!$B$17,参数!$B$17+SQRT(K280-参数!$B$17)*参数!$B$18,K280)-MAX(G280,0)*参数!$B$10,0)/MAX(G280,0.4),0)</f>
        <v>31.185586535436912</v>
      </c>
      <c r="P280">
        <f>IFERROR(MAX(IF(N280 &gt; 参数!$B$17,参数!$B$17+SQRT(N280-参数!$B$17)*参数!$B$18,N280)-MAX(H280,0)*参数!$B$10,0)/MAX(H280,0.4),0)</f>
        <v>33.85854122563142</v>
      </c>
      <c r="Q280">
        <f>卡牌总表!AO280</f>
        <v>0</v>
      </c>
    </row>
    <row r="281" spans="1:17" x14ac:dyDescent="0.3">
      <c r="A281">
        <f t="shared" si="12"/>
        <v>280</v>
      </c>
      <c r="B281" t="str">
        <f>卡牌总表!B281</f>
        <v>regent_hegemony</v>
      </c>
      <c r="C281" t="str">
        <f>卡牌总表!D281</f>
        <v>霸权</v>
      </c>
      <c r="D281" t="str">
        <f>卡牌总表!F281</f>
        <v>攻击</v>
      </c>
      <c r="E281">
        <f>卡牌总表!AL281</f>
        <v>0</v>
      </c>
      <c r="F281">
        <f>卡牌总表!AN281</f>
        <v>0</v>
      </c>
      <c r="G281">
        <f>卡牌总表!AP281</f>
        <v>0.4</v>
      </c>
      <c r="H281">
        <f>IF(ISNUMBER(卡牌总表!H281),IF(AND(卡牌总表!H281=0,卡牌总表!V281=0,卡牌总表!AK281="none"),0.4,IF(卡牌总表!AK281="exhaust",MAX(卡牌总表!H281-卡牌总表!V281,0.4),IF(卡牌总表!AK281="ethereal",MAX(卡牌总表!H281-卡牌总表!V281,0.4),MAX(卡牌总表!H281-卡牌总表!V281,0.4)))),IF(OR(卡牌总表!H281="X",卡牌总表!H281="∞"),0.4,0.4))</f>
        <v>0.4</v>
      </c>
      <c r="I281">
        <f>卡牌总表!M281*卡牌总表!O281*参数!$B$5*IF(AND(卡牌总表!F281="能力",卡牌总表!AL281="能力持续"),参数!$B$2,1)+卡牌总表!P281*参数!$B$6*IF(AND(卡牌总表!F281="能力",卡牌总表!AL281="能力持续"),参数!$B$2,1)+卡牌总表!R281*参数!$B$7*IF(AND(卡牌总表!F281="能力",卡牌总表!AL281="能力持续"),参数!$B$2,1)+卡牌总表!V281*参数!$B$8+IF(卡牌总表!X281&lt;0,卡牌总表!X281*参数!$B$13,卡牌总表!X281*参数!$B$39)+IF(卡牌总表!AE281&lt;0,卡牌总表!AE281*参数!$B$13,卡牌总表!AE281*参数!$B$12)*参数!$B$2+卡牌总表!AQ281*参数!$B$15+卡牌总表!AB281*参数!$B$11+卡牌总表!AF281*参数!$B$40*参数!$B$2+卡牌总表!AG281*参数!$B$44*参数!$B$2+卡牌总表!AH281*参数!$B$6*参数!$B$2+卡牌总表!AI281*参数!$B$39*参数!$B$2+卡牌总表!AJ281*参数!$B$6*参数!$B$2+卡牌总表!Z281*参数!$B$13-卡牌总表!T281*参数!$B$14-卡牌总表!AD281*参数!$B$13+IF(ISNUMBER(卡牌总表!AU281),卡牌总表!AU281*参数!$B$38,0)-卡牌总表!AV281*参数!$B$41-卡牌总表!AW281*参数!$B$14</f>
        <v>21</v>
      </c>
      <c r="J281">
        <f>IF(AND(卡牌总表!F281="能力",卡牌总表!AL281="能力持续"),(参数!$B$2-1)*参数!$B$3,0)</f>
        <v>0</v>
      </c>
      <c r="K281">
        <f t="shared" si="13"/>
        <v>21</v>
      </c>
      <c r="L281">
        <f>卡牌总表!N281*卡牌总表!O281*参数!$B$5*IF(AND(卡牌总表!F281="能力",卡牌总表!AL281="能力持续"),参数!$B$2,1)+卡牌总表!Q281*参数!$B$6*IF(AND(卡牌总表!F281="能力",卡牌总表!AL281="能力持续"),参数!$B$2,1)+卡牌总表!S281*参数!$B$7*IF(AND(卡牌总表!F281="能力",卡牌总表!AL281="能力持续"),参数!$B$2,1)+卡牌总表!W281*参数!$B$8+IF(卡牌总表!Y281&lt;0,卡牌总表!Y281*参数!$B$13,卡牌总表!Y281*参数!$B$39)+IF(卡牌总表!AE281&lt;0,卡牌总表!AE281*参数!$B$13,卡牌总表!AE281*参数!$B$12)*参数!$B$2+卡牌总表!AR281*参数!$B$15+卡牌总表!AC281*参数!$B$11+卡牌总表!AF281*参数!$B$40*参数!$B$2+卡牌总表!AG281*参数!$B$44*参数!$B$2+卡牌总表!AH281*参数!$B$6*参数!$B$2+卡牌总表!AI281*参数!$B$39*参数!$B$2+卡牌总表!AJ281*参数!$B$6*参数!$B$2+卡牌总表!AA281*参数!$B$13-卡牌总表!U281*参数!$B$14-卡牌总表!AD281*参数!$B$13+IF(ISNUMBER(卡牌总表!AU281),卡牌总表!AU281*参数!$B$38,0)-卡牌总表!AV281*参数!$B$41-卡牌总表!AW281*参数!$B$14</f>
        <v>27</v>
      </c>
      <c r="M281">
        <f>IF(AND(卡牌总表!F281="能力",卡牌总表!AL281="能力持续"),参数!$B$2*参数!$B$3,0)</f>
        <v>0</v>
      </c>
      <c r="N281">
        <f t="shared" si="14"/>
        <v>27</v>
      </c>
      <c r="O281">
        <f>IFERROR(MAX(IF(K281 &gt; 参数!$B$17,参数!$B$17+SQRT(K281-参数!$B$17)*参数!$B$18,K281)-MAX(G281,0)*参数!$B$10,0)/MAX(G281,0.4),0)</f>
        <v>34.437342963832748</v>
      </c>
      <c r="P281">
        <f>IFERROR(MAX(IF(N281 &gt; 参数!$B$17,参数!$B$17+SQRT(N281-参数!$B$17)*参数!$B$18,N281)-MAX(H281,0)*参数!$B$10,0)/MAX(H281,0.4),0)</f>
        <v>37.461646096066218</v>
      </c>
      <c r="Q281">
        <f>卡牌总表!AO281</f>
        <v>0</v>
      </c>
    </row>
    <row r="282" spans="1:17" x14ac:dyDescent="0.3">
      <c r="A282">
        <f t="shared" si="12"/>
        <v>281</v>
      </c>
      <c r="B282" t="str">
        <f>卡牌总表!B282</f>
        <v>regent_heirloom_hammer</v>
      </c>
      <c r="C282" t="str">
        <f>卡牌总表!D282</f>
        <v>传承之锤</v>
      </c>
      <c r="D282" t="str">
        <f>卡牌总表!F282</f>
        <v>攻击</v>
      </c>
      <c r="E282">
        <f>卡牌总表!AL282</f>
        <v>0</v>
      </c>
      <c r="F282">
        <f>卡牌总表!AN282</f>
        <v>0</v>
      </c>
      <c r="G282">
        <f>卡牌总表!AP282</f>
        <v>2</v>
      </c>
      <c r="H282">
        <f>IF(ISNUMBER(卡牌总表!H282),IF(AND(卡牌总表!H282=0,卡牌总表!V282=0,卡牌总表!AK282="none"),0.4,IF(卡牌总表!AK282="exhaust",MAX(卡牌总表!H282-卡牌总表!V282,0.4),IF(卡牌总表!AK282="ethereal",MAX(卡牌总表!H282-卡牌总表!V282,0.4),MAX(卡牌总表!H282-卡牌总表!V282,0.4)))),IF(OR(卡牌总表!H282="X",卡牌总表!H282="∞"),0.4,0.4))</f>
        <v>2</v>
      </c>
      <c r="I282">
        <f>卡牌总表!M282*卡牌总表!O282*参数!$B$5*IF(AND(卡牌总表!F282="能力",卡牌总表!AL282="能力持续"),参数!$B$2,1)+卡牌总表!P282*参数!$B$6*IF(AND(卡牌总表!F282="能力",卡牌总表!AL282="能力持续"),参数!$B$2,1)+卡牌总表!R282*参数!$B$7*IF(AND(卡牌总表!F282="能力",卡牌总表!AL282="能力持续"),参数!$B$2,1)+卡牌总表!V282*参数!$B$8+IF(卡牌总表!X282&lt;0,卡牌总表!X282*参数!$B$13,卡牌总表!X282*参数!$B$39)+IF(卡牌总表!AE282&lt;0,卡牌总表!AE282*参数!$B$13,卡牌总表!AE282*参数!$B$12)*参数!$B$2+卡牌总表!AQ282*参数!$B$15+卡牌总表!AB282*参数!$B$11+卡牌总表!AF282*参数!$B$40*参数!$B$2+卡牌总表!AG282*参数!$B$44*参数!$B$2+卡牌总表!AH282*参数!$B$6*参数!$B$2+卡牌总表!AI282*参数!$B$39*参数!$B$2+卡牌总表!AJ282*参数!$B$6*参数!$B$2+卡牌总表!Z282*参数!$B$13-卡牌总表!T282*参数!$B$14-卡牌总表!AD282*参数!$B$13+IF(ISNUMBER(卡牌总表!AU282),卡牌总表!AU282*参数!$B$38,0)-卡牌总表!AV282*参数!$B$41-卡牌总表!AW282*参数!$B$14</f>
        <v>20</v>
      </c>
      <c r="J282">
        <f>IF(AND(卡牌总表!F282="能力",卡牌总表!AL282="能力持续"),(参数!$B$2-1)*参数!$B$3,0)</f>
        <v>0</v>
      </c>
      <c r="K282">
        <f t="shared" si="13"/>
        <v>20</v>
      </c>
      <c r="L282">
        <f>卡牌总表!N282*卡牌总表!O282*参数!$B$5*IF(AND(卡牌总表!F282="能力",卡牌总表!AL282="能力持续"),参数!$B$2,1)+卡牌总表!Q282*参数!$B$6*IF(AND(卡牌总表!F282="能力",卡牌总表!AL282="能力持续"),参数!$B$2,1)+卡牌总表!S282*参数!$B$7*IF(AND(卡牌总表!F282="能力",卡牌总表!AL282="能力持续"),参数!$B$2,1)+卡牌总表!W282*参数!$B$8+IF(卡牌总表!Y282&lt;0,卡牌总表!Y282*参数!$B$13,卡牌总表!Y282*参数!$B$39)+IF(卡牌总表!AE282&lt;0,卡牌总表!AE282*参数!$B$13,卡牌总表!AE282*参数!$B$12)*参数!$B$2+卡牌总表!AR282*参数!$B$15+卡牌总表!AC282*参数!$B$11+卡牌总表!AF282*参数!$B$40*参数!$B$2+卡牌总表!AG282*参数!$B$44*参数!$B$2+卡牌总表!AH282*参数!$B$6*参数!$B$2+卡牌总表!AI282*参数!$B$39*参数!$B$2+卡牌总表!AJ282*参数!$B$6*参数!$B$2+卡牌总表!AA282*参数!$B$13-卡牌总表!U282*参数!$B$14-卡牌总表!AD282*参数!$B$13+IF(ISNUMBER(卡牌总表!AU282),卡牌总表!AU282*参数!$B$38,0)-卡牌总表!AV282*参数!$B$41-卡牌总表!AW282*参数!$B$14</f>
        <v>25</v>
      </c>
      <c r="M282">
        <f>IF(AND(卡牌总表!F282="能力",卡牌总表!AL282="能力持续"),参数!$B$2*参数!$B$3,0)</f>
        <v>0</v>
      </c>
      <c r="N282">
        <f t="shared" si="14"/>
        <v>25</v>
      </c>
      <c r="O282">
        <f>IFERROR(MAX(IF(K282 &gt; 参数!$B$17,参数!$B$17+SQRT(K282-参数!$B$17)*参数!$B$18,K282)-MAX(G282,0)*参数!$B$10,0)/MAX(G282,0.4),0)</f>
        <v>4.3717082451262845</v>
      </c>
      <c r="P282">
        <f>IFERROR(MAX(IF(N282 &gt; 参数!$B$17,参数!$B$17+SQRT(N282-参数!$B$17)*参数!$B$18,N282)-MAX(H282,0)*参数!$B$10,0)/MAX(H282,0.4),0)</f>
        <v>4.904737509655563</v>
      </c>
      <c r="Q282">
        <f>卡牌总表!AO282</f>
        <v>0</v>
      </c>
    </row>
    <row r="283" spans="1:17" x14ac:dyDescent="0.3">
      <c r="A283">
        <f t="shared" si="12"/>
        <v>282</v>
      </c>
      <c r="B283" t="str">
        <f>卡牌总表!B283</f>
        <v>regent_hidden_cache</v>
      </c>
      <c r="C283" t="str">
        <f>卡牌总表!D283</f>
        <v>隐秘藏品</v>
      </c>
      <c r="D283" t="str">
        <f>卡牌总表!F283</f>
        <v>技能</v>
      </c>
      <c r="E283">
        <f>卡牌总表!AL283</f>
        <v>0</v>
      </c>
      <c r="F283">
        <f>卡牌总表!AN283</f>
        <v>0</v>
      </c>
      <c r="G283">
        <f>卡牌总表!AP283</f>
        <v>1</v>
      </c>
      <c r="H283">
        <f>IF(ISNUMBER(卡牌总表!H283),IF(AND(卡牌总表!H283=0,卡牌总表!V283=0,卡牌总表!AK283="none"),0.4,IF(卡牌总表!AK283="exhaust",MAX(卡牌总表!H283-卡牌总表!V283,0.4),IF(卡牌总表!AK283="ethereal",MAX(卡牌总表!H283-卡牌总表!V283,0.4),MAX(卡牌总表!H283-卡牌总表!V283,0.4)))),IF(OR(卡牌总表!H283="X",卡牌总表!H283="∞"),0.4,0.4))</f>
        <v>1</v>
      </c>
      <c r="I283">
        <f>卡牌总表!M283*卡牌总表!O283*参数!$B$5*IF(AND(卡牌总表!F283="能力",卡牌总表!AL283="能力持续"),参数!$B$2,1)+卡牌总表!P283*参数!$B$6*IF(AND(卡牌总表!F283="能力",卡牌总表!AL283="能力持续"),参数!$B$2,1)+卡牌总表!R283*参数!$B$7*IF(AND(卡牌总表!F283="能力",卡牌总表!AL283="能力持续"),参数!$B$2,1)+卡牌总表!V283*参数!$B$8+IF(卡牌总表!X283&lt;0,卡牌总表!X283*参数!$B$13,卡牌总表!X283*参数!$B$39)+IF(卡牌总表!AE283&lt;0,卡牌总表!AE283*参数!$B$13,卡牌总表!AE283*参数!$B$12)*参数!$B$2+卡牌总表!AQ283*参数!$B$15+卡牌总表!AB283*参数!$B$11+卡牌总表!AF283*参数!$B$40*参数!$B$2+卡牌总表!AG283*参数!$B$44*参数!$B$2+卡牌总表!AH283*参数!$B$6*参数!$B$2+卡牌总表!AI283*参数!$B$39*参数!$B$2+卡牌总表!AJ283*参数!$B$6*参数!$B$2+卡牌总表!Z283*参数!$B$13-卡牌总表!T283*参数!$B$14-卡牌总表!AD283*参数!$B$13+IF(ISNUMBER(卡牌总表!AU283),卡牌总表!AU283*参数!$B$38,0)-卡牌总表!AV283*参数!$B$41-卡牌总表!AW283*参数!$B$14</f>
        <v>5.2</v>
      </c>
      <c r="J283">
        <f>IF(AND(卡牌总表!F283="能力",卡牌总表!AL283="能力持续"),(参数!$B$2-1)*参数!$B$3,0)</f>
        <v>0</v>
      </c>
      <c r="K283">
        <f t="shared" si="13"/>
        <v>5.2</v>
      </c>
      <c r="L283">
        <f>卡牌总表!N283*卡牌总表!O283*参数!$B$5*IF(AND(卡牌总表!F283="能力",卡牌总表!AL283="能力持续"),参数!$B$2,1)+卡牌总表!Q283*参数!$B$6*IF(AND(卡牌总表!F283="能力",卡牌总表!AL283="能力持续"),参数!$B$2,1)+卡牌总表!S283*参数!$B$7*IF(AND(卡牌总表!F283="能力",卡牌总表!AL283="能力持续"),参数!$B$2,1)+卡牌总表!W283*参数!$B$8+IF(卡牌总表!Y283&lt;0,卡牌总表!Y283*参数!$B$13,卡牌总表!Y283*参数!$B$39)+IF(卡牌总表!AE283&lt;0,卡牌总表!AE283*参数!$B$13,卡牌总表!AE283*参数!$B$12)*参数!$B$2+卡牌总表!AR283*参数!$B$15+卡牌总表!AC283*参数!$B$11+卡牌总表!AF283*参数!$B$40*参数!$B$2+卡牌总表!AG283*参数!$B$44*参数!$B$2+卡牌总表!AH283*参数!$B$6*参数!$B$2+卡牌总表!AI283*参数!$B$39*参数!$B$2+卡牌总表!AJ283*参数!$B$6*参数!$B$2+卡牌总表!AA283*参数!$B$13-卡牌总表!U283*参数!$B$14-卡牌总表!AD283*参数!$B$13+IF(ISNUMBER(卡牌总表!AU283),卡牌总表!AU283*参数!$B$38,0)-卡牌总表!AV283*参数!$B$41-卡牌总表!AW283*参数!$B$14</f>
        <v>6.5</v>
      </c>
      <c r="M283">
        <f>IF(AND(卡牌总表!F283="能力",卡牌总表!AL283="能力持续"),参数!$B$2*参数!$B$3,0)</f>
        <v>0</v>
      </c>
      <c r="N283">
        <f t="shared" si="14"/>
        <v>6.5</v>
      </c>
      <c r="O283">
        <f>IFERROR(MAX(IF(K283 &gt; 参数!$B$17,参数!$B$17+SQRT(K283-参数!$B$17)*参数!$B$18,K283)-MAX(G283,0)*参数!$B$10,0)/MAX(G283,0.4),0)</f>
        <v>2.2000000000000002</v>
      </c>
      <c r="P283">
        <f>IFERROR(MAX(IF(N283 &gt; 参数!$B$17,参数!$B$17+SQRT(N283-参数!$B$17)*参数!$B$18,N283)-MAX(H283,0)*参数!$B$10,0)/MAX(H283,0.4),0)</f>
        <v>3.5</v>
      </c>
      <c r="Q283" t="str">
        <f>卡牌总表!AO283</f>
        <v>Gain能量数值需核对</v>
      </c>
    </row>
    <row r="284" spans="1:17" x14ac:dyDescent="0.3">
      <c r="A284">
        <f t="shared" si="12"/>
        <v>283</v>
      </c>
      <c r="B284" t="str">
        <f>卡牌总表!B284</f>
        <v>regent_i_am_invincible</v>
      </c>
      <c r="C284" t="str">
        <f>卡牌总表!D284</f>
        <v>所向无敌</v>
      </c>
      <c r="D284" t="str">
        <f>卡牌总表!F284</f>
        <v>技能</v>
      </c>
      <c r="E284">
        <f>卡牌总表!AL284</f>
        <v>0</v>
      </c>
      <c r="F284">
        <f>卡牌总表!AN284</f>
        <v>0</v>
      </c>
      <c r="G284">
        <f>卡牌总表!AP284</f>
        <v>1</v>
      </c>
      <c r="H284">
        <f>IF(ISNUMBER(卡牌总表!H284),IF(AND(卡牌总表!H284=0,卡牌总表!V284=0,卡牌总表!AK284="none"),0.4,IF(卡牌总表!AK284="exhaust",MAX(卡牌总表!H284-卡牌总表!V284,0.4),IF(卡牌总表!AK284="ethereal",MAX(卡牌总表!H284-卡牌总表!V284,0.4),MAX(卡牌总表!H284-卡牌总表!V284,0.4)))),IF(OR(卡牌总表!H284="X",卡牌总表!H284="∞"),0.4,0.4))</f>
        <v>1</v>
      </c>
      <c r="I284">
        <f>卡牌总表!M284*卡牌总表!O284*参数!$B$5*IF(AND(卡牌总表!F284="能力",卡牌总表!AL284="能力持续"),参数!$B$2,1)+卡牌总表!P284*参数!$B$6*IF(AND(卡牌总表!F284="能力",卡牌总表!AL284="能力持续"),参数!$B$2,1)+卡牌总表!R284*参数!$B$7*IF(AND(卡牌总表!F284="能力",卡牌总表!AL284="能力持续"),参数!$B$2,1)+卡牌总表!V284*参数!$B$8+IF(卡牌总表!X284&lt;0,卡牌总表!X284*参数!$B$13,卡牌总表!X284*参数!$B$39)+IF(卡牌总表!AE284&lt;0,卡牌总表!AE284*参数!$B$13,卡牌总表!AE284*参数!$B$12)*参数!$B$2+卡牌总表!AQ284*参数!$B$15+卡牌总表!AB284*参数!$B$11+卡牌总表!AF284*参数!$B$40*参数!$B$2+卡牌总表!AG284*参数!$B$44*参数!$B$2+卡牌总表!AH284*参数!$B$6*参数!$B$2+卡牌总表!AI284*参数!$B$39*参数!$B$2+卡牌总表!AJ284*参数!$B$6*参数!$B$2+卡牌总表!Z284*参数!$B$13-卡牌总表!T284*参数!$B$14-卡牌总表!AD284*参数!$B$13+IF(ISNUMBER(卡牌总表!AU284),卡牌总表!AU284*参数!$B$38,0)-卡牌总表!AV284*参数!$B$41-卡牌总表!AW284*参数!$B$14</f>
        <v>11</v>
      </c>
      <c r="J284">
        <f>IF(AND(卡牌总表!F284="能力",卡牌总表!AL284="能力持续"),(参数!$B$2-1)*参数!$B$3,0)</f>
        <v>0</v>
      </c>
      <c r="K284">
        <f t="shared" si="13"/>
        <v>11</v>
      </c>
      <c r="L284">
        <f>卡牌总表!N284*卡牌总表!O284*参数!$B$5*IF(AND(卡牌总表!F284="能力",卡牌总表!AL284="能力持续"),参数!$B$2,1)+卡牌总表!Q284*参数!$B$6*IF(AND(卡牌总表!F284="能力",卡牌总表!AL284="能力持续"),参数!$B$2,1)+卡牌总表!S284*参数!$B$7*IF(AND(卡牌总表!F284="能力",卡牌总表!AL284="能力持续"),参数!$B$2,1)+卡牌总表!W284*参数!$B$8+IF(卡牌总表!Y284&lt;0,卡牌总表!Y284*参数!$B$13,卡牌总表!Y284*参数!$B$39)+IF(卡牌总表!AE284&lt;0,卡牌总表!AE284*参数!$B$13,卡牌总表!AE284*参数!$B$12)*参数!$B$2+卡牌总表!AR284*参数!$B$15+卡牌总表!AC284*参数!$B$11+卡牌总表!AF284*参数!$B$40*参数!$B$2+卡牌总表!AG284*参数!$B$44*参数!$B$2+卡牌总表!AH284*参数!$B$6*参数!$B$2+卡牌总表!AI284*参数!$B$39*参数!$B$2+卡牌总表!AJ284*参数!$B$6*参数!$B$2+卡牌总表!AA284*参数!$B$13-卡牌总表!U284*参数!$B$14-卡牌总表!AD284*参数!$B$13+IF(ISNUMBER(卡牌总表!AU284),卡牌总表!AU284*参数!$B$38,0)-卡牌总表!AV284*参数!$B$41-卡牌总表!AW284*参数!$B$14</f>
        <v>14.3</v>
      </c>
      <c r="M284">
        <f>IF(AND(卡牌总表!F284="能力",卡牌总表!AL284="能力持续"),参数!$B$2*参数!$B$3,0)</f>
        <v>0</v>
      </c>
      <c r="N284">
        <f t="shared" si="14"/>
        <v>14.3</v>
      </c>
      <c r="O284">
        <f>IFERROR(MAX(IF(K284 &gt; 参数!$B$17,参数!$B$17+SQRT(K284-参数!$B$17)*参数!$B$18,K284)-MAX(G284,0)*参数!$B$10,0)/MAX(G284,0.4),0)</f>
        <v>8.5</v>
      </c>
      <c r="P284">
        <f>IFERROR(MAX(IF(N284 &gt; 参数!$B$17,参数!$B$17+SQRT(N284-参数!$B$17)*参数!$B$18,N284)-MAX(H284,0)*参数!$B$10,0)/MAX(H284,0.4),0)</f>
        <v>10.110466202999159</v>
      </c>
      <c r="Q284">
        <f>卡牌总表!AO284</f>
        <v>0</v>
      </c>
    </row>
    <row r="285" spans="1:17" x14ac:dyDescent="0.3">
      <c r="A285">
        <f t="shared" si="12"/>
        <v>284</v>
      </c>
      <c r="B285" t="str">
        <f>卡牌总表!B285</f>
        <v>regent_kingly_kick</v>
      </c>
      <c r="C285" t="str">
        <f>卡牌总表!D285</f>
        <v>王者之踢</v>
      </c>
      <c r="D285" t="str">
        <f>卡牌总表!F285</f>
        <v>攻击</v>
      </c>
      <c r="E285">
        <f>卡牌总表!AL285</f>
        <v>0</v>
      </c>
      <c r="F285">
        <f>卡牌总表!AN285</f>
        <v>0</v>
      </c>
      <c r="G285">
        <f>卡牌总表!AP285</f>
        <v>4</v>
      </c>
      <c r="H285">
        <f>IF(ISNUMBER(卡牌总表!H285),IF(AND(卡牌总表!H285=0,卡牌总表!V285=0,卡牌总表!AK285="none"),0.4,IF(卡牌总表!AK285="exhaust",MAX(卡牌总表!H285-卡牌总表!V285,0.4),IF(卡牌总表!AK285="ethereal",MAX(卡牌总表!H285-卡牌总表!V285,0.4),MAX(卡牌总表!H285-卡牌总表!V285,0.4)))),IF(OR(卡牌总表!H285="X",卡牌总表!H285="∞"),0.4,0.4))</f>
        <v>4</v>
      </c>
      <c r="I285">
        <f>卡牌总表!M285*卡牌总表!O285*参数!$B$5*IF(AND(卡牌总表!F285="能力",卡牌总表!AL285="能力持续"),参数!$B$2,1)+卡牌总表!P285*参数!$B$6*IF(AND(卡牌总表!F285="能力",卡牌总表!AL285="能力持续"),参数!$B$2,1)+卡牌总表!R285*参数!$B$7*IF(AND(卡牌总表!F285="能力",卡牌总表!AL285="能力持续"),参数!$B$2,1)+卡牌总表!V285*参数!$B$8+IF(卡牌总表!X285&lt;0,卡牌总表!X285*参数!$B$13,卡牌总表!X285*参数!$B$39)+IF(卡牌总表!AE285&lt;0,卡牌总表!AE285*参数!$B$13,卡牌总表!AE285*参数!$B$12)*参数!$B$2+卡牌总表!AQ285*参数!$B$15+卡牌总表!AB285*参数!$B$11+卡牌总表!AF285*参数!$B$40*参数!$B$2+卡牌总表!AG285*参数!$B$44*参数!$B$2+卡牌总表!AH285*参数!$B$6*参数!$B$2+卡牌总表!AI285*参数!$B$39*参数!$B$2+卡牌总表!AJ285*参数!$B$6*参数!$B$2+卡牌总表!Z285*参数!$B$13-卡牌总表!T285*参数!$B$14-卡牌总表!AD285*参数!$B$13+IF(ISNUMBER(卡牌总表!AU285),卡牌总表!AU285*参数!$B$38,0)-卡牌总表!AV285*参数!$B$41-卡牌总表!AW285*参数!$B$14</f>
        <v>27</v>
      </c>
      <c r="J285">
        <f>IF(AND(卡牌总表!F285="能力",卡牌总表!AL285="能力持续"),(参数!$B$2-1)*参数!$B$3,0)</f>
        <v>0</v>
      </c>
      <c r="K285">
        <f t="shared" si="13"/>
        <v>27</v>
      </c>
      <c r="L285">
        <f>卡牌总表!N285*卡牌总表!O285*参数!$B$5*IF(AND(卡牌总表!F285="能力",卡牌总表!AL285="能力持续"),参数!$B$2,1)+卡牌总表!Q285*参数!$B$6*IF(AND(卡牌总表!F285="能力",卡牌总表!AL285="能力持续"),参数!$B$2,1)+卡牌总表!S285*参数!$B$7*IF(AND(卡牌总表!F285="能力",卡牌总表!AL285="能力持续"),参数!$B$2,1)+卡牌总表!W285*参数!$B$8+IF(卡牌总表!Y285&lt;0,卡牌总表!Y285*参数!$B$13,卡牌总表!Y285*参数!$B$39)+IF(卡牌总表!AE285&lt;0,卡牌总表!AE285*参数!$B$13,卡牌总表!AE285*参数!$B$12)*参数!$B$2+卡牌总表!AR285*参数!$B$15+卡牌总表!AC285*参数!$B$11+卡牌总表!AF285*参数!$B$40*参数!$B$2+卡牌总表!AG285*参数!$B$44*参数!$B$2+卡牌总表!AH285*参数!$B$6*参数!$B$2+卡牌总表!AI285*参数!$B$39*参数!$B$2+卡牌总表!AJ285*参数!$B$6*参数!$B$2+卡牌总表!AA285*参数!$B$13-卡牌总表!U285*参数!$B$14-卡牌总表!AD285*参数!$B$13+IF(ISNUMBER(卡牌总表!AU285),卡牌总表!AU285*参数!$B$38,0)-卡牌总表!AV285*参数!$B$41-卡牌总表!AW285*参数!$B$14</f>
        <v>35</v>
      </c>
      <c r="M285">
        <f>IF(AND(卡牌总表!F285="能力",卡牌总表!AL285="能力持续"),参数!$B$2*参数!$B$3,0)</f>
        <v>0</v>
      </c>
      <c r="N285">
        <f t="shared" si="14"/>
        <v>35</v>
      </c>
      <c r="O285">
        <f>IFERROR(MAX(IF(K285 &gt; 参数!$B$17,参数!$B$17+SQRT(K285-参数!$B$17)*参数!$B$18,K285)-MAX(G285,0)*参数!$B$10,0)/MAX(G285,0.4),0)</f>
        <v>1.0461646096066222</v>
      </c>
      <c r="P285">
        <f>IFERROR(MAX(IF(N285 &gt; 参数!$B$17,参数!$B$17+SQRT(N285-参数!$B$17)*参数!$B$18,N285)-MAX(H285,0)*参数!$B$10,0)/MAX(H285,0.4),0)</f>
        <v>1.375</v>
      </c>
      <c r="Q285">
        <f>卡牌总表!AO285</f>
        <v>0</v>
      </c>
    </row>
    <row r="286" spans="1:17" x14ac:dyDescent="0.3">
      <c r="A286">
        <f t="shared" si="12"/>
        <v>285</v>
      </c>
      <c r="B286" t="str">
        <f>卡牌总表!B286</f>
        <v>regent_kingly_punch</v>
      </c>
      <c r="C286" t="str">
        <f>卡牌总表!D286</f>
        <v>王者之拳</v>
      </c>
      <c r="D286" t="str">
        <f>卡牌总表!F286</f>
        <v>攻击</v>
      </c>
      <c r="E286">
        <f>卡牌总表!AL286</f>
        <v>0</v>
      </c>
      <c r="F286">
        <f>卡牌总表!AN286</f>
        <v>0</v>
      </c>
      <c r="G286">
        <f>卡牌总表!AP286</f>
        <v>1</v>
      </c>
      <c r="H286">
        <f>IF(ISNUMBER(卡牌总表!H286),IF(AND(卡牌总表!H286=0,卡牌总表!V286=0,卡牌总表!AK286="none"),0.4,IF(卡牌总表!AK286="exhaust",MAX(卡牌总表!H286-卡牌总表!V286,0.4),IF(卡牌总表!AK286="ethereal",MAX(卡牌总表!H286-卡牌总表!V286,0.4),MAX(卡牌总表!H286-卡牌总表!V286,0.4)))),IF(OR(卡牌总表!H286="X",卡牌总表!H286="∞"),0.4,0.4))</f>
        <v>1</v>
      </c>
      <c r="I286">
        <f>卡牌总表!M286*卡牌总表!O286*参数!$B$5*IF(AND(卡牌总表!F286="能力",卡牌总表!AL286="能力持续"),参数!$B$2,1)+卡牌总表!P286*参数!$B$6*IF(AND(卡牌总表!F286="能力",卡牌总表!AL286="能力持续"),参数!$B$2,1)+卡牌总表!R286*参数!$B$7*IF(AND(卡牌总表!F286="能力",卡牌总表!AL286="能力持续"),参数!$B$2,1)+卡牌总表!V286*参数!$B$8+IF(卡牌总表!X286&lt;0,卡牌总表!X286*参数!$B$13,卡牌总表!X286*参数!$B$39)+IF(卡牌总表!AE286&lt;0,卡牌总表!AE286*参数!$B$13,卡牌总表!AE286*参数!$B$12)*参数!$B$2+卡牌总表!AQ286*参数!$B$15+卡牌总表!AB286*参数!$B$11+卡牌总表!AF286*参数!$B$40*参数!$B$2+卡牌总表!AG286*参数!$B$44*参数!$B$2+卡牌总表!AH286*参数!$B$6*参数!$B$2+卡牌总表!AI286*参数!$B$39*参数!$B$2+卡牌总表!AJ286*参数!$B$6*参数!$B$2+卡牌总表!Z286*参数!$B$13-卡牌总表!T286*参数!$B$14-卡牌总表!AD286*参数!$B$13+IF(ISNUMBER(卡牌总表!AU286),卡牌总表!AU286*参数!$B$38,0)-卡牌总表!AV286*参数!$B$41-卡牌总表!AW286*参数!$B$14</f>
        <v>8</v>
      </c>
      <c r="J286">
        <f>IF(AND(卡牌总表!F286="能力",卡牌总表!AL286="能力持续"),(参数!$B$2-1)*参数!$B$3,0)</f>
        <v>0</v>
      </c>
      <c r="K286">
        <f t="shared" si="13"/>
        <v>8</v>
      </c>
      <c r="L286">
        <f>卡牌总表!N286*卡牌总表!O286*参数!$B$5*IF(AND(卡牌总表!F286="能力",卡牌总表!AL286="能力持续"),参数!$B$2,1)+卡牌总表!Q286*参数!$B$6*IF(AND(卡牌总表!F286="能力",卡牌总表!AL286="能力持续"),参数!$B$2,1)+卡牌总表!S286*参数!$B$7*IF(AND(卡牌总表!F286="能力",卡牌总表!AL286="能力持续"),参数!$B$2,1)+卡牌总表!W286*参数!$B$8+IF(卡牌总表!Y286&lt;0,卡牌总表!Y286*参数!$B$13,卡牌总表!Y286*参数!$B$39)+IF(卡牌总表!AE286&lt;0,卡牌总表!AE286*参数!$B$13,卡牌总表!AE286*参数!$B$12)*参数!$B$2+卡牌总表!AR286*参数!$B$15+卡牌总表!AC286*参数!$B$11+卡牌总表!AF286*参数!$B$40*参数!$B$2+卡牌总表!AG286*参数!$B$44*参数!$B$2+卡牌总表!AH286*参数!$B$6*参数!$B$2+卡牌总表!AI286*参数!$B$39*参数!$B$2+卡牌总表!AJ286*参数!$B$6*参数!$B$2+卡牌总表!AA286*参数!$B$13-卡牌总表!U286*参数!$B$14-卡牌总表!AD286*参数!$B$13+IF(ISNUMBER(卡牌总表!AU286),卡牌总表!AU286*参数!$B$38,0)-卡牌总表!AV286*参数!$B$41-卡牌总表!AW286*参数!$B$14</f>
        <v>10</v>
      </c>
      <c r="M286">
        <f>IF(AND(卡牌总表!F286="能力",卡牌总表!AL286="能力持续"),参数!$B$2*参数!$B$3,0)</f>
        <v>0</v>
      </c>
      <c r="N286">
        <f t="shared" si="14"/>
        <v>10</v>
      </c>
      <c r="O286">
        <f>IFERROR(MAX(IF(K286 &gt; 参数!$B$17,参数!$B$17+SQRT(K286-参数!$B$17)*参数!$B$18,K286)-MAX(G286,0)*参数!$B$10,0)/MAX(G286,0.4),0)</f>
        <v>5</v>
      </c>
      <c r="P286">
        <f>IFERROR(MAX(IF(N286 &gt; 参数!$B$17,参数!$B$17+SQRT(N286-参数!$B$17)*参数!$B$18,N286)-MAX(H286,0)*参数!$B$10,0)/MAX(H286,0.4),0)</f>
        <v>7</v>
      </c>
      <c r="Q286">
        <f>卡牌总表!AO286</f>
        <v>0</v>
      </c>
    </row>
    <row r="287" spans="1:17" x14ac:dyDescent="0.3">
      <c r="A287">
        <f t="shared" si="12"/>
        <v>286</v>
      </c>
      <c r="B287" t="str">
        <f>卡牌总表!B287</f>
        <v>regent_knockout_blow</v>
      </c>
      <c r="C287" t="str">
        <f>卡牌总表!D287</f>
        <v>决胜一击</v>
      </c>
      <c r="D287" t="str">
        <f>卡牌总表!F287</f>
        <v>攻击</v>
      </c>
      <c r="E287">
        <f>卡牌总表!AL287</f>
        <v>0</v>
      </c>
      <c r="F287">
        <f>卡牌总表!AN287</f>
        <v>0</v>
      </c>
      <c r="G287">
        <f>卡牌总表!AP287</f>
        <v>3</v>
      </c>
      <c r="H287">
        <f>IF(ISNUMBER(卡牌总表!H287),IF(AND(卡牌总表!H287=0,卡牌总表!V287=0,卡牌总表!AK287="none"),0.4,IF(卡牌总表!AK287="exhaust",MAX(卡牌总表!H287-卡牌总表!V287,0.4),IF(卡牌总表!AK287="ethereal",MAX(卡牌总表!H287-卡牌总表!V287,0.4),MAX(卡牌总表!H287-卡牌总表!V287,0.4)))),IF(OR(卡牌总表!H287="X",卡牌总表!H287="∞"),0.4,0.4))</f>
        <v>3</v>
      </c>
      <c r="I287">
        <f>卡牌总表!M287*卡牌总表!O287*参数!$B$5*IF(AND(卡牌总表!F287="能力",卡牌总表!AL287="能力持续"),参数!$B$2,1)+卡牌总表!P287*参数!$B$6*IF(AND(卡牌总表!F287="能力",卡牌总表!AL287="能力持续"),参数!$B$2,1)+卡牌总表!R287*参数!$B$7*IF(AND(卡牌总表!F287="能力",卡牌总表!AL287="能力持续"),参数!$B$2,1)+卡牌总表!V287*参数!$B$8+IF(卡牌总表!X287&lt;0,卡牌总表!X287*参数!$B$13,卡牌总表!X287*参数!$B$39)+IF(卡牌总表!AE287&lt;0,卡牌总表!AE287*参数!$B$13,卡牌总表!AE287*参数!$B$12)*参数!$B$2+卡牌总表!AQ287*参数!$B$15+卡牌总表!AB287*参数!$B$11+卡牌总表!AF287*参数!$B$40*参数!$B$2+卡牌总表!AG287*参数!$B$44*参数!$B$2+卡牌总表!AH287*参数!$B$6*参数!$B$2+卡牌总表!AI287*参数!$B$39*参数!$B$2+卡牌总表!AJ287*参数!$B$6*参数!$B$2+卡牌总表!Z287*参数!$B$13-卡牌总表!T287*参数!$B$14-卡牌总表!AD287*参数!$B$13+IF(ISNUMBER(卡牌总表!AU287),卡牌总表!AU287*参数!$B$38,0)-卡牌总表!AV287*参数!$B$41-卡牌总表!AW287*参数!$B$14</f>
        <v>30</v>
      </c>
      <c r="J287">
        <f>IF(AND(卡牌总表!F287="能力",卡牌总表!AL287="能力持续"),(参数!$B$2-1)*参数!$B$3,0)</f>
        <v>0</v>
      </c>
      <c r="K287">
        <f t="shared" si="13"/>
        <v>30</v>
      </c>
      <c r="L287">
        <f>卡牌总表!N287*卡牌总表!O287*参数!$B$5*IF(AND(卡牌总表!F287="能力",卡牌总表!AL287="能力持续"),参数!$B$2,1)+卡牌总表!Q287*参数!$B$6*IF(AND(卡牌总表!F287="能力",卡牌总表!AL287="能力持续"),参数!$B$2,1)+卡牌总表!S287*参数!$B$7*IF(AND(卡牌总表!F287="能力",卡牌总表!AL287="能力持续"),参数!$B$2,1)+卡牌总表!W287*参数!$B$8+IF(卡牌总表!Y287&lt;0,卡牌总表!Y287*参数!$B$13,卡牌总表!Y287*参数!$B$39)+IF(卡牌总表!AE287&lt;0,卡牌总表!AE287*参数!$B$13,卡牌总表!AE287*参数!$B$12)*参数!$B$2+卡牌总表!AR287*参数!$B$15+卡牌总表!AC287*参数!$B$11+卡牌总表!AF287*参数!$B$40*参数!$B$2+卡牌总表!AG287*参数!$B$44*参数!$B$2+卡牌总表!AH287*参数!$B$6*参数!$B$2+卡牌总表!AI287*参数!$B$39*参数!$B$2+卡牌总表!AJ287*参数!$B$6*参数!$B$2+卡牌总表!AA287*参数!$B$13-卡牌总表!U287*参数!$B$14-卡牌总表!AD287*参数!$B$13+IF(ISNUMBER(卡牌总表!AU287),卡牌总表!AU287*参数!$B$38,0)-卡牌总表!AV287*参数!$B$41-卡牌总表!AW287*参数!$B$14</f>
        <v>38</v>
      </c>
      <c r="M287">
        <f>IF(AND(卡牌总表!F287="能力",卡牌总表!AL287="能力持续"),参数!$B$2*参数!$B$3,0)</f>
        <v>0</v>
      </c>
      <c r="N287">
        <f t="shared" si="14"/>
        <v>38</v>
      </c>
      <c r="O287">
        <f>IFERROR(MAX(IF(K287 &gt; 参数!$B$17,参数!$B$17+SQRT(K287-参数!$B$17)*参数!$B$18,K287)-MAX(G287,0)*参数!$B$10,0)/MAX(G287,0.4),0)</f>
        <v>2.5694013108331233</v>
      </c>
      <c r="P287">
        <f>IFERROR(MAX(IF(N287 &gt; 参数!$B$17,参数!$B$17+SQRT(N287-参数!$B$17)*参数!$B$18,N287)-MAX(H287,0)*参数!$B$10,0)/MAX(H287,0.4),0)</f>
        <v>2.9790846443979242</v>
      </c>
      <c r="Q287">
        <f>卡牌总表!AO287</f>
        <v>0</v>
      </c>
    </row>
    <row r="288" spans="1:17" x14ac:dyDescent="0.3">
      <c r="A288">
        <f t="shared" si="12"/>
        <v>287</v>
      </c>
      <c r="B288" t="str">
        <f>卡牌总表!B288</f>
        <v>regent_know_thy_place</v>
      </c>
      <c r="C288" t="str">
        <f>卡牌总表!D288</f>
        <v>何人僭越</v>
      </c>
      <c r="D288" t="str">
        <f>卡牌总表!F288</f>
        <v>技能</v>
      </c>
      <c r="E288">
        <f>卡牌总表!AL288</f>
        <v>0</v>
      </c>
      <c r="F288">
        <f>卡牌总表!AN288</f>
        <v>0</v>
      </c>
      <c r="G288">
        <f>卡牌总表!AP288</f>
        <v>0.4</v>
      </c>
      <c r="H288">
        <f>IF(ISNUMBER(卡牌总表!H288),IF(AND(卡牌总表!H288=0,卡牌总表!V288=0,卡牌总表!AK288="none"),0.4,IF(卡牌总表!AK288="exhaust",MAX(卡牌总表!H288-卡牌总表!V288,0.4),IF(卡牌总表!AK288="ethereal",MAX(卡牌总表!H288-卡牌总表!V288,0.4),MAX(卡牌总表!H288-卡牌总表!V288,0.4)))),IF(OR(卡牌总表!H288="X",卡牌总表!H288="∞"),0.4,0.4))</f>
        <v>0.4</v>
      </c>
      <c r="I288">
        <f>卡牌总表!M288*卡牌总表!O288*参数!$B$5*IF(AND(卡牌总表!F288="能力",卡牌总表!AL288="能力持续"),参数!$B$2,1)+卡牌总表!P288*参数!$B$6*IF(AND(卡牌总表!F288="能力",卡牌总表!AL288="能力持续"),参数!$B$2,1)+卡牌总表!R288*参数!$B$7*IF(AND(卡牌总表!F288="能力",卡牌总表!AL288="能力持续"),参数!$B$2,1)+卡牌总表!V288*参数!$B$8+IF(卡牌总表!X288&lt;0,卡牌总表!X288*参数!$B$13,卡牌总表!X288*参数!$B$39)+IF(卡牌总表!AE288&lt;0,卡牌总表!AE288*参数!$B$13,卡牌总表!AE288*参数!$B$12)*参数!$B$2+卡牌总表!AQ288*参数!$B$15+卡牌总表!AB288*参数!$B$11+卡牌总表!AF288*参数!$B$40*参数!$B$2+卡牌总表!AG288*参数!$B$44*参数!$B$2+卡牌总表!AH288*参数!$B$6*参数!$B$2+卡牌总表!AI288*参数!$B$39*参数!$B$2+卡牌总表!AJ288*参数!$B$6*参数!$B$2+卡牌总表!Z288*参数!$B$13-卡牌总表!T288*参数!$B$14-卡牌总表!AD288*参数!$B$13+IF(ISNUMBER(卡牌总表!AU288),卡牌总表!AU288*参数!$B$38,0)-卡牌总表!AV288*参数!$B$41-卡牌总表!AW288*参数!$B$14</f>
        <v>2.8</v>
      </c>
      <c r="J288">
        <f>IF(AND(卡牌总表!F288="能力",卡牌总表!AL288="能力持续"),(参数!$B$2-1)*参数!$B$3,0)</f>
        <v>0</v>
      </c>
      <c r="K288">
        <f t="shared" si="13"/>
        <v>2.8</v>
      </c>
      <c r="L288">
        <f>卡牌总表!N288*卡牌总表!O288*参数!$B$5*IF(AND(卡牌总表!F288="能力",卡牌总表!AL288="能力持续"),参数!$B$2,1)+卡牌总表!Q288*参数!$B$6*IF(AND(卡牌总表!F288="能力",卡牌总表!AL288="能力持续"),参数!$B$2,1)+卡牌总表!S288*参数!$B$7*IF(AND(卡牌总表!F288="能力",卡牌总表!AL288="能力持续"),参数!$B$2,1)+卡牌总表!W288*参数!$B$8+IF(卡牌总表!Y288&lt;0,卡牌总表!Y288*参数!$B$13,卡牌总表!Y288*参数!$B$39)+IF(卡牌总表!AE288&lt;0,卡牌总表!AE288*参数!$B$13,卡牌总表!AE288*参数!$B$12)*参数!$B$2+卡牌总表!AR288*参数!$B$15+卡牌总表!AC288*参数!$B$11+卡牌总表!AF288*参数!$B$40*参数!$B$2+卡牌总表!AG288*参数!$B$44*参数!$B$2+卡牌总表!AH288*参数!$B$6*参数!$B$2+卡牌总表!AI288*参数!$B$39*参数!$B$2+卡牌总表!AJ288*参数!$B$6*参数!$B$2+卡牌总表!AA288*参数!$B$13-卡牌总表!U288*参数!$B$14-卡牌总表!AD288*参数!$B$13+IF(ISNUMBER(卡牌总表!AU288),卡牌总表!AU288*参数!$B$38,0)-卡牌总表!AV288*参数!$B$41-卡牌总表!AW288*参数!$B$14</f>
        <v>2.8</v>
      </c>
      <c r="M288">
        <f>IF(AND(卡牌总表!F288="能力",卡牌总表!AL288="能力持续"),参数!$B$2*参数!$B$3,0)</f>
        <v>0</v>
      </c>
      <c r="N288">
        <f t="shared" si="14"/>
        <v>2.8</v>
      </c>
      <c r="O288">
        <f>IFERROR(MAX(IF(K288 &gt; 参数!$B$17,参数!$B$17+SQRT(K288-参数!$B$17)*参数!$B$18,K288)-MAX(G288,0)*参数!$B$10,0)/MAX(G288,0.4),0)</f>
        <v>3.9999999999999991</v>
      </c>
      <c r="P288">
        <f>IFERROR(MAX(IF(N288 &gt; 参数!$B$17,参数!$B$17+SQRT(N288-参数!$B$17)*参数!$B$18,N288)-MAX(H288,0)*参数!$B$10,0)/MAX(H288,0.4),0)</f>
        <v>3.9999999999999991</v>
      </c>
      <c r="Q288">
        <f>卡牌总表!AO288</f>
        <v>0</v>
      </c>
    </row>
    <row r="289" spans="1:17" x14ac:dyDescent="0.3">
      <c r="A289">
        <f t="shared" si="12"/>
        <v>288</v>
      </c>
      <c r="B289" t="str">
        <f>卡牌总表!B289</f>
        <v>regent_largesse</v>
      </c>
      <c r="C289" t="str">
        <f>卡牌总表!D289</f>
        <v>慷慨捐助</v>
      </c>
      <c r="D289" t="str">
        <f>卡牌总表!F289</f>
        <v>技能</v>
      </c>
      <c r="E289">
        <f>卡牌总表!AL289</f>
        <v>0</v>
      </c>
      <c r="F289">
        <f>卡牌总表!AN289</f>
        <v>0</v>
      </c>
      <c r="G289">
        <f>卡牌总表!AP289</f>
        <v>0.4</v>
      </c>
      <c r="H289">
        <f>IF(ISNUMBER(卡牌总表!H289),IF(AND(卡牌总表!H289=0,卡牌总表!V289=0,卡牌总表!AK289="none"),0.4,IF(卡牌总表!AK289="exhaust",MAX(卡牌总表!H289-卡牌总表!V289,0.4),IF(卡牌总表!AK289="ethereal",MAX(卡牌总表!H289-卡牌总表!V289,0.4),MAX(卡牌总表!H289-卡牌总表!V289,0.4)))),IF(OR(卡牌总表!H289="X",卡牌总表!H289="∞"),0.4,0.4))</f>
        <v>0.4</v>
      </c>
      <c r="I289">
        <f>卡牌总表!M289*卡牌总表!O289*参数!$B$5*IF(AND(卡牌总表!F289="能力",卡牌总表!AL289="能力持续"),参数!$B$2,1)+卡牌总表!P289*参数!$B$6*IF(AND(卡牌总表!F289="能力",卡牌总表!AL289="能力持续"),参数!$B$2,1)+卡牌总表!R289*参数!$B$7*IF(AND(卡牌总表!F289="能力",卡牌总表!AL289="能力持续"),参数!$B$2,1)+卡牌总表!V289*参数!$B$8+IF(卡牌总表!X289&lt;0,卡牌总表!X289*参数!$B$13,卡牌总表!X289*参数!$B$39)+IF(卡牌总表!AE289&lt;0,卡牌总表!AE289*参数!$B$13,卡牌总表!AE289*参数!$B$12)*参数!$B$2+卡牌总表!AQ289*参数!$B$15+卡牌总表!AB289*参数!$B$11+卡牌总表!AF289*参数!$B$40*参数!$B$2+卡牌总表!AG289*参数!$B$44*参数!$B$2+卡牌总表!AH289*参数!$B$6*参数!$B$2+卡牌总表!AI289*参数!$B$39*参数!$B$2+卡牌总表!AJ289*参数!$B$6*参数!$B$2+卡牌总表!Z289*参数!$B$13-卡牌总表!T289*参数!$B$14-卡牌总表!AD289*参数!$B$13+IF(ISNUMBER(卡牌总表!AU289),卡牌总表!AU289*参数!$B$38,0)-卡牌总表!AV289*参数!$B$41-卡牌总表!AW289*参数!$B$14</f>
        <v>4</v>
      </c>
      <c r="J289">
        <f>IF(AND(卡牌总表!F289="能力",卡牌总表!AL289="能力持续"),(参数!$B$2-1)*参数!$B$3,0)</f>
        <v>0</v>
      </c>
      <c r="K289">
        <f t="shared" si="13"/>
        <v>4</v>
      </c>
      <c r="L289">
        <f>卡牌总表!N289*卡牌总表!O289*参数!$B$5*IF(AND(卡牌总表!F289="能力",卡牌总表!AL289="能力持续"),参数!$B$2,1)+卡牌总表!Q289*参数!$B$6*IF(AND(卡牌总表!F289="能力",卡牌总表!AL289="能力持续"),参数!$B$2,1)+卡牌总表!S289*参数!$B$7*IF(AND(卡牌总表!F289="能力",卡牌总表!AL289="能力持续"),参数!$B$2,1)+卡牌总表!W289*参数!$B$8+IF(卡牌总表!Y289&lt;0,卡牌总表!Y289*参数!$B$13,卡牌总表!Y289*参数!$B$39)+IF(卡牌总表!AE289&lt;0,卡牌总表!AE289*参数!$B$13,卡牌总表!AE289*参数!$B$12)*参数!$B$2+卡牌总表!AR289*参数!$B$15+卡牌总表!AC289*参数!$B$11+卡牌总表!AF289*参数!$B$40*参数!$B$2+卡牌总表!AG289*参数!$B$44*参数!$B$2+卡牌总表!AH289*参数!$B$6*参数!$B$2+卡牌总表!AI289*参数!$B$39*参数!$B$2+卡牌总表!AJ289*参数!$B$6*参数!$B$2+卡牌总表!AA289*参数!$B$13-卡牌总表!U289*参数!$B$14-卡牌总表!AD289*参数!$B$13+IF(ISNUMBER(卡牌总表!AU289),卡牌总表!AU289*参数!$B$38,0)-卡牌总表!AV289*参数!$B$41-卡牌总表!AW289*参数!$B$14</f>
        <v>0</v>
      </c>
      <c r="M289">
        <f>IF(AND(卡牌总表!F289="能力",卡牌总表!AL289="能力持续"),参数!$B$2*参数!$B$3,0)</f>
        <v>0</v>
      </c>
      <c r="N289">
        <f t="shared" si="14"/>
        <v>0</v>
      </c>
      <c r="O289">
        <f>IFERROR(MAX(IF(K289 &gt; 参数!$B$17,参数!$B$17+SQRT(K289-参数!$B$17)*参数!$B$18,K289)-MAX(G289,0)*参数!$B$10,0)/MAX(G289,0.4),0)</f>
        <v>6.9999999999999991</v>
      </c>
      <c r="P289">
        <f>IFERROR(MAX(IF(N289 &gt; 参数!$B$17,参数!$B$17+SQRT(N289-参数!$B$17)*参数!$B$18,N289)-MAX(H289,0)*参数!$B$10,0)/MAX(H289,0.4),0)</f>
        <v>0</v>
      </c>
      <c r="Q289">
        <f>卡牌总表!AO289</f>
        <v>0</v>
      </c>
    </row>
    <row r="290" spans="1:17" x14ac:dyDescent="0.3">
      <c r="A290">
        <f t="shared" si="12"/>
        <v>289</v>
      </c>
      <c r="B290" t="str">
        <f>卡牌总表!B290</f>
        <v>regent_lunar_blast</v>
      </c>
      <c r="C290" t="str">
        <f>卡牌总表!D290</f>
        <v>月面射击</v>
      </c>
      <c r="D290" t="str">
        <f>卡牌总表!F290</f>
        <v>攻击</v>
      </c>
      <c r="E290">
        <f>卡牌总表!AL290</f>
        <v>0</v>
      </c>
      <c r="F290" t="str">
        <f>卡牌总表!AN290</f>
        <v>本回合</v>
      </c>
      <c r="G290">
        <f>卡牌总表!AP290</f>
        <v>0.4</v>
      </c>
      <c r="H290">
        <f>IF(ISNUMBER(卡牌总表!H290),IF(AND(卡牌总表!H290=0,卡牌总表!V290=0,卡牌总表!AK290="none"),0.4,IF(卡牌总表!AK290="exhaust",MAX(卡牌总表!H290-卡牌总表!V290,0.4),IF(卡牌总表!AK290="ethereal",MAX(卡牌总表!H290-卡牌总表!V290,0.4),MAX(卡牌总表!H290-卡牌总表!V290,0.4)))),IF(OR(卡牌总表!H290="X",卡牌总表!H290="∞"),0.4,0.4))</f>
        <v>0.4</v>
      </c>
      <c r="I290">
        <f>卡牌总表!M290*卡牌总表!O290*参数!$B$5*IF(AND(卡牌总表!F290="能力",卡牌总表!AL290="能力持续"),参数!$B$2,1)+卡牌总表!P290*参数!$B$6*IF(AND(卡牌总表!F290="能力",卡牌总表!AL290="能力持续"),参数!$B$2,1)+卡牌总表!R290*参数!$B$7*IF(AND(卡牌总表!F290="能力",卡牌总表!AL290="能力持续"),参数!$B$2,1)+卡牌总表!V290*参数!$B$8+IF(卡牌总表!X290&lt;0,卡牌总表!X290*参数!$B$13,卡牌总表!X290*参数!$B$39)+IF(卡牌总表!AE290&lt;0,卡牌总表!AE290*参数!$B$13,卡牌总表!AE290*参数!$B$12)*参数!$B$2+卡牌总表!AQ290*参数!$B$15+卡牌总表!AB290*参数!$B$11+卡牌总表!AF290*参数!$B$40*参数!$B$2+卡牌总表!AG290*参数!$B$44*参数!$B$2+卡牌总表!AH290*参数!$B$6*参数!$B$2+卡牌总表!AI290*参数!$B$39*参数!$B$2+卡牌总表!AJ290*参数!$B$6*参数!$B$2+卡牌总表!Z290*参数!$B$13-卡牌总表!T290*参数!$B$14-卡牌总表!AD290*参数!$B$13+IF(ISNUMBER(卡牌总表!AU290),卡牌总表!AU290*参数!$B$38,0)-卡牌总表!AV290*参数!$B$41-卡牌总表!AW290*参数!$B$14</f>
        <v>8</v>
      </c>
      <c r="J290">
        <f>IF(AND(卡牌总表!F290="能力",卡牌总表!AL290="能力持续"),(参数!$B$2-1)*参数!$B$3,0)</f>
        <v>0</v>
      </c>
      <c r="K290">
        <f t="shared" si="13"/>
        <v>8</v>
      </c>
      <c r="L290">
        <f>卡牌总表!N290*卡牌总表!O290*参数!$B$5*IF(AND(卡牌总表!F290="能力",卡牌总表!AL290="能力持续"),参数!$B$2,1)+卡牌总表!Q290*参数!$B$6*IF(AND(卡牌总表!F290="能力",卡牌总表!AL290="能力持续"),参数!$B$2,1)+卡牌总表!S290*参数!$B$7*IF(AND(卡牌总表!F290="能力",卡牌总表!AL290="能力持续"),参数!$B$2,1)+卡牌总表!W290*参数!$B$8+IF(卡牌总表!Y290&lt;0,卡牌总表!Y290*参数!$B$13,卡牌总表!Y290*参数!$B$39)+IF(卡牌总表!AE290&lt;0,卡牌总表!AE290*参数!$B$13,卡牌总表!AE290*参数!$B$12)*参数!$B$2+卡牌总表!AR290*参数!$B$15+卡牌总表!AC290*参数!$B$11+卡牌总表!AF290*参数!$B$40*参数!$B$2+卡牌总表!AG290*参数!$B$44*参数!$B$2+卡牌总表!AH290*参数!$B$6*参数!$B$2+卡牌总表!AI290*参数!$B$39*参数!$B$2+卡牌总表!AJ290*参数!$B$6*参数!$B$2+卡牌总表!AA290*参数!$B$13-卡牌总表!U290*参数!$B$14-卡牌总表!AD290*参数!$B$13+IF(ISNUMBER(卡牌总表!AU290),卡牌总表!AU290*参数!$B$38,0)-卡牌总表!AV290*参数!$B$41-卡牌总表!AW290*参数!$B$14</f>
        <v>10</v>
      </c>
      <c r="M290">
        <f>IF(AND(卡牌总表!F290="能力",卡牌总表!AL290="能力持续"),参数!$B$2*参数!$B$3,0)</f>
        <v>0</v>
      </c>
      <c r="N290">
        <f t="shared" si="14"/>
        <v>10</v>
      </c>
      <c r="O290">
        <f>IFERROR(MAX(IF(K290 &gt; 参数!$B$17,参数!$B$17+SQRT(K290-参数!$B$17)*参数!$B$18,K290)-MAX(G290,0)*参数!$B$10,0)/MAX(G290,0.4),0)</f>
        <v>17</v>
      </c>
      <c r="P290">
        <f>IFERROR(MAX(IF(N290 &gt; 参数!$B$17,参数!$B$17+SQRT(N290-参数!$B$17)*参数!$B$18,N290)-MAX(H290,0)*参数!$B$10,0)/MAX(H290,0.4),0)</f>
        <v>22</v>
      </c>
      <c r="Q290">
        <f>卡牌总表!AO290</f>
        <v>0</v>
      </c>
    </row>
    <row r="291" spans="1:17" x14ac:dyDescent="0.3">
      <c r="A291">
        <f t="shared" si="12"/>
        <v>290</v>
      </c>
      <c r="B291" t="str">
        <f>卡牌总表!B291</f>
        <v>regent_make_it_so</v>
      </c>
      <c r="C291" t="str">
        <f>卡牌总表!D291</f>
        <v>如此甚好</v>
      </c>
      <c r="D291" t="str">
        <f>卡牌总表!F291</f>
        <v>攻击</v>
      </c>
      <c r="E291">
        <f>卡牌总表!AL291</f>
        <v>0</v>
      </c>
      <c r="F291">
        <f>卡牌总表!AN291</f>
        <v>0</v>
      </c>
      <c r="G291">
        <f>卡牌总表!AP291</f>
        <v>0.4</v>
      </c>
      <c r="H291">
        <f>IF(ISNUMBER(卡牌总表!H291),IF(AND(卡牌总表!H291=0,卡牌总表!V291=0,卡牌总表!AK291="none"),0.4,IF(卡牌总表!AK291="exhaust",MAX(卡牌总表!H291-卡牌总表!V291,0.4),IF(卡牌总表!AK291="ethereal",MAX(卡牌总表!H291-卡牌总表!V291,0.4),MAX(卡牌总表!H291-卡牌总表!V291,0.4)))),IF(OR(卡牌总表!H291="X",卡牌总表!H291="∞"),0.4,0.4))</f>
        <v>0.4</v>
      </c>
      <c r="I291">
        <f>卡牌总表!M291*卡牌总表!O291*参数!$B$5*IF(AND(卡牌总表!F291="能力",卡牌总表!AL291="能力持续"),参数!$B$2,1)+卡牌总表!P291*参数!$B$6*IF(AND(卡牌总表!F291="能力",卡牌总表!AL291="能力持续"),参数!$B$2,1)+卡牌总表!R291*参数!$B$7*IF(AND(卡牌总表!F291="能力",卡牌总表!AL291="能力持续"),参数!$B$2,1)+卡牌总表!V291*参数!$B$8+IF(卡牌总表!X291&lt;0,卡牌总表!X291*参数!$B$13,卡牌总表!X291*参数!$B$39)+IF(卡牌总表!AE291&lt;0,卡牌总表!AE291*参数!$B$13,卡牌总表!AE291*参数!$B$12)*参数!$B$2+卡牌总表!AQ291*参数!$B$15+卡牌总表!AB291*参数!$B$11+卡牌总表!AF291*参数!$B$40*参数!$B$2+卡牌总表!AG291*参数!$B$44*参数!$B$2+卡牌总表!AH291*参数!$B$6*参数!$B$2+卡牌总表!AI291*参数!$B$39*参数!$B$2+卡牌总表!AJ291*参数!$B$6*参数!$B$2+卡牌总表!Z291*参数!$B$13-卡牌总表!T291*参数!$B$14-卡牌总表!AD291*参数!$B$13+IF(ISNUMBER(卡牌总表!AU291),卡牌总表!AU291*参数!$B$38,0)-卡牌总表!AV291*参数!$B$41-卡牌总表!AW291*参数!$B$14</f>
        <v>10</v>
      </c>
      <c r="J291">
        <f>IF(AND(卡牌总表!F291="能力",卡牌总表!AL291="能力持续"),(参数!$B$2-1)*参数!$B$3,0)</f>
        <v>0</v>
      </c>
      <c r="K291">
        <f t="shared" si="13"/>
        <v>10</v>
      </c>
      <c r="L291">
        <f>卡牌总表!N291*卡牌总表!O291*参数!$B$5*IF(AND(卡牌总表!F291="能力",卡牌总表!AL291="能力持续"),参数!$B$2,1)+卡牌总表!Q291*参数!$B$6*IF(AND(卡牌总表!F291="能力",卡牌总表!AL291="能力持续"),参数!$B$2,1)+卡牌总表!S291*参数!$B$7*IF(AND(卡牌总表!F291="能力",卡牌总表!AL291="能力持续"),参数!$B$2,1)+卡牌总表!W291*参数!$B$8+IF(卡牌总表!Y291&lt;0,卡牌总表!Y291*参数!$B$13,卡牌总表!Y291*参数!$B$39)+IF(卡牌总表!AE291&lt;0,卡牌总表!AE291*参数!$B$13,卡牌总表!AE291*参数!$B$12)*参数!$B$2+卡牌总表!AR291*参数!$B$15+卡牌总表!AC291*参数!$B$11+卡牌总表!AF291*参数!$B$40*参数!$B$2+卡牌总表!AG291*参数!$B$44*参数!$B$2+卡牌总表!AH291*参数!$B$6*参数!$B$2+卡牌总表!AI291*参数!$B$39*参数!$B$2+卡牌总表!AJ291*参数!$B$6*参数!$B$2+卡牌总表!AA291*参数!$B$13-卡牌总表!U291*参数!$B$14-卡牌总表!AD291*参数!$B$13+IF(ISNUMBER(卡牌总表!AU291),卡牌总表!AU291*参数!$B$38,0)-卡牌总表!AV291*参数!$B$41-卡牌总表!AW291*参数!$B$14</f>
        <v>15</v>
      </c>
      <c r="M291">
        <f>IF(AND(卡牌总表!F291="能力",卡牌总表!AL291="能力持续"),参数!$B$2*参数!$B$3,0)</f>
        <v>0</v>
      </c>
      <c r="N291">
        <f t="shared" si="14"/>
        <v>15</v>
      </c>
      <c r="O291">
        <f>IFERROR(MAX(IF(K291 &gt; 参数!$B$17,参数!$B$17+SQRT(K291-参数!$B$17)*参数!$B$18,K291)-MAX(G291,0)*参数!$B$10,0)/MAX(G291,0.4),0)</f>
        <v>22</v>
      </c>
      <c r="P291">
        <f>IFERROR(MAX(IF(N291 &gt; 参数!$B$17,参数!$B$17+SQRT(N291-参数!$B$17)*参数!$B$18,N291)-MAX(H291,0)*参数!$B$10,0)/MAX(H291,0.4),0)</f>
        <v>30.385254915624209</v>
      </c>
      <c r="Q291">
        <f>卡牌总表!AO291</f>
        <v>0</v>
      </c>
    </row>
    <row r="292" spans="1:17" x14ac:dyDescent="0.3">
      <c r="A292">
        <f t="shared" si="12"/>
        <v>291</v>
      </c>
      <c r="B292" t="str">
        <f>卡牌总表!B292</f>
        <v>regent_manifest_authority</v>
      </c>
      <c r="C292" t="str">
        <f>卡牌总表!D292</f>
        <v>君权自授</v>
      </c>
      <c r="D292" t="str">
        <f>卡牌总表!F292</f>
        <v>技能</v>
      </c>
      <c r="E292">
        <f>卡牌总表!AL292</f>
        <v>0</v>
      </c>
      <c r="F292">
        <f>卡牌总表!AN292</f>
        <v>0</v>
      </c>
      <c r="G292">
        <f>卡牌总表!AP292</f>
        <v>1</v>
      </c>
      <c r="H292">
        <f>IF(ISNUMBER(卡牌总表!H292),IF(AND(卡牌总表!H292=0,卡牌总表!V292=0,卡牌总表!AK292="none"),0.4,IF(卡牌总表!AK292="exhaust",MAX(卡牌总表!H292-卡牌总表!V292,0.4),IF(卡牌总表!AK292="ethereal",MAX(卡牌总表!H292-卡牌总表!V292,0.4),MAX(卡牌总表!H292-卡牌总表!V292,0.4)))),IF(OR(卡牌总表!H292="X",卡牌总表!H292="∞"),0.4,0.4))</f>
        <v>1</v>
      </c>
      <c r="I292">
        <f>卡牌总表!M292*卡牌总表!O292*参数!$B$5*IF(AND(卡牌总表!F292="能力",卡牌总表!AL292="能力持续"),参数!$B$2,1)+卡牌总表!P292*参数!$B$6*IF(AND(卡牌总表!F292="能力",卡牌总表!AL292="能力持续"),参数!$B$2,1)+卡牌总表!R292*参数!$B$7*IF(AND(卡牌总表!F292="能力",卡牌总表!AL292="能力持续"),参数!$B$2,1)+卡牌总表!V292*参数!$B$8+IF(卡牌总表!X292&lt;0,卡牌总表!X292*参数!$B$13,卡牌总表!X292*参数!$B$39)+IF(卡牌总表!AE292&lt;0,卡牌总表!AE292*参数!$B$13,卡牌总表!AE292*参数!$B$12)*参数!$B$2+卡牌总表!AQ292*参数!$B$15+卡牌总表!AB292*参数!$B$11+卡牌总表!AF292*参数!$B$40*参数!$B$2+卡牌总表!AG292*参数!$B$44*参数!$B$2+卡牌总表!AH292*参数!$B$6*参数!$B$2+卡牌总表!AI292*参数!$B$39*参数!$B$2+卡牌总表!AJ292*参数!$B$6*参数!$B$2+卡牌总表!Z292*参数!$B$13-卡牌总表!T292*参数!$B$14-卡牌总表!AD292*参数!$B$13+IF(ISNUMBER(卡牌总表!AU292),卡牌总表!AU292*参数!$B$38,0)-卡牌总表!AV292*参数!$B$41-卡牌总表!AW292*参数!$B$14</f>
        <v>7.7000000000000011</v>
      </c>
      <c r="J292">
        <f>IF(AND(卡牌总表!F292="能力",卡牌总表!AL292="能力持续"),(参数!$B$2-1)*参数!$B$3,0)</f>
        <v>0</v>
      </c>
      <c r="K292">
        <f t="shared" si="13"/>
        <v>7.7000000000000011</v>
      </c>
      <c r="L292">
        <f>卡牌总表!N292*卡牌总表!O292*参数!$B$5*IF(AND(卡牌总表!F292="能力",卡牌总表!AL292="能力持续"),参数!$B$2,1)+卡牌总表!Q292*参数!$B$6*IF(AND(卡牌总表!F292="能力",卡牌总表!AL292="能力持续"),参数!$B$2,1)+卡牌总表!S292*参数!$B$7*IF(AND(卡牌总表!F292="能力",卡牌总表!AL292="能力持续"),参数!$B$2,1)+卡牌总表!W292*参数!$B$8+IF(卡牌总表!Y292&lt;0,卡牌总表!Y292*参数!$B$13,卡牌总表!Y292*参数!$B$39)+IF(卡牌总表!AE292&lt;0,卡牌总表!AE292*参数!$B$13,卡牌总表!AE292*参数!$B$12)*参数!$B$2+卡牌总表!AR292*参数!$B$15+卡牌总表!AC292*参数!$B$11+卡牌总表!AF292*参数!$B$40*参数!$B$2+卡牌总表!AG292*参数!$B$44*参数!$B$2+卡牌总表!AH292*参数!$B$6*参数!$B$2+卡牌总表!AI292*参数!$B$39*参数!$B$2+卡牌总表!AJ292*参数!$B$6*参数!$B$2+卡牌总表!AA292*参数!$B$13-卡牌总表!U292*参数!$B$14-卡牌总表!AD292*参数!$B$13+IF(ISNUMBER(卡牌总表!AU292),卡牌总表!AU292*参数!$B$38,0)-卡牌总表!AV292*参数!$B$41-卡牌总表!AW292*参数!$B$14</f>
        <v>8.8000000000000007</v>
      </c>
      <c r="M292">
        <f>IF(AND(卡牌总表!F292="能力",卡牌总表!AL292="能力持续"),参数!$B$2*参数!$B$3,0)</f>
        <v>0</v>
      </c>
      <c r="N292">
        <f t="shared" si="14"/>
        <v>8.8000000000000007</v>
      </c>
      <c r="O292">
        <f>IFERROR(MAX(IF(K292 &gt; 参数!$B$17,参数!$B$17+SQRT(K292-参数!$B$17)*参数!$B$18,K292)-MAX(G292,0)*参数!$B$10,0)/MAX(G292,0.4),0)</f>
        <v>4.7000000000000011</v>
      </c>
      <c r="P292">
        <f>IFERROR(MAX(IF(N292 &gt; 参数!$B$17,参数!$B$17+SQRT(N292-参数!$B$17)*参数!$B$18,N292)-MAX(H292,0)*参数!$B$10,0)/MAX(H292,0.4),0)</f>
        <v>5.8000000000000007</v>
      </c>
      <c r="Q292">
        <f>卡牌总表!AO292</f>
        <v>0</v>
      </c>
    </row>
    <row r="293" spans="1:17" x14ac:dyDescent="0.3">
      <c r="A293">
        <f t="shared" si="12"/>
        <v>292</v>
      </c>
      <c r="B293" t="str">
        <f>卡牌总表!B293</f>
        <v>regent_meteor_shower</v>
      </c>
      <c r="C293" t="str">
        <f>卡牌总表!D293</f>
        <v>流星雨</v>
      </c>
      <c r="D293" t="str">
        <f>卡牌总表!F293</f>
        <v>攻击</v>
      </c>
      <c r="E293">
        <f>卡牌总表!AL293</f>
        <v>0</v>
      </c>
      <c r="F293" t="str">
        <f>卡牌总表!AN293</f>
        <v>群体攻击</v>
      </c>
      <c r="G293">
        <f>卡牌总表!AP293</f>
        <v>0.4</v>
      </c>
      <c r="H293">
        <f>IF(ISNUMBER(卡牌总表!H293),IF(AND(卡牌总表!H293=0,卡牌总表!V293=0,卡牌总表!AK293="none"),0.4,IF(卡牌总表!AK293="exhaust",MAX(卡牌总表!H293-卡牌总表!V293,0.4),IF(卡牌总表!AK293="ethereal",MAX(卡牌总表!H293-卡牌总表!V293,0.4),MAX(卡牌总表!H293-卡牌总表!V293,0.4)))),IF(OR(卡牌总表!H293="X",卡牌总表!H293="∞"),0.4,0.4))</f>
        <v>0.4</v>
      </c>
      <c r="I293">
        <f>卡牌总表!M293*卡牌总表!O293*参数!$B$5*IF(AND(卡牌总表!F293="能力",卡牌总表!AL293="能力持续"),参数!$B$2,1)+卡牌总表!P293*参数!$B$6*IF(AND(卡牌总表!F293="能力",卡牌总表!AL293="能力持续"),参数!$B$2,1)+卡牌总表!R293*参数!$B$7*IF(AND(卡牌总表!F293="能力",卡牌总表!AL293="能力持续"),参数!$B$2,1)+卡牌总表!V293*参数!$B$8+IF(卡牌总表!X293&lt;0,卡牌总表!X293*参数!$B$13,卡牌总表!X293*参数!$B$39)+IF(卡牌总表!AE293&lt;0,卡牌总表!AE293*参数!$B$13,卡牌总表!AE293*参数!$B$12)*参数!$B$2+卡牌总表!AQ293*参数!$B$15+卡牌总表!AB293*参数!$B$11+卡牌总表!AF293*参数!$B$40*参数!$B$2+卡牌总表!AG293*参数!$B$44*参数!$B$2+卡牌总表!AH293*参数!$B$6*参数!$B$2+卡牌总表!AI293*参数!$B$39*参数!$B$2+卡牌总表!AJ293*参数!$B$6*参数!$B$2+卡牌总表!Z293*参数!$B$13-卡牌总表!T293*参数!$B$14-卡牌总表!AD293*参数!$B$13+IF(ISNUMBER(卡牌总表!AU293),卡牌总表!AU293*参数!$B$38,0)-卡牌总表!AV293*参数!$B$41-卡牌总表!AW293*参数!$B$14</f>
        <v>16.600000000000001</v>
      </c>
      <c r="J293">
        <f>IF(AND(卡牌总表!F293="能力",卡牌总表!AL293="能力持续"),(参数!$B$2-1)*参数!$B$3,0)</f>
        <v>0</v>
      </c>
      <c r="K293">
        <f t="shared" si="13"/>
        <v>16.600000000000001</v>
      </c>
      <c r="L293">
        <f>卡牌总表!N293*卡牌总表!O293*参数!$B$5*IF(AND(卡牌总表!F293="能力",卡牌总表!AL293="能力持续"),参数!$B$2,1)+卡牌总表!Q293*参数!$B$6*IF(AND(卡牌总表!F293="能力",卡牌总表!AL293="能力持续"),参数!$B$2,1)+卡牌总表!S293*参数!$B$7*IF(AND(卡牌总表!F293="能力",卡牌总表!AL293="能力持续"),参数!$B$2,1)+卡牌总表!W293*参数!$B$8+IF(卡牌总表!Y293&lt;0,卡牌总表!Y293*参数!$B$13,卡牌总表!Y293*参数!$B$39)+IF(卡牌总表!AE293&lt;0,卡牌总表!AE293*参数!$B$13,卡牌总表!AE293*参数!$B$12)*参数!$B$2+卡牌总表!AR293*参数!$B$15+卡牌总表!AC293*参数!$B$11+卡牌总表!AF293*参数!$B$40*参数!$B$2+卡牌总表!AG293*参数!$B$44*参数!$B$2+卡牌总表!AH293*参数!$B$6*参数!$B$2+卡牌总表!AI293*参数!$B$39*参数!$B$2+卡牌总表!AJ293*参数!$B$6*参数!$B$2+卡牌总表!AA293*参数!$B$13-卡牌总表!U293*参数!$B$14-卡牌总表!AD293*参数!$B$13+IF(ISNUMBER(卡牌总表!AU293),卡牌总表!AU293*参数!$B$38,0)-卡牌总表!AV293*参数!$B$41-卡牌总表!AW293*参数!$B$14</f>
        <v>23.6</v>
      </c>
      <c r="M293">
        <f>IF(AND(卡牌总表!F293="能力",卡牌总表!AL293="能力持续"),参数!$B$2*参数!$B$3,0)</f>
        <v>0</v>
      </c>
      <c r="N293">
        <f t="shared" si="14"/>
        <v>23.6</v>
      </c>
      <c r="O293">
        <f>IFERROR(MAX(IF(K293 &gt; 参数!$B$17,参数!$B$17+SQRT(K293-参数!$B$17)*参数!$B$18,K293)-MAX(G293,0)*参数!$B$10,0)/MAX(G293,0.4),0)</f>
        <v>31.633924433998846</v>
      </c>
      <c r="P293">
        <f>IFERROR(MAX(IF(N293 &gt; 参数!$B$17,参数!$B$17+SQRT(N293-参数!$B$17)*参数!$B$18,N293)-MAX(H293,0)*参数!$B$10,0)/MAX(H293,0.4),0)</f>
        <v>35.829316685939332</v>
      </c>
      <c r="Q293">
        <f>卡牌总表!AO293</f>
        <v>0</v>
      </c>
    </row>
    <row r="294" spans="1:17" x14ac:dyDescent="0.3">
      <c r="A294">
        <f t="shared" si="12"/>
        <v>293</v>
      </c>
      <c r="B294" t="str">
        <f>卡牌总表!B294</f>
        <v>regent_monarch_s_gaze</v>
      </c>
      <c r="C294" t="str">
        <f>卡牌总表!D294</f>
        <v>王之凝视</v>
      </c>
      <c r="D294" t="str">
        <f>卡牌总表!F294</f>
        <v>能力</v>
      </c>
      <c r="E294" t="str">
        <f>卡牌总表!AL294</f>
        <v>能力持续</v>
      </c>
      <c r="F294" t="str">
        <f>卡牌总表!AN294</f>
        <v>本回合，能力</v>
      </c>
      <c r="G294">
        <f>卡牌总表!AP294</f>
        <v>3</v>
      </c>
      <c r="H294">
        <f>IF(ISNUMBER(卡牌总表!H294),IF(AND(卡牌总表!H294=0,卡牌总表!V294=0,卡牌总表!AK294="none"),0.4,IF(卡牌总表!AK294="exhaust",MAX(卡牌总表!H294-卡牌总表!V294,0.4),IF(卡牌总表!AK294="ethereal",MAX(卡牌总表!H294-卡牌总表!V294,0.4),MAX(卡牌总表!H294-卡牌总表!V294,0.4)))),IF(OR(卡牌总表!H294="X",卡牌总表!H294="∞"),0.4,0.4))</f>
        <v>3</v>
      </c>
      <c r="I294">
        <f>卡牌总表!M294*卡牌总表!O294*参数!$B$5*IF(AND(卡牌总表!F294="能力",卡牌总表!AL294="能力持续"),参数!$B$2,1)+卡牌总表!P294*参数!$B$6*IF(AND(卡牌总表!F294="能力",卡牌总表!AL294="能力持续"),参数!$B$2,1)+卡牌总表!R294*参数!$B$7*IF(AND(卡牌总表!F294="能力",卡牌总表!AL294="能力持续"),参数!$B$2,1)+卡牌总表!V294*参数!$B$8+IF(卡牌总表!X294&lt;0,卡牌总表!X294*参数!$B$13,卡牌总表!X294*参数!$B$39)+IF(卡牌总表!AE294&lt;0,卡牌总表!AE294*参数!$B$13,卡牌总表!AE294*参数!$B$12)*参数!$B$2+卡牌总表!AQ294*参数!$B$15+卡牌总表!AB294*参数!$B$11+卡牌总表!AF294*参数!$B$40*参数!$B$2+卡牌总表!AG294*参数!$B$44*参数!$B$2+卡牌总表!AH294*参数!$B$6*参数!$B$2+卡牌总表!AI294*参数!$B$39*参数!$B$2+卡牌总表!AJ294*参数!$B$6*参数!$B$2+卡牌总表!Z294*参数!$B$13-卡牌总表!T294*参数!$B$14-卡牌总表!AD294*参数!$B$13+IF(ISNUMBER(卡牌总表!AU294),卡牌总表!AU294*参数!$B$38,0)-卡牌总表!AV294*参数!$B$41-卡牌总表!AW294*参数!$B$14</f>
        <v>9</v>
      </c>
      <c r="J294">
        <f>IF(AND(卡牌总表!F294="能力",卡牌总表!AL294="能力持续"),(参数!$B$2-1)*参数!$B$3,0)</f>
        <v>3.5999999999999996</v>
      </c>
      <c r="K294">
        <f t="shared" si="13"/>
        <v>12.6</v>
      </c>
      <c r="L294">
        <f>卡牌总表!N294*卡牌总表!O294*参数!$B$5*IF(AND(卡牌总表!F294="能力",卡牌总表!AL294="能力持续"),参数!$B$2,1)+卡牌总表!Q294*参数!$B$6*IF(AND(卡牌总表!F294="能力",卡牌总表!AL294="能力持续"),参数!$B$2,1)+卡牌总表!S294*参数!$B$7*IF(AND(卡牌总表!F294="能力",卡牌总表!AL294="能力持续"),参数!$B$2,1)+卡牌总表!W294*参数!$B$8+IF(卡牌总表!Y294&lt;0,卡牌总表!Y294*参数!$B$13,卡牌总表!Y294*参数!$B$39)+IF(卡牌总表!AE294&lt;0,卡牌总表!AE294*参数!$B$13,卡牌总表!AE294*参数!$B$12)*参数!$B$2+卡牌总表!AR294*参数!$B$15+卡牌总表!AC294*参数!$B$11+卡牌总表!AF294*参数!$B$40*参数!$B$2+卡牌总表!AG294*参数!$B$44*参数!$B$2+卡牌总表!AH294*参数!$B$6*参数!$B$2+卡牌总表!AI294*参数!$B$39*参数!$B$2+卡牌总表!AJ294*参数!$B$6*参数!$B$2+卡牌总表!AA294*参数!$B$13-卡牌总表!U294*参数!$B$14-卡牌总表!AD294*参数!$B$13+IF(ISNUMBER(卡牌总表!AU294),卡牌总表!AU294*参数!$B$38,0)-卡牌总表!AV294*参数!$B$41-卡牌总表!AW294*参数!$B$14</f>
        <v>0</v>
      </c>
      <c r="M294">
        <f>IF(AND(卡牌总表!F294="能力",卡牌总表!AL294="能力持续"),参数!$B$2*参数!$B$3,0)</f>
        <v>4.8</v>
      </c>
      <c r="N294">
        <f t="shared" si="14"/>
        <v>4.8</v>
      </c>
      <c r="O294">
        <f>IFERROR(MAX(IF(K294 &gt; 参数!$B$17,参数!$B$17+SQRT(K294-参数!$B$17)*参数!$B$18,K294)-MAX(G294,0)*参数!$B$10,0)/MAX(G294,0.4),0)</f>
        <v>1.1395591081631882</v>
      </c>
      <c r="P294">
        <f>IFERROR(MAX(IF(N294 &gt; 参数!$B$17,参数!$B$17+SQRT(N294-参数!$B$17)*参数!$B$18,N294)-MAX(H294,0)*参数!$B$10,0)/MAX(H294,0.4),0)</f>
        <v>0</v>
      </c>
      <c r="Q294" t="str">
        <f>卡牌总表!AO294</f>
        <v>减敌方力量1(本回合)</v>
      </c>
    </row>
    <row r="295" spans="1:17" x14ac:dyDescent="0.3">
      <c r="A295">
        <f t="shared" si="12"/>
        <v>294</v>
      </c>
      <c r="B295" t="str">
        <f>卡牌总表!B295</f>
        <v>regent_monologue</v>
      </c>
      <c r="C295" t="str">
        <f>卡牌总表!D295</f>
        <v>独白</v>
      </c>
      <c r="D295" t="str">
        <f>卡牌总表!F295</f>
        <v>技能</v>
      </c>
      <c r="E295">
        <f>卡牌总表!AL295</f>
        <v>0</v>
      </c>
      <c r="F295" t="str">
        <f>卡牌总表!AN295</f>
        <v>本回合</v>
      </c>
      <c r="G295">
        <f>卡牌总表!AP295</f>
        <v>0.4</v>
      </c>
      <c r="H295">
        <f>IF(ISNUMBER(卡牌总表!H295),IF(AND(卡牌总表!H295=0,卡牌总表!V295=0,卡牌总表!AK295="none"),0.4,IF(卡牌总表!AK295="exhaust",MAX(卡牌总表!H295-卡牌总表!V295,0.4),IF(卡牌总表!AK295="ethereal",MAX(卡牌总表!H295-卡牌总表!V295,0.4),MAX(卡牌总表!H295-卡牌总表!V295,0.4)))),IF(OR(卡牌总表!H295="X",卡牌总表!H295="∞"),0.4,0.4))</f>
        <v>0.4</v>
      </c>
      <c r="I295">
        <f>卡牌总表!M295*卡牌总表!O295*参数!$B$5*IF(AND(卡牌总表!F295="能力",卡牌总表!AL295="能力持续"),参数!$B$2,1)+卡牌总表!P295*参数!$B$6*IF(AND(卡牌总表!F295="能力",卡牌总表!AL295="能力持续"),参数!$B$2,1)+卡牌总表!R295*参数!$B$7*IF(AND(卡牌总表!F295="能力",卡牌总表!AL295="能力持续"),参数!$B$2,1)+卡牌总表!V295*参数!$B$8+IF(卡牌总表!X295&lt;0,卡牌总表!X295*参数!$B$13,卡牌总表!X295*参数!$B$39)+IF(卡牌总表!AE295&lt;0,卡牌总表!AE295*参数!$B$13,卡牌总表!AE295*参数!$B$12)*参数!$B$2+卡牌总表!AQ295*参数!$B$15+卡牌总表!AB295*参数!$B$11+卡牌总表!AF295*参数!$B$40*参数!$B$2+卡牌总表!AG295*参数!$B$44*参数!$B$2+卡牌总表!AH295*参数!$B$6*参数!$B$2+卡牌总表!AI295*参数!$B$39*参数!$B$2+卡牌总表!AJ295*参数!$B$6*参数!$B$2+卡牌总表!Z295*参数!$B$13-卡牌总表!T295*参数!$B$14-卡牌总表!AD295*参数!$B$13+IF(ISNUMBER(卡牌总表!AU295),卡牌总表!AU295*参数!$B$38,0)-卡牌总表!AV295*参数!$B$41-卡牌总表!AW295*参数!$B$14</f>
        <v>21.599999999999998</v>
      </c>
      <c r="J295">
        <f>IF(AND(卡牌总表!F295="能力",卡牌总表!AL295="能力持续"),(参数!$B$2-1)*参数!$B$3,0)</f>
        <v>0</v>
      </c>
      <c r="K295">
        <f t="shared" si="13"/>
        <v>21.599999999999998</v>
      </c>
      <c r="L295">
        <f>卡牌总表!N295*卡牌总表!O295*参数!$B$5*IF(AND(卡牌总表!F295="能力",卡牌总表!AL295="能力持续"),参数!$B$2,1)+卡牌总表!Q295*参数!$B$6*IF(AND(卡牌总表!F295="能力",卡牌总表!AL295="能力持续"),参数!$B$2,1)+卡牌总表!S295*参数!$B$7*IF(AND(卡牌总表!F295="能力",卡牌总表!AL295="能力持续"),参数!$B$2,1)+卡牌总表!W295*参数!$B$8+IF(卡牌总表!Y295&lt;0,卡牌总表!Y295*参数!$B$13,卡牌总表!Y295*参数!$B$39)+IF(卡牌总表!AE295&lt;0,卡牌总表!AE295*参数!$B$13,卡牌总表!AE295*参数!$B$12)*参数!$B$2+卡牌总表!AR295*参数!$B$15+卡牌总表!AC295*参数!$B$11+卡牌总表!AF295*参数!$B$40*参数!$B$2+卡牌总表!AG295*参数!$B$44*参数!$B$2+卡牌总表!AH295*参数!$B$6*参数!$B$2+卡牌总表!AI295*参数!$B$39*参数!$B$2+卡牌总表!AJ295*参数!$B$6*参数!$B$2+卡牌总表!AA295*参数!$B$13-卡牌总表!U295*参数!$B$14-卡牌总表!AD295*参数!$B$13+IF(ISNUMBER(卡牌总表!AU295),卡牌总表!AU295*参数!$B$38,0)-卡牌总表!AV295*参数!$B$41-卡牌总表!AW295*参数!$B$14</f>
        <v>21.599999999999998</v>
      </c>
      <c r="M295">
        <f>IF(AND(卡牌总表!F295="能力",卡牌总表!AL295="能力持续"),参数!$B$2*参数!$B$3,0)</f>
        <v>0</v>
      </c>
      <c r="N295">
        <f t="shared" si="14"/>
        <v>21.599999999999998</v>
      </c>
      <c r="O295">
        <f>IFERROR(MAX(IF(K295 &gt; 参数!$B$17,参数!$B$17+SQRT(K295-参数!$B$17)*参数!$B$18,K295)-MAX(G295,0)*参数!$B$10,0)/MAX(G295,0.4),0)</f>
        <v>34.772039774444799</v>
      </c>
      <c r="P295">
        <f>IFERROR(MAX(IF(N295 &gt; 参数!$B$17,参数!$B$17+SQRT(N295-参数!$B$17)*参数!$B$18,N295)-MAX(H295,0)*参数!$B$10,0)/MAX(H295,0.4),0)</f>
        <v>34.772039774444799</v>
      </c>
      <c r="Q295">
        <f>卡牌总表!AO295</f>
        <v>0</v>
      </c>
    </row>
    <row r="296" spans="1:17" x14ac:dyDescent="0.3">
      <c r="A296">
        <f t="shared" si="12"/>
        <v>295</v>
      </c>
      <c r="B296" t="str">
        <f>卡牌总表!B296</f>
        <v>regent_neutron_aegis</v>
      </c>
      <c r="C296" t="str">
        <f>卡牌总表!D296</f>
        <v>中子护盾</v>
      </c>
      <c r="D296" t="str">
        <f>卡牌总表!F296</f>
        <v>能力</v>
      </c>
      <c r="E296">
        <f>卡牌总表!AL296</f>
        <v>0</v>
      </c>
      <c r="F296" t="str">
        <f>卡牌总表!AN296</f>
        <v>能力</v>
      </c>
      <c r="G296">
        <f>卡牌总表!AP296</f>
        <v>1</v>
      </c>
      <c r="H296">
        <f>IF(ISNUMBER(卡牌总表!H296),IF(AND(卡牌总表!H296=0,卡牌总表!V296=0,卡牌总表!AK296="none"),0.4,IF(卡牌总表!AK296="exhaust",MAX(卡牌总表!H296-卡牌总表!V296,0.4),IF(卡牌总表!AK296="ethereal",MAX(卡牌总表!H296-卡牌总表!V296,0.4),MAX(卡牌总表!H296-卡牌总表!V296,0.4)))),IF(OR(卡牌总表!H296="X",卡牌总表!H296="∞"),0.4,0.4))</f>
        <v>1</v>
      </c>
      <c r="I296">
        <f>卡牌总表!M296*卡牌总表!O296*参数!$B$5*IF(AND(卡牌总表!F296="能力",卡牌总表!AL296="能力持续"),参数!$B$2,1)+卡牌总表!P296*参数!$B$6*IF(AND(卡牌总表!F296="能力",卡牌总表!AL296="能力持续"),参数!$B$2,1)+卡牌总表!R296*参数!$B$7*IF(AND(卡牌总表!F296="能力",卡牌总表!AL296="能力持续"),参数!$B$2,1)+卡牌总表!V296*参数!$B$8+IF(卡牌总表!X296&lt;0,卡牌总表!X296*参数!$B$13,卡牌总表!X296*参数!$B$39)+IF(卡牌总表!AE296&lt;0,卡牌总表!AE296*参数!$B$13,卡牌总表!AE296*参数!$B$12)*参数!$B$2+卡牌总表!AQ296*参数!$B$15+卡牌总表!AB296*参数!$B$11+卡牌总表!AF296*参数!$B$40*参数!$B$2+卡牌总表!AG296*参数!$B$44*参数!$B$2+卡牌总表!AH296*参数!$B$6*参数!$B$2+卡牌总表!AI296*参数!$B$39*参数!$B$2+卡牌总表!AJ296*参数!$B$6*参数!$B$2+卡牌总表!Z296*参数!$B$13-卡牌总表!T296*参数!$B$14-卡牌总表!AD296*参数!$B$13+IF(ISNUMBER(卡牌总表!AU296),卡牌总表!AU296*参数!$B$38,0)-卡牌总表!AV296*参数!$B$41-卡牌总表!AW296*参数!$B$14</f>
        <v>27.700000000000003</v>
      </c>
      <c r="J296">
        <f>IF(AND(卡牌总表!F296="能力",卡牌总表!AL296="能力持续"),(参数!$B$2-1)*参数!$B$3,0)</f>
        <v>0</v>
      </c>
      <c r="K296">
        <f t="shared" si="13"/>
        <v>27.700000000000003</v>
      </c>
      <c r="L296">
        <f>卡牌总表!N296*卡牌总表!O296*参数!$B$5*IF(AND(卡牌总表!F296="能力",卡牌总表!AL296="能力持续"),参数!$B$2,1)+卡牌总表!Q296*参数!$B$6*IF(AND(卡牌总表!F296="能力",卡牌总表!AL296="能力持续"),参数!$B$2,1)+卡牌总表!S296*参数!$B$7*IF(AND(卡牌总表!F296="能力",卡牌总表!AL296="能力持续"),参数!$B$2,1)+卡牌总表!W296*参数!$B$8+IF(卡牌总表!Y296&lt;0,卡牌总表!Y296*参数!$B$13,卡牌总表!Y296*参数!$B$39)+IF(卡牌总表!AE296&lt;0,卡牌总表!AE296*参数!$B$13,卡牌总表!AE296*参数!$B$12)*参数!$B$2+卡牌总表!AR296*参数!$B$15+卡牌总表!AC296*参数!$B$11+卡牌总表!AF296*参数!$B$40*参数!$B$2+卡牌总表!AG296*参数!$B$44*参数!$B$2+卡牌总表!AH296*参数!$B$6*参数!$B$2+卡牌总表!AI296*参数!$B$39*参数!$B$2+卡牌总表!AJ296*参数!$B$6*参数!$B$2+卡牌总表!AA296*参数!$B$13-卡牌总表!U296*参数!$B$14-卡牌总表!AD296*参数!$B$13+IF(ISNUMBER(卡牌总表!AU296),卡牌总表!AU296*参数!$B$38,0)-卡牌总表!AV296*参数!$B$41-卡牌总表!AW296*参数!$B$14</f>
        <v>27.700000000000003</v>
      </c>
      <c r="M296">
        <f>IF(AND(卡牌总表!F296="能力",卡牌总表!AL296="能力持续"),参数!$B$2*参数!$B$3,0)</f>
        <v>0</v>
      </c>
      <c r="N296">
        <f t="shared" si="14"/>
        <v>27.700000000000003</v>
      </c>
      <c r="O296">
        <f>IFERROR(MAX(IF(K296 &gt; 参数!$B$17,参数!$B$17+SQRT(K296-参数!$B$17)*参数!$B$18,K296)-MAX(G296,0)*参数!$B$10,0)/MAX(G296,0.4),0)</f>
        <v>13.310705190388788</v>
      </c>
      <c r="P296">
        <f>IFERROR(MAX(IF(N296 &gt; 参数!$B$17,参数!$B$17+SQRT(N296-参数!$B$17)*参数!$B$18,N296)-MAX(H296,0)*参数!$B$10,0)/MAX(H296,0.4),0)</f>
        <v>13.310705190388788</v>
      </c>
      <c r="Q296">
        <f>卡牌总表!AO296</f>
        <v>0</v>
      </c>
    </row>
    <row r="297" spans="1:17" x14ac:dyDescent="0.3">
      <c r="A297">
        <f t="shared" si="12"/>
        <v>296</v>
      </c>
      <c r="B297" t="str">
        <f>卡牌总表!B297</f>
        <v>regent_orbit</v>
      </c>
      <c r="C297" t="str">
        <f>卡牌总表!D297</f>
        <v>环绕轨道</v>
      </c>
      <c r="D297" t="str">
        <f>卡牌总表!F297</f>
        <v>能力</v>
      </c>
      <c r="E297" t="str">
        <f>卡牌总表!AL297</f>
        <v>能力持续</v>
      </c>
      <c r="F297" t="str">
        <f>卡牌总表!AN297</f>
        <v>能力</v>
      </c>
      <c r="G297">
        <f>卡牌总表!AP297</f>
        <v>0.4</v>
      </c>
      <c r="H297">
        <f>IF(ISNUMBER(卡牌总表!H297),IF(AND(卡牌总表!H297=0,卡牌总表!V297=0,卡牌总表!AK297="none"),0.4,IF(卡牌总表!AK297="exhaust",MAX(卡牌总表!H297-卡牌总表!V297,0.4),IF(卡牌总表!AK297="ethereal",MAX(卡牌总表!H297-卡牌总表!V297,0.4),MAX(卡牌总表!H297-卡牌总表!V297,0.4)))),IF(OR(卡牌总表!H297="X",卡牌总表!H297="∞"),0.4,0.4))</f>
        <v>0.4</v>
      </c>
      <c r="I297">
        <f>卡牌总表!M297*卡牌总表!O297*参数!$B$5*IF(AND(卡牌总表!F297="能力",卡牌总表!AL297="能力持续"),参数!$B$2,1)+卡牌总表!P297*参数!$B$6*IF(AND(卡牌总表!F297="能力",卡牌总表!AL297="能力持续"),参数!$B$2,1)+卡牌总表!R297*参数!$B$7*IF(AND(卡牌总表!F297="能力",卡牌总表!AL297="能力持续"),参数!$B$2,1)+卡牌总表!V297*参数!$B$8+IF(卡牌总表!X297&lt;0,卡牌总表!X297*参数!$B$13,卡牌总表!X297*参数!$B$39)+IF(卡牌总表!AE297&lt;0,卡牌总表!AE297*参数!$B$13,卡牌总表!AE297*参数!$B$12)*参数!$B$2+卡牌总表!AQ297*参数!$B$15+卡牌总表!AB297*参数!$B$11+卡牌总表!AF297*参数!$B$40*参数!$B$2+卡牌总表!AG297*参数!$B$44*参数!$B$2+卡牌总表!AH297*参数!$B$6*参数!$B$2+卡牌总表!AI297*参数!$B$39*参数!$B$2+卡牌总表!AJ297*参数!$B$6*参数!$B$2+卡牌总表!Z297*参数!$B$13-卡牌总表!T297*参数!$B$14-卡牌总表!AD297*参数!$B$13+IF(ISNUMBER(卡牌总表!AU297),卡牌总表!AU297*参数!$B$38,0)-卡牌总表!AV297*参数!$B$41-卡牌总表!AW297*参数!$B$14</f>
        <v>9</v>
      </c>
      <c r="J297">
        <f>IF(AND(卡牌总表!F297="能力",卡牌总表!AL297="能力持续"),(参数!$B$2-1)*参数!$B$3,0)</f>
        <v>3.5999999999999996</v>
      </c>
      <c r="K297">
        <f t="shared" si="13"/>
        <v>12.6</v>
      </c>
      <c r="L297">
        <f>卡牌总表!N297*卡牌总表!O297*参数!$B$5*IF(AND(卡牌总表!F297="能力",卡牌总表!AL297="能力持续"),参数!$B$2,1)+卡牌总表!Q297*参数!$B$6*IF(AND(卡牌总表!F297="能力",卡牌总表!AL297="能力持续"),参数!$B$2,1)+卡牌总表!S297*参数!$B$7*IF(AND(卡牌总表!F297="能力",卡牌总表!AL297="能力持续"),参数!$B$2,1)+卡牌总表!W297*参数!$B$8+IF(卡牌总表!Y297&lt;0,卡牌总表!Y297*参数!$B$13,卡牌总表!Y297*参数!$B$39)+IF(卡牌总表!AE297&lt;0,卡牌总表!AE297*参数!$B$13,卡牌总表!AE297*参数!$B$12)*参数!$B$2+卡牌总表!AR297*参数!$B$15+卡牌总表!AC297*参数!$B$11+卡牌总表!AF297*参数!$B$40*参数!$B$2+卡牌总表!AG297*参数!$B$44*参数!$B$2+卡牌总表!AH297*参数!$B$6*参数!$B$2+卡牌总表!AI297*参数!$B$39*参数!$B$2+卡牌总表!AJ297*参数!$B$6*参数!$B$2+卡牌总表!AA297*参数!$B$13-卡牌总表!U297*参数!$B$14-卡牌总表!AD297*参数!$B$13+IF(ISNUMBER(卡牌总表!AU297),卡牌总表!AU297*参数!$B$38,0)-卡牌总表!AV297*参数!$B$41-卡牌总表!AW297*参数!$B$14</f>
        <v>9</v>
      </c>
      <c r="M297">
        <f>IF(AND(卡牌总表!F297="能力",卡牌总表!AL297="能力持续"),参数!$B$2*参数!$B$3,0)</f>
        <v>4.8</v>
      </c>
      <c r="N297">
        <f t="shared" si="14"/>
        <v>13.8</v>
      </c>
      <c r="O297">
        <f>IFERROR(MAX(IF(K297 &gt; 参数!$B$17,参数!$B$17+SQRT(K297-参数!$B$17)*参数!$B$18,K297)-MAX(G297,0)*参数!$B$10,0)/MAX(G297,0.4),0)</f>
        <v>28.046693311223912</v>
      </c>
      <c r="P297">
        <f>IFERROR(MAX(IF(N297 &gt; 参数!$B$17,参数!$B$17+SQRT(N297-参数!$B$17)*参数!$B$18,N297)-MAX(H297,0)*参数!$B$10,0)/MAX(H297,0.4),0)</f>
        <v>29.310095758606725</v>
      </c>
      <c r="Q297">
        <f>卡牌总表!AO297</f>
        <v>0</v>
      </c>
    </row>
    <row r="298" spans="1:17" x14ac:dyDescent="0.3">
      <c r="A298">
        <f t="shared" si="12"/>
        <v>297</v>
      </c>
      <c r="B298" t="str">
        <f>卡牌总表!B298</f>
        <v>regent_pale_blue_dot</v>
      </c>
      <c r="C298" t="str">
        <f>卡牌总表!D298</f>
        <v>暗淡蓝点</v>
      </c>
      <c r="D298" t="str">
        <f>卡牌总表!F298</f>
        <v>能力</v>
      </c>
      <c r="E298">
        <f>卡牌总表!AL298</f>
        <v>0</v>
      </c>
      <c r="F298" t="str">
        <f>卡牌总表!AN298</f>
        <v>能力</v>
      </c>
      <c r="G298">
        <f>卡牌总表!AP298</f>
        <v>1</v>
      </c>
      <c r="H298">
        <f>IF(ISNUMBER(卡牌总表!H298),IF(AND(卡牌总表!H298=0,卡牌总表!V298=0,卡牌总表!AK298="none"),0.4,IF(卡牌总表!AK298="exhaust",MAX(卡牌总表!H298-卡牌总表!V298,0.4),IF(卡牌总表!AK298="ethereal",MAX(卡牌总表!H298-卡牌总表!V298,0.4),MAX(卡牌总表!H298-卡牌总表!V298,0.4)))),IF(OR(卡牌总表!H298="X",卡牌总表!H298="∞"),0.4,0.4))</f>
        <v>1</v>
      </c>
      <c r="I298">
        <f>卡牌总表!M298*卡牌总表!O298*参数!$B$5*IF(AND(卡牌总表!F298="能力",卡牌总表!AL298="能力持续"),参数!$B$2,1)+卡牌总表!P298*参数!$B$6*IF(AND(卡牌总表!F298="能力",卡牌总表!AL298="能力持续"),参数!$B$2,1)+卡牌总表!R298*参数!$B$7*IF(AND(卡牌总表!F298="能力",卡牌总表!AL298="能力持续"),参数!$B$2,1)+卡牌总表!V298*参数!$B$8+IF(卡牌总表!X298&lt;0,卡牌总表!X298*参数!$B$13,卡牌总表!X298*参数!$B$39)+IF(卡牌总表!AE298&lt;0,卡牌总表!AE298*参数!$B$13,卡牌总表!AE298*参数!$B$12)*参数!$B$2+卡牌总表!AQ298*参数!$B$15+卡牌总表!AB298*参数!$B$11+卡牌总表!AF298*参数!$B$40*参数!$B$2+卡牌总表!AG298*参数!$B$44*参数!$B$2+卡牌总表!AH298*参数!$B$6*参数!$B$2+卡牌总表!AI298*参数!$B$39*参数!$B$2+卡牌总表!AJ298*参数!$B$6*参数!$B$2+卡牌总表!Z298*参数!$B$13-卡牌总表!T298*参数!$B$14-卡牌总表!AD298*参数!$B$13+IF(ISNUMBER(卡牌总表!AU298),卡牌总表!AU298*参数!$B$38,0)-卡牌总表!AV298*参数!$B$41-卡牌总表!AW298*参数!$B$14</f>
        <v>2.52</v>
      </c>
      <c r="J298">
        <f>IF(AND(卡牌总表!F298="能力",卡牌总表!AL298="能力持续"),(参数!$B$2-1)*参数!$B$3,0)</f>
        <v>0</v>
      </c>
      <c r="K298">
        <f t="shared" si="13"/>
        <v>2.52</v>
      </c>
      <c r="L298">
        <f>卡牌总表!N298*卡牌总表!O298*参数!$B$5*IF(AND(卡牌总表!F298="能力",卡牌总表!AL298="能力持续"),参数!$B$2,1)+卡牌总表!Q298*参数!$B$6*IF(AND(卡牌总表!F298="能力",卡牌总表!AL298="能力持续"),参数!$B$2,1)+卡牌总表!S298*参数!$B$7*IF(AND(卡牌总表!F298="能力",卡牌总表!AL298="能力持续"),参数!$B$2,1)+卡牌总表!W298*参数!$B$8+IF(卡牌总表!Y298&lt;0,卡牌总表!Y298*参数!$B$13,卡牌总表!Y298*参数!$B$39)+IF(卡牌总表!AE298&lt;0,卡牌总表!AE298*参数!$B$13,卡牌总表!AE298*参数!$B$12)*参数!$B$2+卡牌总表!AR298*参数!$B$15+卡牌总表!AC298*参数!$B$11+卡牌总表!AF298*参数!$B$40*参数!$B$2+卡牌总表!AG298*参数!$B$44*参数!$B$2+卡牌总表!AH298*参数!$B$6*参数!$B$2+卡牌总表!AI298*参数!$B$39*参数!$B$2+卡牌总表!AJ298*参数!$B$6*参数!$B$2+卡牌总表!AA298*参数!$B$13-卡牌总表!U298*参数!$B$14-卡牌总表!AD298*参数!$B$13+IF(ISNUMBER(卡牌总表!AU298),卡牌总表!AU298*参数!$B$38,0)-卡牌总表!AV298*参数!$B$41-卡牌总表!AW298*参数!$B$14</f>
        <v>5.04</v>
      </c>
      <c r="M298">
        <f>IF(AND(卡牌总表!F298="能力",卡牌总表!AL298="能力持续"),参数!$B$2*参数!$B$3,0)</f>
        <v>0</v>
      </c>
      <c r="N298">
        <f t="shared" si="14"/>
        <v>5.04</v>
      </c>
      <c r="O298">
        <f>IFERROR(MAX(IF(K298 &gt; 参数!$B$17,参数!$B$17+SQRT(K298-参数!$B$17)*参数!$B$18,K298)-MAX(G298,0)*参数!$B$10,0)/MAX(G298,0.4),0)</f>
        <v>0</v>
      </c>
      <c r="P298">
        <f>IFERROR(MAX(IF(N298 &gt; 参数!$B$17,参数!$B$17+SQRT(N298-参数!$B$17)*参数!$B$18,N298)-MAX(H298,0)*参数!$B$10,0)/MAX(H298,0.4),0)</f>
        <v>2.04</v>
      </c>
      <c r="Q298">
        <f>卡牌总表!AO298</f>
        <v>0</v>
      </c>
    </row>
    <row r="299" spans="1:17" x14ac:dyDescent="0.3">
      <c r="A299">
        <f t="shared" si="12"/>
        <v>298</v>
      </c>
      <c r="B299" t="str">
        <f>卡牌总表!B299</f>
        <v>regent_parry</v>
      </c>
      <c r="C299" t="str">
        <f>卡牌总表!D299</f>
        <v>招架</v>
      </c>
      <c r="D299" t="str">
        <f>卡牌总表!F299</f>
        <v>能力</v>
      </c>
      <c r="E299" t="str">
        <f>卡牌总表!AL299</f>
        <v>能力持续</v>
      </c>
      <c r="F299" t="str">
        <f>卡牌总表!AN299</f>
        <v>能力</v>
      </c>
      <c r="G299">
        <f>卡牌总表!AP299</f>
        <v>1</v>
      </c>
      <c r="H299">
        <f>IF(ISNUMBER(卡牌总表!H299),IF(AND(卡牌总表!H299=0,卡牌总表!V299=0,卡牌总表!AK299="none"),0.4,IF(卡牌总表!AK299="exhaust",MAX(卡牌总表!H299-卡牌总表!V299,0.4),IF(卡牌总表!AK299="ethereal",MAX(卡牌总表!H299-卡牌总表!V299,0.4),MAX(卡牌总表!H299-卡牌总表!V299,0.4)))),IF(OR(卡牌总表!H299="X",卡牌总表!H299="∞"),0.4,0.4))</f>
        <v>1</v>
      </c>
      <c r="I299">
        <f>卡牌总表!M299*卡牌总表!O299*参数!$B$5*IF(AND(卡牌总表!F299="能力",卡牌总表!AL299="能力持续"),参数!$B$2,1)+卡牌总表!P299*参数!$B$6*IF(AND(卡牌总表!F299="能力",卡牌总表!AL299="能力持续"),参数!$B$2,1)+卡牌总表!R299*参数!$B$7*IF(AND(卡牌总表!F299="能力",卡牌总表!AL299="能力持续"),参数!$B$2,1)+卡牌总表!V299*参数!$B$8+IF(卡牌总表!X299&lt;0,卡牌总表!X299*参数!$B$13,卡牌总表!X299*参数!$B$39)+IF(卡牌总表!AE299&lt;0,卡牌总表!AE299*参数!$B$13,卡牌总表!AE299*参数!$B$12)*参数!$B$2+卡牌总表!AQ299*参数!$B$15+卡牌总表!AB299*参数!$B$11+卡牌总表!AF299*参数!$B$40*参数!$B$2+卡牌总表!AG299*参数!$B$44*参数!$B$2+卡牌总表!AH299*参数!$B$6*参数!$B$2+卡牌总表!AI299*参数!$B$39*参数!$B$2+卡牌总表!AJ299*参数!$B$6*参数!$B$2+卡牌总表!Z299*参数!$B$13-卡牌总表!T299*参数!$B$14-卡牌总表!AD299*参数!$B$13+IF(ISNUMBER(卡牌总表!AU299),卡牌总表!AU299*参数!$B$38,0)-卡牌总表!AV299*参数!$B$41-卡牌总表!AW299*参数!$B$14</f>
        <v>0</v>
      </c>
      <c r="J299">
        <f>IF(AND(卡牌总表!F299="能力",卡牌总表!AL299="能力持续"),(参数!$B$2-1)*参数!$B$3,0)</f>
        <v>3.5999999999999996</v>
      </c>
      <c r="K299">
        <f t="shared" si="13"/>
        <v>3.5999999999999996</v>
      </c>
      <c r="L299">
        <f>卡牌总表!N299*卡牌总表!O299*参数!$B$5*IF(AND(卡牌总表!F299="能力",卡牌总表!AL299="能力持续"),参数!$B$2,1)+卡牌总表!Q299*参数!$B$6*IF(AND(卡牌总表!F299="能力",卡牌总表!AL299="能力持续"),参数!$B$2,1)+卡牌总表!S299*参数!$B$7*IF(AND(卡牌总表!F299="能力",卡牌总表!AL299="能力持续"),参数!$B$2,1)+卡牌总表!W299*参数!$B$8+IF(卡牌总表!Y299&lt;0,卡牌总表!Y299*参数!$B$13,卡牌总表!Y299*参数!$B$39)+IF(卡牌总表!AE299&lt;0,卡牌总表!AE299*参数!$B$13,卡牌总表!AE299*参数!$B$12)*参数!$B$2+卡牌总表!AR299*参数!$B$15+卡牌总表!AC299*参数!$B$11+卡牌总表!AF299*参数!$B$40*参数!$B$2+卡牌总表!AG299*参数!$B$44*参数!$B$2+卡牌总表!AH299*参数!$B$6*参数!$B$2+卡牌总表!AI299*参数!$B$39*参数!$B$2+卡牌总表!AJ299*参数!$B$6*参数!$B$2+卡牌总表!AA299*参数!$B$13-卡牌总表!U299*参数!$B$14-卡牌总表!AD299*参数!$B$13+IF(ISNUMBER(卡牌总表!AU299),卡牌总表!AU299*参数!$B$38,0)-卡牌总表!AV299*参数!$B$41-卡牌总表!AW299*参数!$B$14</f>
        <v>0</v>
      </c>
      <c r="M299">
        <f>IF(AND(卡牌总表!F299="能力",卡牌总表!AL299="能力持续"),参数!$B$2*参数!$B$3,0)</f>
        <v>4.8</v>
      </c>
      <c r="N299">
        <f t="shared" si="14"/>
        <v>4.8</v>
      </c>
      <c r="O299">
        <f>IFERROR(MAX(IF(K299 &gt; 参数!$B$17,参数!$B$17+SQRT(K299-参数!$B$17)*参数!$B$18,K299)-MAX(G299,0)*参数!$B$10,0)/MAX(G299,0.4),0)</f>
        <v>0.59999999999999964</v>
      </c>
      <c r="P299">
        <f>IFERROR(MAX(IF(N299 &gt; 参数!$B$17,参数!$B$17+SQRT(N299-参数!$B$17)*参数!$B$18,N299)-MAX(H299,0)*参数!$B$10,0)/MAX(H299,0.4),0)</f>
        <v>1.7999999999999998</v>
      </c>
      <c r="Q299">
        <f>卡牌总表!AO299</f>
        <v>0</v>
      </c>
    </row>
    <row r="300" spans="1:17" x14ac:dyDescent="0.3">
      <c r="A300">
        <f t="shared" si="12"/>
        <v>299</v>
      </c>
      <c r="B300" t="str">
        <f>卡牌总表!B300</f>
        <v>regent_particle_wall</v>
      </c>
      <c r="C300" t="str">
        <f>卡牌总表!D300</f>
        <v>粒子墙</v>
      </c>
      <c r="D300" t="str">
        <f>卡牌总表!F300</f>
        <v>技能</v>
      </c>
      <c r="E300">
        <f>卡牌总表!AL300</f>
        <v>0</v>
      </c>
      <c r="F300">
        <f>卡牌总表!AN300</f>
        <v>0</v>
      </c>
      <c r="G300">
        <f>卡牌总表!AP300</f>
        <v>0.4</v>
      </c>
      <c r="H300">
        <f>IF(ISNUMBER(卡牌总表!H300),IF(AND(卡牌总表!H300=0,卡牌总表!V300=0,卡牌总表!AK300="none"),0.4,IF(卡牌总表!AK300="exhaust",MAX(卡牌总表!H300-卡牌总表!V300,0.4),IF(卡牌总表!AK300="ethereal",MAX(卡牌总表!H300-卡牌总表!V300,0.4),MAX(卡牌总表!H300-卡牌总表!V300,0.4)))),IF(OR(卡牌总表!H300="X",卡牌总表!H300="∞"),0.4,0.4))</f>
        <v>0.4</v>
      </c>
      <c r="I300">
        <f>卡牌总表!M300*卡牌总表!O300*参数!$B$5*IF(AND(卡牌总表!F300="能力",卡牌总表!AL300="能力持续"),参数!$B$2,1)+卡牌总表!P300*参数!$B$6*IF(AND(卡牌总表!F300="能力",卡牌总表!AL300="能力持续"),参数!$B$2,1)+卡牌总表!R300*参数!$B$7*IF(AND(卡牌总表!F300="能力",卡牌总表!AL300="能力持续"),参数!$B$2,1)+卡牌总表!V300*参数!$B$8+IF(卡牌总表!X300&lt;0,卡牌总表!X300*参数!$B$13,卡牌总表!X300*参数!$B$39)+IF(卡牌总表!AE300&lt;0,卡牌总表!AE300*参数!$B$13,卡牌总表!AE300*参数!$B$12)*参数!$B$2+卡牌总表!AQ300*参数!$B$15+卡牌总表!AB300*参数!$B$11+卡牌总表!AF300*参数!$B$40*参数!$B$2+卡牌总表!AG300*参数!$B$44*参数!$B$2+卡牌总表!AH300*参数!$B$6*参数!$B$2+卡牌总表!AI300*参数!$B$39*参数!$B$2+卡牌总表!AJ300*参数!$B$6*参数!$B$2+卡牌总表!Z300*参数!$B$13-卡牌总表!T300*参数!$B$14-卡牌总表!AD300*参数!$B$13+IF(ISNUMBER(卡牌总表!AU300),卡牌总表!AU300*参数!$B$38,0)-卡牌总表!AV300*参数!$B$41-卡牌总表!AW300*参数!$B$14</f>
        <v>6.9</v>
      </c>
      <c r="J300">
        <f>IF(AND(卡牌总表!F300="能力",卡牌总表!AL300="能力持续"),(参数!$B$2-1)*参数!$B$3,0)</f>
        <v>0</v>
      </c>
      <c r="K300">
        <f t="shared" si="13"/>
        <v>6.9</v>
      </c>
      <c r="L300">
        <f>卡牌总表!N300*卡牌总表!O300*参数!$B$5*IF(AND(卡牌总表!F300="能力",卡牌总表!AL300="能力持续"),参数!$B$2,1)+卡牌总表!Q300*参数!$B$6*IF(AND(卡牌总表!F300="能力",卡牌总表!AL300="能力持续"),参数!$B$2,1)+卡牌总表!S300*参数!$B$7*IF(AND(卡牌总表!F300="能力",卡牌总表!AL300="能力持续"),参数!$B$2,1)+卡牌总表!W300*参数!$B$8+IF(卡牌总表!Y300&lt;0,卡牌总表!Y300*参数!$B$13,卡牌总表!Y300*参数!$B$39)+IF(卡牌总表!AE300&lt;0,卡牌总表!AE300*参数!$B$13,卡牌总表!AE300*参数!$B$12)*参数!$B$2+卡牌总表!AR300*参数!$B$15+卡牌总表!AC300*参数!$B$11+卡牌总表!AF300*参数!$B$40*参数!$B$2+卡牌总表!AG300*参数!$B$44*参数!$B$2+卡牌总表!AH300*参数!$B$6*参数!$B$2+卡牌总表!AI300*参数!$B$39*参数!$B$2+卡牌总表!AJ300*参数!$B$6*参数!$B$2+卡牌总表!AA300*参数!$B$13-卡牌总表!U300*参数!$B$14-卡牌总表!AD300*参数!$B$13+IF(ISNUMBER(卡牌总表!AU300),卡牌总表!AU300*参数!$B$38,0)-卡牌总表!AV300*参数!$B$41-卡牌总表!AW300*参数!$B$14</f>
        <v>10.200000000000001</v>
      </c>
      <c r="M300">
        <f>IF(AND(卡牌总表!F300="能力",卡牌总表!AL300="能力持续"),参数!$B$2*参数!$B$3,0)</f>
        <v>0</v>
      </c>
      <c r="N300">
        <f t="shared" si="14"/>
        <v>10.200000000000001</v>
      </c>
      <c r="O300">
        <f>IFERROR(MAX(IF(K300 &gt; 参数!$B$17,参数!$B$17+SQRT(K300-参数!$B$17)*参数!$B$18,K300)-MAX(G300,0)*参数!$B$10,0)/MAX(G300,0.4),0)</f>
        <v>14.25</v>
      </c>
      <c r="P300">
        <f>IFERROR(MAX(IF(N300 &gt; 参数!$B$17,参数!$B$17+SQRT(N300-参数!$B$17)*参数!$B$18,N300)-MAX(H300,0)*参数!$B$10,0)/MAX(H300,0.4),0)</f>
        <v>23.677050983124843</v>
      </c>
      <c r="Q300">
        <f>卡牌总表!AO300</f>
        <v>0</v>
      </c>
    </row>
    <row r="301" spans="1:17" x14ac:dyDescent="0.3">
      <c r="A301">
        <f t="shared" si="12"/>
        <v>300</v>
      </c>
      <c r="B301" t="str">
        <f>卡牌总表!B301</f>
        <v>regent_patter</v>
      </c>
      <c r="C301" t="str">
        <f>卡牌总表!D301</f>
        <v>星星点点</v>
      </c>
      <c r="D301" t="str">
        <f>卡牌总表!F301</f>
        <v>技能</v>
      </c>
      <c r="E301">
        <f>卡牌总表!AL301</f>
        <v>0</v>
      </c>
      <c r="F301">
        <f>卡牌总表!AN301</f>
        <v>0</v>
      </c>
      <c r="G301">
        <f>卡牌总表!AP301</f>
        <v>1</v>
      </c>
      <c r="H301">
        <f>IF(ISNUMBER(卡牌总表!H301),IF(AND(卡牌总表!H301=0,卡牌总表!V301=0,卡牌总表!AK301="none"),0.4,IF(卡牌总表!AK301="exhaust",MAX(卡牌总表!H301-卡牌总表!V301,0.4),IF(卡牌总表!AK301="ethereal",MAX(卡牌总表!H301-卡牌总表!V301,0.4),MAX(卡牌总表!H301-卡牌总表!V301,0.4)))),IF(OR(卡牌总表!H301="X",卡牌总表!H301="∞"),0.4,0.4))</f>
        <v>1</v>
      </c>
      <c r="I301">
        <f>卡牌总表!M301*卡牌总表!O301*参数!$B$5*IF(AND(卡牌总表!F301="能力",卡牌总表!AL301="能力持续"),参数!$B$2,1)+卡牌总表!P301*参数!$B$6*IF(AND(卡牌总表!F301="能力",卡牌总表!AL301="能力持续"),参数!$B$2,1)+卡牌总表!R301*参数!$B$7*IF(AND(卡牌总表!F301="能力",卡牌总表!AL301="能力持续"),参数!$B$2,1)+卡牌总表!V301*参数!$B$8+IF(卡牌总表!X301&lt;0,卡牌总表!X301*参数!$B$13,卡牌总表!X301*参数!$B$39)+IF(卡牌总表!AE301&lt;0,卡牌总表!AE301*参数!$B$13,卡牌总表!AE301*参数!$B$12)*参数!$B$2+卡牌总表!AQ301*参数!$B$15+卡牌总表!AB301*参数!$B$11+卡牌总表!AF301*参数!$B$40*参数!$B$2+卡牌总表!AG301*参数!$B$44*参数!$B$2+卡牌总表!AH301*参数!$B$6*参数!$B$2+卡牌总表!AI301*参数!$B$39*参数!$B$2+卡牌总表!AJ301*参数!$B$6*参数!$B$2+卡牌总表!Z301*参数!$B$13-卡牌总表!T301*参数!$B$14-卡牌总表!AD301*参数!$B$13+IF(ISNUMBER(卡牌总表!AU301),卡牌总表!AU301*参数!$B$38,0)-卡牌总表!AV301*参数!$B$41-卡牌总表!AW301*参数!$B$14</f>
        <v>10.8</v>
      </c>
      <c r="J301">
        <f>IF(AND(卡牌总表!F301="能力",卡牌总表!AL301="能力持续"),(参数!$B$2-1)*参数!$B$3,0)</f>
        <v>0</v>
      </c>
      <c r="K301">
        <f t="shared" si="13"/>
        <v>10.8</v>
      </c>
      <c r="L301">
        <f>卡牌总表!N301*卡牌总表!O301*参数!$B$5*IF(AND(卡牌总表!F301="能力",卡牌总表!AL301="能力持续"),参数!$B$2,1)+卡牌总表!Q301*参数!$B$6*IF(AND(卡牌总表!F301="能力",卡牌总表!AL301="能力持续"),参数!$B$2,1)+卡牌总表!S301*参数!$B$7*IF(AND(卡牌总表!F301="能力",卡牌总表!AL301="能力持续"),参数!$B$2,1)+卡牌总表!W301*参数!$B$8+IF(卡牌总表!Y301&lt;0,卡牌总表!Y301*参数!$B$13,卡牌总表!Y301*参数!$B$39)+IF(卡牌总表!AE301&lt;0,卡牌总表!AE301*参数!$B$13,卡牌总表!AE301*参数!$B$12)*参数!$B$2+卡牌总表!AR301*参数!$B$15+卡牌总表!AC301*参数!$B$11+卡牌总表!AF301*参数!$B$40*参数!$B$2+卡牌总表!AG301*参数!$B$44*参数!$B$2+卡牌总表!AH301*参数!$B$6*参数!$B$2+卡牌总表!AI301*参数!$B$39*参数!$B$2+卡牌总表!AJ301*参数!$B$6*参数!$B$2+卡牌总表!AA301*参数!$B$13-卡牌总表!U301*参数!$B$14-卡牌总表!AD301*参数!$B$13+IF(ISNUMBER(卡牌总表!AU301),卡牌总表!AU301*参数!$B$38,0)-卡牌总表!AV301*参数!$B$41-卡牌总表!AW301*参数!$B$14</f>
        <v>13</v>
      </c>
      <c r="M301">
        <f>IF(AND(卡牌总表!F301="能力",卡牌总表!AL301="能力持续"),参数!$B$2*参数!$B$3,0)</f>
        <v>0</v>
      </c>
      <c r="N301">
        <f t="shared" si="14"/>
        <v>13</v>
      </c>
      <c r="O301">
        <f>IFERROR(MAX(IF(K301 &gt; 参数!$B$17,参数!$B$17+SQRT(K301-参数!$B$17)*参数!$B$18,K301)-MAX(G301,0)*参数!$B$10,0)/MAX(G301,0.4),0)</f>
        <v>8.3416407864998749</v>
      </c>
      <c r="P301">
        <f>IFERROR(MAX(IF(N301 &gt; 参数!$B$17,参数!$B$17+SQRT(N301-参数!$B$17)*参数!$B$18,N301)-MAX(H301,0)*参数!$B$10,0)/MAX(H301,0.4),0)</f>
        <v>9.598076211353316</v>
      </c>
      <c r="Q301">
        <f>卡牌总表!AO301</f>
        <v>0</v>
      </c>
    </row>
    <row r="302" spans="1:17" x14ac:dyDescent="0.3">
      <c r="A302">
        <f t="shared" si="12"/>
        <v>301</v>
      </c>
      <c r="B302" t="str">
        <f>卡牌总表!B302</f>
        <v>regent_photon_cut</v>
      </c>
      <c r="C302" t="str">
        <f>卡牌总表!D302</f>
        <v>光子切割</v>
      </c>
      <c r="D302" t="str">
        <f>卡牌总表!F302</f>
        <v>攻击</v>
      </c>
      <c r="E302">
        <f>卡牌总表!AL302</f>
        <v>0</v>
      </c>
      <c r="F302">
        <f>卡牌总表!AN302</f>
        <v>0</v>
      </c>
      <c r="G302">
        <f>卡牌总表!AP302</f>
        <v>1</v>
      </c>
      <c r="H302">
        <f>IF(ISNUMBER(卡牌总表!H302),IF(AND(卡牌总表!H302=0,卡牌总表!V302=0,卡牌总表!AK302="none"),0.4,IF(卡牌总表!AK302="exhaust",MAX(卡牌总表!H302-卡牌总表!V302,0.4),IF(卡牌总表!AK302="ethereal",MAX(卡牌总表!H302-卡牌总表!V302,0.4),MAX(卡牌总表!H302-卡牌总表!V302,0.4)))),IF(OR(卡牌总表!H302="X",卡牌总表!H302="∞"),0.4,0.4))</f>
        <v>1</v>
      </c>
      <c r="I302">
        <f>卡牌总表!M302*卡牌总表!O302*参数!$B$5*IF(AND(卡牌总表!F302="能力",卡牌总表!AL302="能力持续"),参数!$B$2,1)+卡牌总表!P302*参数!$B$6*IF(AND(卡牌总表!F302="能力",卡牌总表!AL302="能力持续"),参数!$B$2,1)+卡牌总表!R302*参数!$B$7*IF(AND(卡牌总表!F302="能力",卡牌总表!AL302="能力持续"),参数!$B$2,1)+卡牌总表!V302*参数!$B$8+IF(卡牌总表!X302&lt;0,卡牌总表!X302*参数!$B$13,卡牌总表!X302*参数!$B$39)+IF(卡牌总表!AE302&lt;0,卡牌总表!AE302*参数!$B$13,卡牌总表!AE302*参数!$B$12)*参数!$B$2+卡牌总表!AQ302*参数!$B$15+卡牌总表!AB302*参数!$B$11+卡牌总表!AF302*参数!$B$40*参数!$B$2+卡牌总表!AG302*参数!$B$44*参数!$B$2+卡牌总表!AH302*参数!$B$6*参数!$B$2+卡牌总表!AI302*参数!$B$39*参数!$B$2+卡牌总表!AJ302*参数!$B$6*参数!$B$2+卡牌总表!Z302*参数!$B$13-卡牌总表!T302*参数!$B$14-卡牌总表!AD302*参数!$B$13+IF(ISNUMBER(卡牌总表!AU302),卡牌总表!AU302*参数!$B$38,0)-卡牌总表!AV302*参数!$B$41-卡牌总表!AW302*参数!$B$14</f>
        <v>10.7</v>
      </c>
      <c r="J302">
        <f>IF(AND(卡牌总表!F302="能力",卡牌总表!AL302="能力持续"),(参数!$B$2-1)*参数!$B$3,0)</f>
        <v>0</v>
      </c>
      <c r="K302">
        <f t="shared" si="13"/>
        <v>10.7</v>
      </c>
      <c r="L302">
        <f>卡牌总表!N302*卡牌总表!O302*参数!$B$5*IF(AND(卡牌总表!F302="能力",卡牌总表!AL302="能力持续"),参数!$B$2,1)+卡牌总表!Q302*参数!$B$6*IF(AND(卡牌总表!F302="能力",卡牌总表!AL302="能力持续"),参数!$B$2,1)+卡牌总表!S302*参数!$B$7*IF(AND(卡牌总表!F302="能力",卡牌总表!AL302="能力持续"),参数!$B$2,1)+卡牌总表!W302*参数!$B$8+IF(卡牌总表!Y302&lt;0,卡牌总表!Y302*参数!$B$13,卡牌总表!Y302*参数!$B$39)+IF(卡牌总表!AE302&lt;0,卡牌总表!AE302*参数!$B$13,卡牌总表!AE302*参数!$B$12)*参数!$B$2+卡牌总表!AR302*参数!$B$15+卡牌总表!AC302*参数!$B$11+卡牌总表!AF302*参数!$B$40*参数!$B$2+卡牌总表!AG302*参数!$B$44*参数!$B$2+卡牌总表!AH302*参数!$B$6*参数!$B$2+卡牌总表!AI302*参数!$B$39*参数!$B$2+卡牌总表!AJ302*参数!$B$6*参数!$B$2+卡牌总表!AA302*参数!$B$13-卡牌总表!U302*参数!$B$14-卡牌总表!AD302*参数!$B$13+IF(ISNUMBER(卡牌总表!AU302),卡牌总表!AU302*参数!$B$38,0)-卡牌总表!AV302*参数!$B$41-卡牌总表!AW302*参数!$B$14</f>
        <v>14.4</v>
      </c>
      <c r="M302">
        <f>IF(AND(卡牌总表!F302="能力",卡牌总表!AL302="能力持续"),参数!$B$2*参数!$B$3,0)</f>
        <v>0</v>
      </c>
      <c r="N302">
        <f t="shared" si="14"/>
        <v>14.4</v>
      </c>
      <c r="O302">
        <f>IFERROR(MAX(IF(K302 &gt; 参数!$B$17,参数!$B$17+SQRT(K302-参数!$B$17)*参数!$B$18,K302)-MAX(G302,0)*参数!$B$10,0)/MAX(G302,0.4),0)</f>
        <v>8.2549900398011129</v>
      </c>
      <c r="P302">
        <f>IFERROR(MAX(IF(N302 &gt; 参数!$B$17,参数!$B$17+SQRT(N302-参数!$B$17)*参数!$B$18,N302)-MAX(H302,0)*参数!$B$10,0)/MAX(H302,0.4),0)</f>
        <v>10.146426544510454</v>
      </c>
      <c r="Q302">
        <f>卡牌总表!AO302</f>
        <v>0</v>
      </c>
    </row>
    <row r="303" spans="1:17" x14ac:dyDescent="0.3">
      <c r="A303">
        <f t="shared" si="12"/>
        <v>302</v>
      </c>
      <c r="B303" t="str">
        <f>卡牌总表!B303</f>
        <v>regent_pillar_of_creation</v>
      </c>
      <c r="C303" t="str">
        <f>卡牌总表!D303</f>
        <v>创世之柱</v>
      </c>
      <c r="D303" t="str">
        <f>卡牌总表!F303</f>
        <v>能力</v>
      </c>
      <c r="E303">
        <f>卡牌总表!AL303</f>
        <v>0</v>
      </c>
      <c r="F303" t="str">
        <f>卡牌总表!AN303</f>
        <v>能力</v>
      </c>
      <c r="G303">
        <f>卡牌总表!AP303</f>
        <v>1</v>
      </c>
      <c r="H303">
        <f>IF(ISNUMBER(卡牌总表!H303),IF(AND(卡牌总表!H303=0,卡牌总表!V303=0,卡牌总表!AK303="none"),0.4,IF(卡牌总表!AK303="exhaust",MAX(卡牌总表!H303-卡牌总表!V303,0.4),IF(卡牌总表!AK303="ethereal",MAX(卡牌总表!H303-卡牌总表!V303,0.4),MAX(卡牌总表!H303-卡牌总表!V303,0.4)))),IF(OR(卡牌总表!H303="X",卡牌总表!H303="∞"),0.4,0.4))</f>
        <v>1</v>
      </c>
      <c r="I303">
        <f>卡牌总表!M303*卡牌总表!O303*参数!$B$5*IF(AND(卡牌总表!F303="能力",卡牌总表!AL303="能力持续"),参数!$B$2,1)+卡牌总表!P303*参数!$B$6*IF(AND(卡牌总表!F303="能力",卡牌总表!AL303="能力持续"),参数!$B$2,1)+卡牌总表!R303*参数!$B$7*IF(AND(卡牌总表!F303="能力",卡牌总表!AL303="能力持续"),参数!$B$2,1)+卡牌总表!V303*参数!$B$8+IF(卡牌总表!X303&lt;0,卡牌总表!X303*参数!$B$13,卡牌总表!X303*参数!$B$39)+IF(卡牌总表!AE303&lt;0,卡牌总表!AE303*参数!$B$13,卡牌总表!AE303*参数!$B$12)*参数!$B$2+卡牌总表!AQ303*参数!$B$15+卡牌总表!AB303*参数!$B$11+卡牌总表!AF303*参数!$B$40*参数!$B$2+卡牌总表!AG303*参数!$B$44*参数!$B$2+卡牌总表!AH303*参数!$B$6*参数!$B$2+卡牌总表!AI303*参数!$B$39*参数!$B$2+卡牌总表!AJ303*参数!$B$6*参数!$B$2+卡牌总表!Z303*参数!$B$13-卡牌总表!T303*参数!$B$14-卡牌总表!AD303*参数!$B$13+IF(ISNUMBER(卡牌总表!AU303),卡牌总表!AU303*参数!$B$38,0)-卡牌总表!AV303*参数!$B$41-卡牌总表!AW303*参数!$B$14</f>
        <v>5.5</v>
      </c>
      <c r="J303">
        <f>IF(AND(卡牌总表!F303="能力",卡牌总表!AL303="能力持续"),(参数!$B$2-1)*参数!$B$3,0)</f>
        <v>0</v>
      </c>
      <c r="K303">
        <f t="shared" si="13"/>
        <v>5.5</v>
      </c>
      <c r="L303">
        <f>卡牌总表!N303*卡牌总表!O303*参数!$B$5*IF(AND(卡牌总表!F303="能力",卡牌总表!AL303="能力持续"),参数!$B$2,1)+卡牌总表!Q303*参数!$B$6*IF(AND(卡牌总表!F303="能力",卡牌总表!AL303="能力持续"),参数!$B$2,1)+卡牌总表!S303*参数!$B$7*IF(AND(卡牌总表!F303="能力",卡牌总表!AL303="能力持续"),参数!$B$2,1)+卡牌总表!W303*参数!$B$8+IF(卡牌总表!Y303&lt;0,卡牌总表!Y303*参数!$B$13,卡牌总表!Y303*参数!$B$39)+IF(卡牌总表!AE303&lt;0,卡牌总表!AE303*参数!$B$13,卡牌总表!AE303*参数!$B$12)*参数!$B$2+卡牌总表!AR303*参数!$B$15+卡牌总表!AC303*参数!$B$11+卡牌总表!AF303*参数!$B$40*参数!$B$2+卡牌总表!AG303*参数!$B$44*参数!$B$2+卡牌总表!AH303*参数!$B$6*参数!$B$2+卡牌总表!AI303*参数!$B$39*参数!$B$2+卡牌总表!AJ303*参数!$B$6*参数!$B$2+卡牌总表!AA303*参数!$B$13-卡牌总表!U303*参数!$B$14-卡牌总表!AD303*参数!$B$13+IF(ISNUMBER(卡牌总表!AU303),卡牌总表!AU303*参数!$B$38,0)-卡牌总表!AV303*参数!$B$41-卡牌总表!AW303*参数!$B$14</f>
        <v>8.25</v>
      </c>
      <c r="M303">
        <f>IF(AND(卡牌总表!F303="能力",卡牌总表!AL303="能力持续"),参数!$B$2*参数!$B$3,0)</f>
        <v>0</v>
      </c>
      <c r="N303">
        <f t="shared" si="14"/>
        <v>8.25</v>
      </c>
      <c r="O303">
        <f>IFERROR(MAX(IF(K303 &gt; 参数!$B$17,参数!$B$17+SQRT(K303-参数!$B$17)*参数!$B$18,K303)-MAX(G303,0)*参数!$B$10,0)/MAX(G303,0.4),0)</f>
        <v>2.5</v>
      </c>
      <c r="P303">
        <f>IFERROR(MAX(IF(N303 &gt; 参数!$B$17,参数!$B$17+SQRT(N303-参数!$B$17)*参数!$B$18,N303)-MAX(H303,0)*参数!$B$10,0)/MAX(H303,0.4),0)</f>
        <v>5.25</v>
      </c>
      <c r="Q303">
        <f>卡牌总表!AO303</f>
        <v>0</v>
      </c>
    </row>
    <row r="304" spans="1:17" x14ac:dyDescent="0.3">
      <c r="A304">
        <f t="shared" si="12"/>
        <v>303</v>
      </c>
      <c r="B304" t="str">
        <f>卡牌总表!B304</f>
        <v>regent_prophesize</v>
      </c>
      <c r="C304" t="str">
        <f>卡牌总表!D304</f>
        <v>预言</v>
      </c>
      <c r="D304" t="str">
        <f>卡牌总表!F304</f>
        <v>技能</v>
      </c>
      <c r="E304">
        <f>卡牌总表!AL304</f>
        <v>0</v>
      </c>
      <c r="F304">
        <f>卡牌总表!AN304</f>
        <v>0</v>
      </c>
      <c r="G304">
        <f>卡牌总表!AP304</f>
        <v>2</v>
      </c>
      <c r="H304">
        <f>IF(ISNUMBER(卡牌总表!H304),IF(AND(卡牌总表!H304=0,卡牌总表!V304=0,卡牌总表!AK304="none"),0.4,IF(卡牌总表!AK304="exhaust",MAX(卡牌总表!H304-卡牌总表!V304,0.4),IF(卡牌总表!AK304="ethereal",MAX(卡牌总表!H304-卡牌总表!V304,0.4),MAX(卡牌总表!H304-卡牌总表!V304,0.4)))),IF(OR(卡牌总表!H304="X",卡牌总表!H304="∞"),0.4,0.4))</f>
        <v>2</v>
      </c>
      <c r="I304">
        <f>卡牌总表!M304*卡牌总表!O304*参数!$B$5*IF(AND(卡牌总表!F304="能力",卡牌总表!AL304="能力持续"),参数!$B$2,1)+卡牌总表!P304*参数!$B$6*IF(AND(卡牌总表!F304="能力",卡牌总表!AL304="能力持续"),参数!$B$2,1)+卡牌总表!R304*参数!$B$7*IF(AND(卡牌总表!F304="能力",卡牌总表!AL304="能力持续"),参数!$B$2,1)+卡牌总表!V304*参数!$B$8+IF(卡牌总表!X304&lt;0,卡牌总表!X304*参数!$B$13,卡牌总表!X304*参数!$B$39)+IF(卡牌总表!AE304&lt;0,卡牌总表!AE304*参数!$B$13,卡牌总表!AE304*参数!$B$12)*参数!$B$2+卡牌总表!AQ304*参数!$B$15+卡牌总表!AB304*参数!$B$11+卡牌总表!AF304*参数!$B$40*参数!$B$2+卡牌总表!AG304*参数!$B$44*参数!$B$2+卡牌总表!AH304*参数!$B$6*参数!$B$2+卡牌总表!AI304*参数!$B$39*参数!$B$2+卡牌总表!AJ304*参数!$B$6*参数!$B$2+卡牌总表!Z304*参数!$B$13-卡牌总表!T304*参数!$B$14-卡牌总表!AD304*参数!$B$13+IF(ISNUMBER(卡牌总表!AU304),卡牌总表!AU304*参数!$B$38,0)-卡牌总表!AV304*参数!$B$41-卡牌总表!AW304*参数!$B$14</f>
        <v>4.1999999999999993</v>
      </c>
      <c r="J304">
        <f>IF(AND(卡牌总表!F304="能力",卡牌总表!AL304="能力持续"),(参数!$B$2-1)*参数!$B$3,0)</f>
        <v>0</v>
      </c>
      <c r="K304">
        <f t="shared" si="13"/>
        <v>4.1999999999999993</v>
      </c>
      <c r="L304">
        <f>卡牌总表!N304*卡牌总表!O304*参数!$B$5*IF(AND(卡牌总表!F304="能力",卡牌总表!AL304="能力持续"),参数!$B$2,1)+卡牌总表!Q304*参数!$B$6*IF(AND(卡牌总表!F304="能力",卡牌总表!AL304="能力持续"),参数!$B$2,1)+卡牌总表!S304*参数!$B$7*IF(AND(卡牌总表!F304="能力",卡牌总表!AL304="能力持续"),参数!$B$2,1)+卡牌总表!W304*参数!$B$8+IF(卡牌总表!Y304&lt;0,卡牌总表!Y304*参数!$B$13,卡牌总表!Y304*参数!$B$39)+IF(卡牌总表!AE304&lt;0,卡牌总表!AE304*参数!$B$13,卡牌总表!AE304*参数!$B$12)*参数!$B$2+卡牌总表!AR304*参数!$B$15+卡牌总表!AC304*参数!$B$11+卡牌总表!AF304*参数!$B$40*参数!$B$2+卡牌总表!AG304*参数!$B$44*参数!$B$2+卡牌总表!AH304*参数!$B$6*参数!$B$2+卡牌总表!AI304*参数!$B$39*参数!$B$2+卡牌总表!AJ304*参数!$B$6*参数!$B$2+卡牌总表!AA304*参数!$B$13-卡牌总表!U304*参数!$B$14-卡牌总表!AD304*参数!$B$13+IF(ISNUMBER(卡牌总表!AU304),卡牌总表!AU304*参数!$B$38,0)-卡牌总表!AV304*参数!$B$41-卡牌总表!AW304*参数!$B$14</f>
        <v>6.3</v>
      </c>
      <c r="M304">
        <f>IF(AND(卡牌总表!F304="能力",卡牌总表!AL304="能力持续"),参数!$B$2*参数!$B$3,0)</f>
        <v>0</v>
      </c>
      <c r="N304">
        <f t="shared" si="14"/>
        <v>6.3</v>
      </c>
      <c r="O304">
        <f>IFERROR(MAX(IF(K304 &gt; 参数!$B$17,参数!$B$17+SQRT(K304-参数!$B$17)*参数!$B$18,K304)-MAX(G304,0)*参数!$B$10,0)/MAX(G304,0.4),0)</f>
        <v>0</v>
      </c>
      <c r="P304">
        <f>IFERROR(MAX(IF(N304 &gt; 参数!$B$17,参数!$B$17+SQRT(N304-参数!$B$17)*参数!$B$18,N304)-MAX(H304,0)*参数!$B$10,0)/MAX(H304,0.4),0)</f>
        <v>0.14999999999999991</v>
      </c>
      <c r="Q304">
        <f>卡牌总表!AO304</f>
        <v>0</v>
      </c>
    </row>
    <row r="305" spans="1:17" x14ac:dyDescent="0.3">
      <c r="A305">
        <f t="shared" si="12"/>
        <v>304</v>
      </c>
      <c r="B305" t="str">
        <f>卡牌总表!B305</f>
        <v>regent_quasar</v>
      </c>
      <c r="C305" t="str">
        <f>卡牌总表!D305</f>
        <v>类星体</v>
      </c>
      <c r="D305" t="str">
        <f>卡牌总表!F305</f>
        <v>技能</v>
      </c>
      <c r="E305">
        <f>卡牌总表!AL305</f>
        <v>0</v>
      </c>
      <c r="F305">
        <f>卡牌总表!AN305</f>
        <v>0</v>
      </c>
      <c r="G305">
        <f>卡牌总表!AP305</f>
        <v>0.4</v>
      </c>
      <c r="H305">
        <f>IF(ISNUMBER(卡牌总表!H305),IF(AND(卡牌总表!H305=0,卡牌总表!V305=0,卡牌总表!AK305="none"),0.4,IF(卡牌总表!AK305="exhaust",MAX(卡牌总表!H305-卡牌总表!V305,0.4),IF(卡牌总表!AK305="ethereal",MAX(卡牌总表!H305-卡牌总表!V305,0.4),MAX(卡牌总表!H305-卡牌总表!V305,0.4)))),IF(OR(卡牌总表!H305="X",卡牌总表!H305="∞"),0.4,0.4))</f>
        <v>0.4</v>
      </c>
      <c r="I305">
        <f>卡牌总表!M305*卡牌总表!O305*参数!$B$5*IF(AND(卡牌总表!F305="能力",卡牌总表!AL305="能力持续"),参数!$B$2,1)+卡牌总表!P305*参数!$B$6*IF(AND(卡牌总表!F305="能力",卡牌总表!AL305="能力持续"),参数!$B$2,1)+卡牌总表!R305*参数!$B$7*IF(AND(卡牌总表!F305="能力",卡牌总表!AL305="能力持续"),参数!$B$2,1)+卡牌总表!V305*参数!$B$8+IF(卡牌总表!X305&lt;0,卡牌总表!X305*参数!$B$13,卡牌总表!X305*参数!$B$39)+IF(卡牌总表!AE305&lt;0,卡牌总表!AE305*参数!$B$13,卡牌总表!AE305*参数!$B$12)*参数!$B$2+卡牌总表!AQ305*参数!$B$15+卡牌总表!AB305*参数!$B$11+卡牌总表!AF305*参数!$B$40*参数!$B$2+卡牌总表!AG305*参数!$B$44*参数!$B$2+卡牌总表!AH305*参数!$B$6*参数!$B$2+卡牌总表!AI305*参数!$B$39*参数!$B$2+卡牌总表!AJ305*参数!$B$6*参数!$B$2+卡牌总表!Z305*参数!$B$13-卡牌总表!T305*参数!$B$14-卡牌总表!AD305*参数!$B$13+IF(ISNUMBER(卡牌总表!AU305),卡牌总表!AU305*参数!$B$38,0)-卡牌总表!AV305*参数!$B$41-卡牌总表!AW305*参数!$B$14</f>
        <v>5</v>
      </c>
      <c r="J305">
        <f>IF(AND(卡牌总表!F305="能力",卡牌总表!AL305="能力持续"),(参数!$B$2-1)*参数!$B$3,0)</f>
        <v>0</v>
      </c>
      <c r="K305">
        <f t="shared" si="13"/>
        <v>5</v>
      </c>
      <c r="L305">
        <f>卡牌总表!N305*卡牌总表!O305*参数!$B$5*IF(AND(卡牌总表!F305="能力",卡牌总表!AL305="能力持续"),参数!$B$2,1)+卡牌总表!Q305*参数!$B$6*IF(AND(卡牌总表!F305="能力",卡牌总表!AL305="能力持续"),参数!$B$2,1)+卡牌总表!S305*参数!$B$7*IF(AND(卡牌总表!F305="能力",卡牌总表!AL305="能力持续"),参数!$B$2,1)+卡牌总表!W305*参数!$B$8+IF(卡牌总表!Y305&lt;0,卡牌总表!Y305*参数!$B$13,卡牌总表!Y305*参数!$B$39)+IF(卡牌总表!AE305&lt;0,卡牌总表!AE305*参数!$B$13,卡牌总表!AE305*参数!$B$12)*参数!$B$2+卡牌总表!AR305*参数!$B$15+卡牌总表!AC305*参数!$B$11+卡牌总表!AF305*参数!$B$40*参数!$B$2+卡牌总表!AG305*参数!$B$44*参数!$B$2+卡牌总表!AH305*参数!$B$6*参数!$B$2+卡牌总表!AI305*参数!$B$39*参数!$B$2+卡牌总表!AJ305*参数!$B$6*参数!$B$2+卡牌总表!AA305*参数!$B$13-卡牌总表!U305*参数!$B$14-卡牌总表!AD305*参数!$B$13+IF(ISNUMBER(卡牌总表!AU305),卡牌总表!AU305*参数!$B$38,0)-卡牌总表!AV305*参数!$B$41-卡牌总表!AW305*参数!$B$14</f>
        <v>-3</v>
      </c>
      <c r="M305">
        <f>IF(AND(卡牌总表!F305="能力",卡牌总表!AL305="能力持续"),参数!$B$2*参数!$B$3,0)</f>
        <v>0</v>
      </c>
      <c r="N305">
        <f t="shared" si="14"/>
        <v>-3</v>
      </c>
      <c r="O305">
        <f>IFERROR(MAX(IF(K305 &gt; 参数!$B$17,参数!$B$17+SQRT(K305-参数!$B$17)*参数!$B$18,K305)-MAX(G305,0)*参数!$B$10,0)/MAX(G305,0.4),0)</f>
        <v>9.4999999999999982</v>
      </c>
      <c r="P305">
        <f>IFERROR(MAX(IF(N305 &gt; 参数!$B$17,参数!$B$17+SQRT(N305-参数!$B$17)*参数!$B$18,N305)-MAX(H305,0)*参数!$B$10,0)/MAX(H305,0.4),0)</f>
        <v>0</v>
      </c>
      <c r="Q305">
        <f>卡牌总表!AO305</f>
        <v>0</v>
      </c>
    </row>
    <row r="306" spans="1:17" x14ac:dyDescent="0.3">
      <c r="A306">
        <f t="shared" si="12"/>
        <v>305</v>
      </c>
      <c r="B306" t="str">
        <f>卡牌总表!B306</f>
        <v>regent_radiate</v>
      </c>
      <c r="C306" t="str">
        <f>卡牌总表!D306</f>
        <v>辐射</v>
      </c>
      <c r="D306" t="str">
        <f>卡牌总表!F306</f>
        <v>攻击</v>
      </c>
      <c r="E306">
        <f>卡牌总表!AL306</f>
        <v>0</v>
      </c>
      <c r="F306" t="str">
        <f>卡牌总表!AN306</f>
        <v>群体攻击，本回合</v>
      </c>
      <c r="G306">
        <f>卡牌总表!AP306</f>
        <v>0.4</v>
      </c>
      <c r="H306">
        <f>IF(ISNUMBER(卡牌总表!H306),IF(AND(卡牌总表!H306=0,卡牌总表!V306=0,卡牌总表!AK306="none"),0.4,IF(卡牌总表!AK306="exhaust",MAX(卡牌总表!H306-卡牌总表!V306,0.4),IF(卡牌总表!AK306="ethereal",MAX(卡牌总表!H306-卡牌总表!V306,0.4),MAX(卡牌总表!H306-卡牌总表!V306,0.4)))),IF(OR(卡牌总表!H306="X",卡牌总表!H306="∞"),0.4,0.4))</f>
        <v>0.4</v>
      </c>
      <c r="I306">
        <f>卡牌总表!M306*卡牌总表!O306*参数!$B$5*IF(AND(卡牌总表!F306="能力",卡牌总表!AL306="能力持续"),参数!$B$2,1)+卡牌总表!P306*参数!$B$6*IF(AND(卡牌总表!F306="能力",卡牌总表!AL306="能力持续"),参数!$B$2,1)+卡牌总表!R306*参数!$B$7*IF(AND(卡牌总表!F306="能力",卡牌总表!AL306="能力持续"),参数!$B$2,1)+卡牌总表!V306*参数!$B$8+IF(卡牌总表!X306&lt;0,卡牌总表!X306*参数!$B$13,卡牌总表!X306*参数!$B$39)+IF(卡牌总表!AE306&lt;0,卡牌总表!AE306*参数!$B$13,卡牌总表!AE306*参数!$B$12)*参数!$B$2+卡牌总表!AQ306*参数!$B$15+卡牌总表!AB306*参数!$B$11+卡牌总表!AF306*参数!$B$40*参数!$B$2+卡牌总表!AG306*参数!$B$44*参数!$B$2+卡牌总表!AH306*参数!$B$6*参数!$B$2+卡牌总表!AI306*参数!$B$39*参数!$B$2+卡牌总表!AJ306*参数!$B$6*参数!$B$2+卡牌总表!Z306*参数!$B$13-卡牌总表!T306*参数!$B$14-卡牌总表!AD306*参数!$B$13+IF(ISNUMBER(卡牌总表!AU306),卡牌总表!AU306*参数!$B$38,0)-卡牌总表!AV306*参数!$B$41-卡牌总表!AW306*参数!$B$14</f>
        <v>10.5</v>
      </c>
      <c r="J306">
        <f>IF(AND(卡牌总表!F306="能力",卡牌总表!AL306="能力持续"),(参数!$B$2-1)*参数!$B$3,0)</f>
        <v>0</v>
      </c>
      <c r="K306">
        <f t="shared" si="13"/>
        <v>10.5</v>
      </c>
      <c r="L306">
        <f>卡牌总表!N306*卡牌总表!O306*参数!$B$5*IF(AND(卡牌总表!F306="能力",卡牌总表!AL306="能力持续"),参数!$B$2,1)+卡牌总表!Q306*参数!$B$6*IF(AND(卡牌总表!F306="能力",卡牌总表!AL306="能力持续"),参数!$B$2,1)+卡牌总表!S306*参数!$B$7*IF(AND(卡牌总表!F306="能力",卡牌总表!AL306="能力持续"),参数!$B$2,1)+卡牌总表!W306*参数!$B$8+IF(卡牌总表!Y306&lt;0,卡牌总表!Y306*参数!$B$13,卡牌总表!Y306*参数!$B$39)+IF(卡牌总表!AE306&lt;0,卡牌总表!AE306*参数!$B$13,卡牌总表!AE306*参数!$B$12)*参数!$B$2+卡牌总表!AR306*参数!$B$15+卡牌总表!AC306*参数!$B$11+卡牌总表!AF306*参数!$B$40*参数!$B$2+卡牌总表!AG306*参数!$B$44*参数!$B$2+卡牌总表!AH306*参数!$B$6*参数!$B$2+卡牌总表!AI306*参数!$B$39*参数!$B$2+卡牌总表!AJ306*参数!$B$6*参数!$B$2+卡牌总表!AA306*参数!$B$13-卡牌总表!U306*参数!$B$14-卡牌总表!AD306*参数!$B$13+IF(ISNUMBER(卡牌总表!AU306),卡牌总表!AU306*参数!$B$38,0)-卡牌总表!AV306*参数!$B$41-卡牌总表!AW306*参数!$B$14</f>
        <v>14</v>
      </c>
      <c r="M306">
        <f>IF(AND(卡牌总表!F306="能力",卡牌总表!AL306="能力持续"),参数!$B$2*参数!$B$3,0)</f>
        <v>0</v>
      </c>
      <c r="N306">
        <f t="shared" si="14"/>
        <v>14</v>
      </c>
      <c r="O306">
        <f>IFERROR(MAX(IF(K306 &gt; 参数!$B$17,参数!$B$17+SQRT(K306-参数!$B$17)*参数!$B$18,K306)-MAX(G306,0)*参数!$B$10,0)/MAX(G306,0.4),0)</f>
        <v>24.65165042944955</v>
      </c>
      <c r="P306">
        <f>IFERROR(MAX(IF(N306 &gt; 参数!$B$17,参数!$B$17+SQRT(N306-参数!$B$17)*参数!$B$18,N306)-MAX(H306,0)*参数!$B$10,0)/MAX(H306,0.4),0)</f>
        <v>29.5</v>
      </c>
      <c r="Q306">
        <f>卡牌总表!AO306</f>
        <v>0</v>
      </c>
    </row>
    <row r="307" spans="1:17" x14ac:dyDescent="0.3">
      <c r="A307">
        <f t="shared" si="12"/>
        <v>306</v>
      </c>
      <c r="B307" t="str">
        <f>卡牌总表!B307</f>
        <v>regent_refine_blade</v>
      </c>
      <c r="C307" t="str">
        <f>卡牌总表!D307</f>
        <v>淬炼刀刃</v>
      </c>
      <c r="D307" t="str">
        <f>卡牌总表!F307</f>
        <v>技能</v>
      </c>
      <c r="E307">
        <f>卡牌总表!AL307</f>
        <v>0</v>
      </c>
      <c r="F307">
        <f>卡牌总表!AN307</f>
        <v>0</v>
      </c>
      <c r="G307">
        <f>卡牌总表!AP307</f>
        <v>0.4</v>
      </c>
      <c r="H307">
        <f>IF(ISNUMBER(卡牌总表!H307),IF(AND(卡牌总表!H307=0,卡牌总表!V307=0,卡牌总表!AK307="none"),0.4,IF(卡牌总表!AK307="exhaust",MAX(卡牌总表!H307-卡牌总表!V307,0.4),IF(卡牌总表!AK307="ethereal",MAX(卡牌总表!H307-卡牌总表!V307,0.4),MAX(卡牌总表!H307-卡牌总表!V307,0.4)))),IF(OR(卡牌总表!H307="X",卡牌总表!H307="∞"),0.4,0.4))</f>
        <v>0.4</v>
      </c>
      <c r="I307">
        <f>卡牌总表!M307*卡牌总表!O307*参数!$B$5*IF(AND(卡牌总表!F307="能力",卡牌总表!AL307="能力持续"),参数!$B$2,1)+卡牌总表!P307*参数!$B$6*IF(AND(卡牌总表!F307="能力",卡牌总表!AL307="能力持续"),参数!$B$2,1)+卡牌总表!R307*参数!$B$7*IF(AND(卡牌总表!F307="能力",卡牌总表!AL307="能力持续"),参数!$B$2,1)+卡牌总表!V307*参数!$B$8+IF(卡牌总表!X307&lt;0,卡牌总表!X307*参数!$B$13,卡牌总表!X307*参数!$B$39)+IF(卡牌总表!AE307&lt;0,卡牌总表!AE307*参数!$B$13,卡牌总表!AE307*参数!$B$12)*参数!$B$2+卡牌总表!AQ307*参数!$B$15+卡牌总表!AB307*参数!$B$11+卡牌总表!AF307*参数!$B$40*参数!$B$2+卡牌总表!AG307*参数!$B$44*参数!$B$2+卡牌总表!AH307*参数!$B$6*参数!$B$2+卡牌总表!AI307*参数!$B$39*参数!$B$2+卡牌总表!AJ307*参数!$B$6*参数!$B$2+卡牌总表!Z307*参数!$B$13-卡牌总表!T307*参数!$B$14-卡牌总表!AD307*参数!$B$13+IF(ISNUMBER(卡牌总表!AU307),卡牌总表!AU307*参数!$B$38,0)-卡牌总表!AV307*参数!$B$41-卡牌总表!AW307*参数!$B$14</f>
        <v>3</v>
      </c>
      <c r="J307">
        <f>IF(AND(卡牌总表!F307="能力",卡牌总表!AL307="能力持续"),(参数!$B$2-1)*参数!$B$3,0)</f>
        <v>0</v>
      </c>
      <c r="K307">
        <f t="shared" si="13"/>
        <v>3</v>
      </c>
      <c r="L307">
        <f>卡牌总表!N307*卡牌总表!O307*参数!$B$5*IF(AND(卡牌总表!F307="能力",卡牌总表!AL307="能力持续"),参数!$B$2,1)+卡牌总表!Q307*参数!$B$6*IF(AND(卡牌总表!F307="能力",卡牌总表!AL307="能力持续"),参数!$B$2,1)+卡牌总表!S307*参数!$B$7*IF(AND(卡牌总表!F307="能力",卡牌总表!AL307="能力持续"),参数!$B$2,1)+卡牌总表!W307*参数!$B$8+IF(卡牌总表!Y307&lt;0,卡牌总表!Y307*参数!$B$13,卡牌总表!Y307*参数!$B$39)+IF(卡牌总表!AE307&lt;0,卡牌总表!AE307*参数!$B$13,卡牌总表!AE307*参数!$B$12)*参数!$B$2+卡牌总表!AR307*参数!$B$15+卡牌总表!AC307*参数!$B$11+卡牌总表!AF307*参数!$B$40*参数!$B$2+卡牌总表!AG307*参数!$B$44*参数!$B$2+卡牌总表!AH307*参数!$B$6*参数!$B$2+卡牌总表!AI307*参数!$B$39*参数!$B$2+卡牌总表!AJ307*参数!$B$6*参数!$B$2+卡牌总表!AA307*参数!$B$13-卡牌总表!U307*参数!$B$14-卡牌总表!AD307*参数!$B$13+IF(ISNUMBER(卡牌总表!AU307),卡牌总表!AU307*参数!$B$38,0)-卡牌总表!AV307*参数!$B$41-卡牌总表!AW307*参数!$B$14</f>
        <v>3</v>
      </c>
      <c r="M307">
        <f>IF(AND(卡牌总表!F307="能力",卡牌总表!AL307="能力持续"),参数!$B$2*参数!$B$3,0)</f>
        <v>0</v>
      </c>
      <c r="N307">
        <f t="shared" si="14"/>
        <v>3</v>
      </c>
      <c r="O307">
        <f>IFERROR(MAX(IF(K307 &gt; 参数!$B$17,参数!$B$17+SQRT(K307-参数!$B$17)*参数!$B$18,K307)-MAX(G307,0)*参数!$B$10,0)/MAX(G307,0.4),0)</f>
        <v>4.4999999999999991</v>
      </c>
      <c r="P307">
        <f>IFERROR(MAX(IF(N307 &gt; 参数!$B$17,参数!$B$17+SQRT(N307-参数!$B$17)*参数!$B$18,N307)-MAX(H307,0)*参数!$B$10,0)/MAX(H307,0.4),0)</f>
        <v>4.4999999999999991</v>
      </c>
      <c r="Q307">
        <f>卡牌总表!AO307</f>
        <v>0</v>
      </c>
    </row>
    <row r="308" spans="1:17" x14ac:dyDescent="0.3">
      <c r="A308">
        <f t="shared" si="12"/>
        <v>307</v>
      </c>
      <c r="B308" t="str">
        <f>卡牌总表!B308</f>
        <v>regent_reflect</v>
      </c>
      <c r="C308" t="str">
        <f>卡牌总表!D308</f>
        <v>倒映</v>
      </c>
      <c r="D308" t="str">
        <f>卡牌总表!F308</f>
        <v>技能</v>
      </c>
      <c r="E308">
        <f>卡牌总表!AL308</f>
        <v>0</v>
      </c>
      <c r="F308" t="str">
        <f>卡牌总表!AN308</f>
        <v>本回合</v>
      </c>
      <c r="G308">
        <f>卡牌总表!AP308</f>
        <v>1</v>
      </c>
      <c r="H308">
        <f>IF(ISNUMBER(卡牌总表!H308),IF(AND(卡牌总表!H308=0,卡牌总表!V308=0,卡牌总表!AK308="none"),0.4,IF(卡牌总表!AK308="exhaust",MAX(卡牌总表!H308-卡牌总表!V308,0.4),IF(卡牌总表!AK308="ethereal",MAX(卡牌总表!H308-卡牌总表!V308,0.4),MAX(卡牌总表!H308-卡牌总表!V308,0.4)))),IF(OR(卡牌总表!H308="X",卡牌总表!H308="∞"),0.4,0.4))</f>
        <v>1</v>
      </c>
      <c r="I308">
        <f>卡牌总表!M308*卡牌总表!O308*参数!$B$5*IF(AND(卡牌总表!F308="能力",卡牌总表!AL308="能力持续"),参数!$B$2,1)+卡牌总表!P308*参数!$B$6*IF(AND(卡牌总表!F308="能力",卡牌总表!AL308="能力持续"),参数!$B$2,1)+卡牌总表!R308*参数!$B$7*IF(AND(卡牌总表!F308="能力",卡牌总表!AL308="能力持续"),参数!$B$2,1)+卡牌总表!V308*参数!$B$8+IF(卡牌总表!X308&lt;0,卡牌总表!X308*参数!$B$13,卡牌总表!X308*参数!$B$39)+IF(卡牌总表!AE308&lt;0,卡牌总表!AE308*参数!$B$13,卡牌总表!AE308*参数!$B$12)*参数!$B$2+卡牌总表!AQ308*参数!$B$15+卡牌总表!AB308*参数!$B$11+卡牌总表!AF308*参数!$B$40*参数!$B$2+卡牌总表!AG308*参数!$B$44*参数!$B$2+卡牌总表!AH308*参数!$B$6*参数!$B$2+卡牌总表!AI308*参数!$B$39*参数!$B$2+卡牌总表!AJ308*参数!$B$6*参数!$B$2+卡牌总表!Z308*参数!$B$13-卡牌总表!T308*参数!$B$14-卡牌总表!AD308*参数!$B$13+IF(ISNUMBER(卡牌总表!AU308),卡牌总表!AU308*参数!$B$38,0)-卡牌总表!AV308*参数!$B$41-卡牌总表!AW308*参数!$B$14</f>
        <v>12</v>
      </c>
      <c r="J308">
        <f>IF(AND(卡牌总表!F308="能力",卡牌总表!AL308="能力持续"),(参数!$B$2-1)*参数!$B$3,0)</f>
        <v>0</v>
      </c>
      <c r="K308">
        <f t="shared" si="13"/>
        <v>12</v>
      </c>
      <c r="L308">
        <f>卡牌总表!N308*卡牌总表!O308*参数!$B$5*IF(AND(卡牌总表!F308="能力",卡牌总表!AL308="能力持续"),参数!$B$2,1)+卡牌总表!Q308*参数!$B$6*IF(AND(卡牌总表!F308="能力",卡牌总表!AL308="能力持续"),参数!$B$2,1)+卡牌总表!S308*参数!$B$7*IF(AND(卡牌总表!F308="能力",卡牌总表!AL308="能力持续"),参数!$B$2,1)+卡牌总表!W308*参数!$B$8+IF(卡牌总表!Y308&lt;0,卡牌总表!Y308*参数!$B$13,卡牌总表!Y308*参数!$B$39)+IF(卡牌总表!AE308&lt;0,卡牌总表!AE308*参数!$B$13,卡牌总表!AE308*参数!$B$12)*参数!$B$2+卡牌总表!AR308*参数!$B$15+卡牌总表!AC308*参数!$B$11+卡牌总表!AF308*参数!$B$40*参数!$B$2+卡牌总表!AG308*参数!$B$44*参数!$B$2+卡牌总表!AH308*参数!$B$6*参数!$B$2+卡牌总表!AI308*参数!$B$39*参数!$B$2+卡牌总表!AJ308*参数!$B$6*参数!$B$2+卡牌总表!AA308*参数!$B$13-卡牌总表!U308*参数!$B$14-卡牌总表!AD308*参数!$B$13+IF(ISNUMBER(卡牌总表!AU308),卡牌总表!AU308*参数!$B$38,0)-卡牌总表!AV308*参数!$B$41-卡牌总表!AW308*参数!$B$14</f>
        <v>17.5</v>
      </c>
      <c r="M308">
        <f>IF(AND(卡牌总表!F308="能力",卡牌总表!AL308="能力持续"),参数!$B$2*参数!$B$3,0)</f>
        <v>0</v>
      </c>
      <c r="N308">
        <f t="shared" si="14"/>
        <v>17.5</v>
      </c>
      <c r="O308">
        <f>IFERROR(MAX(IF(K308 &gt; 参数!$B$17,参数!$B$17+SQRT(K308-参数!$B$17)*参数!$B$18,K308)-MAX(G308,0)*参数!$B$10,0)/MAX(G308,0.4),0)</f>
        <v>9.1213203435596419</v>
      </c>
      <c r="P308">
        <f>IFERROR(MAX(IF(N308 &gt; 参数!$B$17,参数!$B$17+SQRT(N308-参数!$B$17)*参数!$B$18,N308)-MAX(H308,0)*参数!$B$10,0)/MAX(H308,0.4),0)</f>
        <v>11.107919181288747</v>
      </c>
      <c r="Q308">
        <f>卡牌总表!AO308</f>
        <v>0</v>
      </c>
    </row>
    <row r="309" spans="1:17" x14ac:dyDescent="0.3">
      <c r="A309">
        <f t="shared" si="12"/>
        <v>308</v>
      </c>
      <c r="B309" t="str">
        <f>卡牌总表!B309</f>
        <v>regent_resonance</v>
      </c>
      <c r="C309" t="str">
        <f>卡牌总表!D309</f>
        <v>共鸣</v>
      </c>
      <c r="D309" t="str">
        <f>卡牌总表!F309</f>
        <v>技能</v>
      </c>
      <c r="E309">
        <f>卡牌总表!AL309</f>
        <v>0</v>
      </c>
      <c r="F309" t="str">
        <f>卡牌总表!AN309</f>
        <v>群体攻击</v>
      </c>
      <c r="G309">
        <f>卡牌总表!AP309</f>
        <v>1</v>
      </c>
      <c r="H309">
        <f>IF(ISNUMBER(卡牌总表!H309),IF(AND(卡牌总表!H309=0,卡牌总表!V309=0,卡牌总表!AK309="none"),0.4,IF(卡牌总表!AK309="exhaust",MAX(卡牌总表!H309-卡牌总表!V309,0.4),IF(卡牌总表!AK309="ethereal",MAX(卡牌总表!H309-卡牌总表!V309,0.4),MAX(卡牌总表!H309-卡牌总表!V309,0.4)))),IF(OR(卡牌总表!H309="X",卡牌总表!H309="∞"),0.4,0.4))</f>
        <v>1</v>
      </c>
      <c r="I309">
        <f>卡牌总表!M309*卡牌总表!O309*参数!$B$5*IF(AND(卡牌总表!F309="能力",卡牌总表!AL309="能力持续"),参数!$B$2,1)+卡牌总表!P309*参数!$B$6*IF(AND(卡牌总表!F309="能力",卡牌总表!AL309="能力持续"),参数!$B$2,1)+卡牌总表!R309*参数!$B$7*IF(AND(卡牌总表!F309="能力",卡牌总表!AL309="能力持续"),参数!$B$2,1)+卡牌总表!V309*参数!$B$8+IF(卡牌总表!X309&lt;0,卡牌总表!X309*参数!$B$13,卡牌总表!X309*参数!$B$39)+IF(卡牌总表!AE309&lt;0,卡牌总表!AE309*参数!$B$13,卡牌总表!AE309*参数!$B$12)*参数!$B$2+卡牌总表!AQ309*参数!$B$15+卡牌总表!AB309*参数!$B$11+卡牌总表!AF309*参数!$B$40*参数!$B$2+卡牌总表!AG309*参数!$B$44*参数!$B$2+卡牌总表!AH309*参数!$B$6*参数!$B$2+卡牌总表!AI309*参数!$B$39*参数!$B$2+卡牌总表!AJ309*参数!$B$6*参数!$B$2+卡牌总表!Z309*参数!$B$13-卡牌总表!T309*参数!$B$14-卡牌总表!AD309*参数!$B$13+IF(ISNUMBER(卡牌总表!AU309),卡牌总表!AU309*参数!$B$38,0)-卡牌总表!AV309*参数!$B$41-卡牌总表!AW309*参数!$B$14</f>
        <v>4.8</v>
      </c>
      <c r="J309">
        <f>IF(AND(卡牌总表!F309="能力",卡牌总表!AL309="能力持续"),(参数!$B$2-1)*参数!$B$3,0)</f>
        <v>0</v>
      </c>
      <c r="K309">
        <f t="shared" si="13"/>
        <v>4.8</v>
      </c>
      <c r="L309">
        <f>卡牌总表!N309*卡牌总表!O309*参数!$B$5*IF(AND(卡牌总表!F309="能力",卡牌总表!AL309="能力持续"),参数!$B$2,1)+卡牌总表!Q309*参数!$B$6*IF(AND(卡牌总表!F309="能力",卡牌总表!AL309="能力持续"),参数!$B$2,1)+卡牌总表!S309*参数!$B$7*IF(AND(卡牌总表!F309="能力",卡牌总表!AL309="能力持续"),参数!$B$2,1)+卡牌总表!W309*参数!$B$8+IF(卡牌总表!Y309&lt;0,卡牌总表!Y309*参数!$B$13,卡牌总表!Y309*参数!$B$39)+IF(卡牌总表!AE309&lt;0,卡牌总表!AE309*参数!$B$13,卡牌总表!AE309*参数!$B$12)*参数!$B$2+卡牌总表!AR309*参数!$B$15+卡牌总表!AC309*参数!$B$11+卡牌总表!AF309*参数!$B$40*参数!$B$2+卡牌总表!AG309*参数!$B$44*参数!$B$2+卡牌总表!AH309*参数!$B$6*参数!$B$2+卡牌总表!AI309*参数!$B$39*参数!$B$2+卡牌总表!AJ309*参数!$B$6*参数!$B$2+卡牌总表!AA309*参数!$B$13-卡牌总表!U309*参数!$B$14-卡牌总表!AD309*参数!$B$13+IF(ISNUMBER(卡牌总表!AU309),卡牌总表!AU309*参数!$B$38,0)-卡牌总表!AV309*参数!$B$41-卡牌总表!AW309*参数!$B$14</f>
        <v>4.8</v>
      </c>
      <c r="M309">
        <f>IF(AND(卡牌总表!F309="能力",卡牌总表!AL309="能力持续"),参数!$B$2*参数!$B$3,0)</f>
        <v>0</v>
      </c>
      <c r="N309">
        <f t="shared" si="14"/>
        <v>4.8</v>
      </c>
      <c r="O309">
        <f>IFERROR(MAX(IF(K309 &gt; 参数!$B$17,参数!$B$17+SQRT(K309-参数!$B$17)*参数!$B$18,K309)-MAX(G309,0)*参数!$B$10,0)/MAX(G309,0.4),0)</f>
        <v>1.7999999999999998</v>
      </c>
      <c r="P309">
        <f>IFERROR(MAX(IF(N309 &gt; 参数!$B$17,参数!$B$17+SQRT(N309-参数!$B$17)*参数!$B$18,N309)-MAX(H309,0)*参数!$B$10,0)/MAX(H309,0.4),0)</f>
        <v>1.7999999999999998</v>
      </c>
      <c r="Q309">
        <f>卡牌总表!AO309</f>
        <v>0</v>
      </c>
    </row>
    <row r="310" spans="1:17" x14ac:dyDescent="0.3">
      <c r="A310">
        <f t="shared" si="12"/>
        <v>309</v>
      </c>
      <c r="B310" t="str">
        <f>卡牌总表!B310</f>
        <v>regent_royal_gamble</v>
      </c>
      <c r="C310" t="str">
        <f>卡牌总表!D310</f>
        <v>胜券在王</v>
      </c>
      <c r="D310" t="str">
        <f>卡牌总表!F310</f>
        <v>技能</v>
      </c>
      <c r="E310">
        <f>卡牌总表!AL310</f>
        <v>0</v>
      </c>
      <c r="F310">
        <f>卡牌总表!AN310</f>
        <v>0</v>
      </c>
      <c r="G310">
        <f>卡牌总表!AP310</f>
        <v>0.4</v>
      </c>
      <c r="H310">
        <f>IF(ISNUMBER(卡牌总表!H310),IF(AND(卡牌总表!H310=0,卡牌总表!V310=0,卡牌总表!AK310="none"),0.4,IF(卡牌总表!AK310="exhaust",MAX(卡牌总表!H310-卡牌总表!V310,0.4),IF(卡牌总表!AK310="ethereal",MAX(卡牌总表!H310-卡牌总表!V310,0.4),MAX(卡牌总表!H310-卡牌总表!V310,0.4)))),IF(OR(卡牌总表!H310="X",卡牌总表!H310="∞"),0.4,0.4))</f>
        <v>0.4</v>
      </c>
      <c r="I310">
        <f>卡牌总表!M310*卡牌总表!O310*参数!$B$5*IF(AND(卡牌总表!F310="能力",卡牌总表!AL310="能力持续"),参数!$B$2,1)+卡牌总表!P310*参数!$B$6*IF(AND(卡牌总表!F310="能力",卡牌总表!AL310="能力持续"),参数!$B$2,1)+卡牌总表!R310*参数!$B$7*IF(AND(卡牌总表!F310="能力",卡牌总表!AL310="能力持续"),参数!$B$2,1)+卡牌总表!V310*参数!$B$8+IF(卡牌总表!X310&lt;0,卡牌总表!X310*参数!$B$13,卡牌总表!X310*参数!$B$39)+IF(卡牌总表!AE310&lt;0,卡牌总表!AE310*参数!$B$13,卡牌总表!AE310*参数!$B$12)*参数!$B$2+卡牌总表!AQ310*参数!$B$15+卡牌总表!AB310*参数!$B$11+卡牌总表!AF310*参数!$B$40*参数!$B$2+卡牌总表!AG310*参数!$B$44*参数!$B$2+卡牌总表!AH310*参数!$B$6*参数!$B$2+卡牌总表!AI310*参数!$B$39*参数!$B$2+卡牌总表!AJ310*参数!$B$6*参数!$B$2+卡牌总表!Z310*参数!$B$13-卡牌总表!T310*参数!$B$14-卡牌总表!AD310*参数!$B$13+IF(ISNUMBER(卡牌总表!AU310),卡牌总表!AU310*参数!$B$38,0)-卡牌总表!AV310*参数!$B$41-卡牌总表!AW310*参数!$B$14</f>
        <v>7.8000000000000007</v>
      </c>
      <c r="J310">
        <f>IF(AND(卡牌总表!F310="能力",卡牌总表!AL310="能力持续"),(参数!$B$2-1)*参数!$B$3,0)</f>
        <v>0</v>
      </c>
      <c r="K310">
        <f t="shared" si="13"/>
        <v>7.8000000000000007</v>
      </c>
      <c r="L310">
        <f>卡牌总表!N310*卡牌总表!O310*参数!$B$5*IF(AND(卡牌总表!F310="能力",卡牌总表!AL310="能力持续"),参数!$B$2,1)+卡牌总表!Q310*参数!$B$6*IF(AND(卡牌总表!F310="能力",卡牌总表!AL310="能力持续"),参数!$B$2,1)+卡牌总表!S310*参数!$B$7*IF(AND(卡牌总表!F310="能力",卡牌总表!AL310="能力持续"),参数!$B$2,1)+卡牌总表!W310*参数!$B$8+IF(卡牌总表!Y310&lt;0,卡牌总表!Y310*参数!$B$13,卡牌总表!Y310*参数!$B$39)+IF(卡牌总表!AE310&lt;0,卡牌总表!AE310*参数!$B$13,卡牌总表!AE310*参数!$B$12)*参数!$B$2+卡牌总表!AR310*参数!$B$15+卡牌总表!AC310*参数!$B$11+卡牌总表!AF310*参数!$B$40*参数!$B$2+卡牌总表!AG310*参数!$B$44*参数!$B$2+卡牌总表!AH310*参数!$B$6*参数!$B$2+卡牌总表!AI310*参数!$B$39*参数!$B$2+卡牌总表!AJ310*参数!$B$6*参数!$B$2+卡牌总表!AA310*参数!$B$13-卡牌总表!U310*参数!$B$14-卡牌总表!AD310*参数!$B$13+IF(ISNUMBER(卡牌总表!AU310),卡牌总表!AU310*参数!$B$38,0)-卡牌总表!AV310*参数!$B$41-卡牌总表!AW310*参数!$B$14</f>
        <v>7.8000000000000007</v>
      </c>
      <c r="M310">
        <f>IF(AND(卡牌总表!F310="能力",卡牌总表!AL310="能力持续"),参数!$B$2*参数!$B$3,0)</f>
        <v>0</v>
      </c>
      <c r="N310">
        <f t="shared" si="14"/>
        <v>7.8000000000000007</v>
      </c>
      <c r="O310">
        <f>IFERROR(MAX(IF(K310 &gt; 参数!$B$17,参数!$B$17+SQRT(K310-参数!$B$17)*参数!$B$18,K310)-MAX(G310,0)*参数!$B$10,0)/MAX(G310,0.4),0)</f>
        <v>16.5</v>
      </c>
      <c r="P310">
        <f>IFERROR(MAX(IF(N310 &gt; 参数!$B$17,参数!$B$17+SQRT(N310-参数!$B$17)*参数!$B$18,N310)-MAX(H310,0)*参数!$B$10,0)/MAX(H310,0.4),0)</f>
        <v>16.5</v>
      </c>
      <c r="Q310">
        <f>卡牌总表!AO310</f>
        <v>0</v>
      </c>
    </row>
    <row r="311" spans="1:17" x14ac:dyDescent="0.3">
      <c r="A311">
        <f t="shared" si="12"/>
        <v>310</v>
      </c>
      <c r="B311" t="str">
        <f>卡牌总表!B311</f>
        <v>regent_royalties</v>
      </c>
      <c r="C311" t="str">
        <f>卡牌总表!D311</f>
        <v>王国资产</v>
      </c>
      <c r="D311" t="str">
        <f>卡牌总表!F311</f>
        <v>能力</v>
      </c>
      <c r="E311">
        <f>卡牌总表!AL311</f>
        <v>0</v>
      </c>
      <c r="F311" t="str">
        <f>卡牌总表!AN311</f>
        <v>能力</v>
      </c>
      <c r="G311">
        <f>卡牌总表!AP311</f>
        <v>1</v>
      </c>
      <c r="H311">
        <f>IF(ISNUMBER(卡牌总表!H311),IF(AND(卡牌总表!H311=0,卡牌总表!V311=0,卡牌总表!AK311="none"),0.4,IF(卡牌总表!AK311="exhaust",MAX(卡牌总表!H311-卡牌总表!V311,0.4),IF(卡牌总表!AK311="ethereal",MAX(卡牌总表!H311-卡牌总表!V311,0.4),MAX(卡牌总表!H311-卡牌总表!V311,0.4)))),IF(OR(卡牌总表!H311="X",卡牌总表!H311="∞"),0.4,0.4))</f>
        <v>1</v>
      </c>
      <c r="I311">
        <f>卡牌总表!M311*卡牌总表!O311*参数!$B$5*IF(AND(卡牌总表!F311="能力",卡牌总表!AL311="能力持续"),参数!$B$2,1)+卡牌总表!P311*参数!$B$6*IF(AND(卡牌总表!F311="能力",卡牌总表!AL311="能力持续"),参数!$B$2,1)+卡牌总表!R311*参数!$B$7*IF(AND(卡牌总表!F311="能力",卡牌总表!AL311="能力持续"),参数!$B$2,1)+卡牌总表!V311*参数!$B$8+IF(卡牌总表!X311&lt;0,卡牌总表!X311*参数!$B$13,卡牌总表!X311*参数!$B$39)+IF(卡牌总表!AE311&lt;0,卡牌总表!AE311*参数!$B$13,卡牌总表!AE311*参数!$B$12)*参数!$B$2+卡牌总表!AQ311*参数!$B$15+卡牌总表!AB311*参数!$B$11+卡牌总表!AF311*参数!$B$40*参数!$B$2+卡牌总表!AG311*参数!$B$44*参数!$B$2+卡牌总表!AH311*参数!$B$6*参数!$B$2+卡牌总表!AI311*参数!$B$39*参数!$B$2+卡牌总表!AJ311*参数!$B$6*参数!$B$2+卡牌总表!Z311*参数!$B$13-卡牌总表!T311*参数!$B$14-卡牌总表!AD311*参数!$B$13+IF(ISNUMBER(卡牌总表!AU311),卡牌总表!AU311*参数!$B$38,0)-卡牌总表!AV311*参数!$B$41-卡牌总表!AW311*参数!$B$14</f>
        <v>21</v>
      </c>
      <c r="J311">
        <f>IF(AND(卡牌总表!F311="能力",卡牌总表!AL311="能力持续"),(参数!$B$2-1)*参数!$B$3,0)</f>
        <v>0</v>
      </c>
      <c r="K311">
        <f t="shared" si="13"/>
        <v>21</v>
      </c>
      <c r="L311">
        <f>卡牌总表!N311*卡牌总表!O311*参数!$B$5*IF(AND(卡牌总表!F311="能力",卡牌总表!AL311="能力持续"),参数!$B$2,1)+卡牌总表!Q311*参数!$B$6*IF(AND(卡牌总表!F311="能力",卡牌总表!AL311="能力持续"),参数!$B$2,1)+卡牌总表!S311*参数!$B$7*IF(AND(卡牌总表!F311="能力",卡牌总表!AL311="能力持续"),参数!$B$2,1)+卡牌总表!W311*参数!$B$8+IF(卡牌总表!Y311&lt;0,卡牌总表!Y311*参数!$B$13,卡牌总表!Y311*参数!$B$39)+IF(卡牌总表!AE311&lt;0,卡牌总表!AE311*参数!$B$13,卡牌总表!AE311*参数!$B$12)*参数!$B$2+卡牌总表!AR311*参数!$B$15+卡牌总表!AC311*参数!$B$11+卡牌总表!AF311*参数!$B$40*参数!$B$2+卡牌总表!AG311*参数!$B$44*参数!$B$2+卡牌总表!AH311*参数!$B$6*参数!$B$2+卡牌总表!AI311*参数!$B$39*参数!$B$2+卡牌总表!AJ311*参数!$B$6*参数!$B$2+卡牌总表!AA311*参数!$B$13-卡牌总表!U311*参数!$B$14-卡牌总表!AD311*参数!$B$13+IF(ISNUMBER(卡牌总表!AU311),卡牌总表!AU311*参数!$B$38,0)-卡牌总表!AV311*参数!$B$41-卡牌总表!AW311*参数!$B$14</f>
        <v>0</v>
      </c>
      <c r="M311">
        <f>IF(AND(卡牌总表!F311="能力",卡牌总表!AL311="能力持续"),参数!$B$2*参数!$B$3,0)</f>
        <v>0</v>
      </c>
      <c r="N311">
        <f t="shared" si="14"/>
        <v>0</v>
      </c>
      <c r="O311">
        <f>IFERROR(MAX(IF(K311 &gt; 参数!$B$17,参数!$B$17+SQRT(K311-参数!$B$17)*参数!$B$18,K311)-MAX(G311,0)*参数!$B$10,0)/MAX(G311,0.4),0)</f>
        <v>11.974937185533101</v>
      </c>
      <c r="P311">
        <f>IFERROR(MAX(IF(N311 &gt; 参数!$B$17,参数!$B$17+SQRT(N311-参数!$B$17)*参数!$B$18,N311)-MAX(H311,0)*参数!$B$10,0)/MAX(H311,0.4),0)</f>
        <v>0</v>
      </c>
      <c r="Q311">
        <f>卡牌总表!AO311</f>
        <v>0</v>
      </c>
    </row>
    <row r="312" spans="1:17" x14ac:dyDescent="0.3">
      <c r="A312">
        <f t="shared" si="12"/>
        <v>311</v>
      </c>
      <c r="B312" t="str">
        <f>卡牌总表!B312</f>
        <v>regent_seeking_edge</v>
      </c>
      <c r="C312" t="str">
        <f>卡牌总表!D312</f>
        <v>追踪之刃</v>
      </c>
      <c r="D312" t="str">
        <f>卡牌总表!F312</f>
        <v>能力</v>
      </c>
      <c r="E312">
        <f>卡牌总表!AL312</f>
        <v>0</v>
      </c>
      <c r="F312" t="str">
        <f>卡牌总表!AN312</f>
        <v>群体攻击，能力</v>
      </c>
      <c r="G312">
        <f>卡牌总表!AP312</f>
        <v>1</v>
      </c>
      <c r="H312">
        <f>IF(ISNUMBER(卡牌总表!H312),IF(AND(卡牌总表!H312=0,卡牌总表!V312=0,卡牌总表!AK312="none"),0.4,IF(卡牌总表!AK312="exhaust",MAX(卡牌总表!H312-卡牌总表!V312,0.4),IF(卡牌总表!AK312="ethereal",MAX(卡牌总表!H312-卡牌总表!V312,0.4),MAX(卡牌总表!H312-卡牌总表!V312,0.4)))),IF(OR(卡牌总表!H312="X",卡牌总表!H312="∞"),0.4,0.4))</f>
        <v>1</v>
      </c>
      <c r="I312">
        <f>卡牌总表!M312*卡牌总表!O312*参数!$B$5*IF(AND(卡牌总表!F312="能力",卡牌总表!AL312="能力持续"),参数!$B$2,1)+卡牌总表!P312*参数!$B$6*IF(AND(卡牌总表!F312="能力",卡牌总表!AL312="能力持续"),参数!$B$2,1)+卡牌总表!R312*参数!$B$7*IF(AND(卡牌总表!F312="能力",卡牌总表!AL312="能力持续"),参数!$B$2,1)+卡牌总表!V312*参数!$B$8+IF(卡牌总表!X312&lt;0,卡牌总表!X312*参数!$B$13,卡牌总表!X312*参数!$B$39)+IF(卡牌总表!AE312&lt;0,卡牌总表!AE312*参数!$B$13,卡牌总表!AE312*参数!$B$12)*参数!$B$2+卡牌总表!AQ312*参数!$B$15+卡牌总表!AB312*参数!$B$11+卡牌总表!AF312*参数!$B$40*参数!$B$2+卡牌总表!AG312*参数!$B$44*参数!$B$2+卡牌总表!AH312*参数!$B$6*参数!$B$2+卡牌总表!AI312*参数!$B$39*参数!$B$2+卡牌总表!AJ312*参数!$B$6*参数!$B$2+卡牌总表!Z312*参数!$B$13-卡牌总表!T312*参数!$B$14-卡牌总表!AD312*参数!$B$13+IF(ISNUMBER(卡牌总表!AU312),卡牌总表!AU312*参数!$B$38,0)-卡牌总表!AV312*参数!$B$41-卡牌总表!AW312*参数!$B$14</f>
        <v>16.8</v>
      </c>
      <c r="J312">
        <f>IF(AND(卡牌总表!F312="能力",卡牌总表!AL312="能力持续"),(参数!$B$2-1)*参数!$B$3,0)</f>
        <v>0</v>
      </c>
      <c r="K312">
        <f t="shared" si="13"/>
        <v>16.8</v>
      </c>
      <c r="L312">
        <f>卡牌总表!N312*卡牌总表!O312*参数!$B$5*IF(AND(卡牌总表!F312="能力",卡牌总表!AL312="能力持续"),参数!$B$2,1)+卡牌总表!Q312*参数!$B$6*IF(AND(卡牌总表!F312="能力",卡牌总表!AL312="能力持续"),参数!$B$2,1)+卡牌总表!S312*参数!$B$7*IF(AND(卡牌总表!F312="能力",卡牌总表!AL312="能力持续"),参数!$B$2,1)+卡牌总表!W312*参数!$B$8+IF(卡牌总表!Y312&lt;0,卡牌总表!Y312*参数!$B$13,卡牌总表!Y312*参数!$B$39)+IF(卡牌总表!AE312&lt;0,卡牌总表!AE312*参数!$B$13,卡牌总表!AE312*参数!$B$12)*参数!$B$2+卡牌总表!AR312*参数!$B$15+卡牌总表!AC312*参数!$B$11+卡牌总表!AF312*参数!$B$40*参数!$B$2+卡牌总表!AG312*参数!$B$44*参数!$B$2+卡牌总表!AH312*参数!$B$6*参数!$B$2+卡牌总表!AI312*参数!$B$39*参数!$B$2+卡牌总表!AJ312*参数!$B$6*参数!$B$2+卡牌总表!AA312*参数!$B$13-卡牌总表!U312*参数!$B$14-卡牌总表!AD312*参数!$B$13+IF(ISNUMBER(卡牌总表!AU312),卡牌总表!AU312*参数!$B$38,0)-卡牌总表!AV312*参数!$B$41-卡牌总表!AW312*参数!$B$14</f>
        <v>0</v>
      </c>
      <c r="M312">
        <f>IF(AND(卡牌总表!F312="能力",卡牌总表!AL312="能力持续"),参数!$B$2*参数!$B$3,0)</f>
        <v>0</v>
      </c>
      <c r="N312">
        <f t="shared" si="14"/>
        <v>0</v>
      </c>
      <c r="O312">
        <f>IFERROR(MAX(IF(K312 &gt; 参数!$B$17,参数!$B$17+SQRT(K312-参数!$B$17)*参数!$B$18,K312)-MAX(G312,0)*参数!$B$10,0)/MAX(G312,0.4),0)</f>
        <v>10.91152144312159</v>
      </c>
      <c r="P312">
        <f>IFERROR(MAX(IF(N312 &gt; 参数!$B$17,参数!$B$17+SQRT(N312-参数!$B$17)*参数!$B$18,N312)-MAX(H312,0)*参数!$B$10,0)/MAX(H312,0.4),0)</f>
        <v>0</v>
      </c>
      <c r="Q312">
        <f>卡牌总表!AO312</f>
        <v>0</v>
      </c>
    </row>
    <row r="313" spans="1:17" x14ac:dyDescent="0.3">
      <c r="A313">
        <f t="shared" si="12"/>
        <v>312</v>
      </c>
      <c r="B313" t="str">
        <f>卡牌总表!B313</f>
        <v>regent_seven_stars</v>
      </c>
      <c r="C313" t="str">
        <f>卡牌总表!D313</f>
        <v>七星</v>
      </c>
      <c r="D313" t="str">
        <f>卡牌总表!F313</f>
        <v>攻击</v>
      </c>
      <c r="E313">
        <f>卡牌总表!AL313</f>
        <v>0</v>
      </c>
      <c r="F313" t="str">
        <f>卡牌总表!AN313</f>
        <v>群体攻击</v>
      </c>
      <c r="G313">
        <f>卡牌总表!AP313</f>
        <v>2</v>
      </c>
      <c r="H313">
        <f>IF(ISNUMBER(卡牌总表!H313),IF(AND(卡牌总表!H313=0,卡牌总表!V313=0,卡牌总表!AK313="none"),0.4,IF(卡牌总表!AK313="exhaust",MAX(卡牌总表!H313-卡牌总表!V313,0.4),IF(卡牌总表!AK313="ethereal",MAX(卡牌总表!H313-卡牌总表!V313,0.4),MAX(卡牌总表!H313-卡牌总表!V313,0.4)))),IF(OR(卡牌总表!H313="X",卡牌总表!H313="∞"),0.4,0.4))</f>
        <v>2</v>
      </c>
      <c r="I313">
        <f>卡牌总表!M313*卡牌总表!O313*参数!$B$5*IF(AND(卡牌总表!F313="能力",卡牌总表!AL313="能力持续"),参数!$B$2,1)+卡牌总表!P313*参数!$B$6*IF(AND(卡牌总表!F313="能力",卡牌总表!AL313="能力持续"),参数!$B$2,1)+卡牌总表!R313*参数!$B$7*IF(AND(卡牌总表!F313="能力",卡牌总表!AL313="能力持续"),参数!$B$2,1)+卡牌总表!V313*参数!$B$8+IF(卡牌总表!X313&lt;0,卡牌总表!X313*参数!$B$13,卡牌总表!X313*参数!$B$39)+IF(卡牌总表!AE313&lt;0,卡牌总表!AE313*参数!$B$13,卡牌总表!AE313*参数!$B$12)*参数!$B$2+卡牌总表!AQ313*参数!$B$15+卡牌总表!AB313*参数!$B$11+卡牌总表!AF313*参数!$B$40*参数!$B$2+卡牌总表!AG313*参数!$B$44*参数!$B$2+卡牌总表!AH313*参数!$B$6*参数!$B$2+卡牌总表!AI313*参数!$B$39*参数!$B$2+卡牌总表!AJ313*参数!$B$6*参数!$B$2+卡牌总表!Z313*参数!$B$13-卡牌总表!T313*参数!$B$14-卡牌总表!AD313*参数!$B$13+IF(ISNUMBER(卡牌总表!AU313),卡牌总表!AU313*参数!$B$38,0)-卡牌总表!AV313*参数!$B$41-卡牌总表!AW313*参数!$B$14</f>
        <v>38.5</v>
      </c>
      <c r="J313">
        <f>IF(AND(卡牌总表!F313="能力",卡牌总表!AL313="能力持续"),(参数!$B$2-1)*参数!$B$3,0)</f>
        <v>0</v>
      </c>
      <c r="K313">
        <f t="shared" si="13"/>
        <v>38.5</v>
      </c>
      <c r="L313">
        <f>卡牌总表!N313*卡牌总表!O313*参数!$B$5*IF(AND(卡牌总表!F313="能力",卡牌总表!AL313="能力持续"),参数!$B$2,1)+卡牌总表!Q313*参数!$B$6*IF(AND(卡牌总表!F313="能力",卡牌总表!AL313="能力持续"),参数!$B$2,1)+卡牌总表!S313*参数!$B$7*IF(AND(卡牌总表!F313="能力",卡牌总表!AL313="能力持续"),参数!$B$2,1)+卡牌总表!W313*参数!$B$8+IF(卡牌总表!Y313&lt;0,卡牌总表!Y313*参数!$B$13,卡牌总表!Y313*参数!$B$39)+IF(卡牌总表!AE313&lt;0,卡牌总表!AE313*参数!$B$13,卡牌总表!AE313*参数!$B$12)*参数!$B$2+卡牌总表!AR313*参数!$B$15+卡牌总表!AC313*参数!$B$11+卡牌总表!AF313*参数!$B$40*参数!$B$2+卡牌总表!AG313*参数!$B$44*参数!$B$2+卡牌总表!AH313*参数!$B$6*参数!$B$2+卡牌总表!AI313*参数!$B$39*参数!$B$2+卡牌总表!AJ313*参数!$B$6*参数!$B$2+卡牌总表!AA313*参数!$B$13-卡牌总表!U313*参数!$B$14-卡牌总表!AD313*参数!$B$13+IF(ISNUMBER(卡牌总表!AU313),卡牌总表!AU313*参数!$B$38,0)-卡牌总表!AV313*参数!$B$41-卡牌总表!AW313*参数!$B$14</f>
        <v>38.5</v>
      </c>
      <c r="M313">
        <f>IF(AND(卡牌总表!F313="能力",卡牌总表!AL313="能力持续"),参数!$B$2*参数!$B$3,0)</f>
        <v>0</v>
      </c>
      <c r="N313">
        <f t="shared" si="14"/>
        <v>38.5</v>
      </c>
      <c r="O313">
        <f>IFERROR(MAX(IF(K313 &gt; 参数!$B$17,参数!$B$17+SQRT(K313-参数!$B$17)*参数!$B$18,K313)-MAX(G313,0)*参数!$B$10,0)/MAX(G313,0.4),0)</f>
        <v>6.0039043445117422</v>
      </c>
      <c r="P313">
        <f>IFERROR(MAX(IF(N313 &gt; 参数!$B$17,参数!$B$17+SQRT(N313-参数!$B$17)*参数!$B$18,N313)-MAX(H313,0)*参数!$B$10,0)/MAX(H313,0.4),0)</f>
        <v>6.0039043445117422</v>
      </c>
      <c r="Q313">
        <f>卡牌总表!AO313</f>
        <v>0</v>
      </c>
    </row>
    <row r="314" spans="1:17" x14ac:dyDescent="0.3">
      <c r="A314">
        <f t="shared" si="12"/>
        <v>313</v>
      </c>
      <c r="B314" t="str">
        <f>卡牌总表!B314</f>
        <v>regent_shining_strike</v>
      </c>
      <c r="C314" t="str">
        <f>卡牌总表!D314</f>
        <v>明耀打击</v>
      </c>
      <c r="D314" t="str">
        <f>卡牌总表!F314</f>
        <v>攻击</v>
      </c>
      <c r="E314">
        <f>卡牌总表!AL314</f>
        <v>0</v>
      </c>
      <c r="F314">
        <f>卡牌总表!AN314</f>
        <v>0</v>
      </c>
      <c r="G314">
        <f>卡牌总表!AP314</f>
        <v>1</v>
      </c>
      <c r="H314">
        <f>IF(ISNUMBER(卡牌总表!H314),IF(AND(卡牌总表!H314=0,卡牌总表!V314=0,卡牌总表!AK314="none"),0.4,IF(卡牌总表!AK314="exhaust",MAX(卡牌总表!H314-卡牌总表!V314,0.4),IF(卡牌总表!AK314="ethereal",MAX(卡牌总表!H314-卡牌总表!V314,0.4),MAX(卡牌总表!H314-卡牌总表!V314,0.4)))),IF(OR(卡牌总表!H314="X",卡牌总表!H314="∞"),0.4,0.4))</f>
        <v>1</v>
      </c>
      <c r="I314">
        <f>卡牌总表!M314*卡牌总表!O314*参数!$B$5*IF(AND(卡牌总表!F314="能力",卡牌总表!AL314="能力持续"),参数!$B$2,1)+卡牌总表!P314*参数!$B$6*IF(AND(卡牌总表!F314="能力",卡牌总表!AL314="能力持续"),参数!$B$2,1)+卡牌总表!R314*参数!$B$7*IF(AND(卡牌总表!F314="能力",卡牌总表!AL314="能力持续"),参数!$B$2,1)+卡牌总表!V314*参数!$B$8+IF(卡牌总表!X314&lt;0,卡牌总表!X314*参数!$B$13,卡牌总表!X314*参数!$B$39)+IF(卡牌总表!AE314&lt;0,卡牌总表!AE314*参数!$B$13,卡牌总表!AE314*参数!$B$12)*参数!$B$2+卡牌总表!AQ314*参数!$B$15+卡牌总表!AB314*参数!$B$11+卡牌总表!AF314*参数!$B$40*参数!$B$2+卡牌总表!AG314*参数!$B$44*参数!$B$2+卡牌总表!AH314*参数!$B$6*参数!$B$2+卡牌总表!AI314*参数!$B$39*参数!$B$2+卡牌总表!AJ314*参数!$B$6*参数!$B$2+卡牌总表!Z314*参数!$B$13-卡牌总表!T314*参数!$B$14-卡牌总表!AD314*参数!$B$13+IF(ISNUMBER(卡牌总表!AU314),卡牌总表!AU314*参数!$B$38,0)-卡牌总表!AV314*参数!$B$41-卡牌总表!AW314*参数!$B$14</f>
        <v>10.6</v>
      </c>
      <c r="J314">
        <f>IF(AND(卡牌总表!F314="能力",卡牌总表!AL314="能力持续"),(参数!$B$2-1)*参数!$B$3,0)</f>
        <v>0</v>
      </c>
      <c r="K314">
        <f t="shared" si="13"/>
        <v>10.6</v>
      </c>
      <c r="L314">
        <f>卡牌总表!N314*卡牌总表!O314*参数!$B$5*IF(AND(卡牌总表!F314="能力",卡牌总表!AL314="能力持续"),参数!$B$2,1)+卡牌总表!Q314*参数!$B$6*IF(AND(卡牌总表!F314="能力",卡牌总表!AL314="能力持续"),参数!$B$2,1)+卡牌总表!S314*参数!$B$7*IF(AND(卡牌总表!F314="能力",卡牌总表!AL314="能力持续"),参数!$B$2,1)+卡牌总表!W314*参数!$B$8+IF(卡牌总表!Y314&lt;0,卡牌总表!Y314*参数!$B$13,卡牌总表!Y314*参数!$B$39)+IF(卡牌总表!AE314&lt;0,卡牌总表!AE314*参数!$B$13,卡牌总表!AE314*参数!$B$12)*参数!$B$2+卡牌总表!AR314*参数!$B$15+卡牌总表!AC314*参数!$B$11+卡牌总表!AF314*参数!$B$40*参数!$B$2+卡牌总表!AG314*参数!$B$44*参数!$B$2+卡牌总表!AH314*参数!$B$6*参数!$B$2+卡牌总表!AI314*参数!$B$39*参数!$B$2+卡牌总表!AJ314*参数!$B$6*参数!$B$2+卡牌总表!AA314*参数!$B$13-卡牌总表!U314*参数!$B$14-卡牌总表!AD314*参数!$B$13+IF(ISNUMBER(卡牌总表!AU314),卡牌总表!AU314*参数!$B$38,0)-卡牌总表!AV314*参数!$B$41-卡牌总表!AW314*参数!$B$14</f>
        <v>13.6</v>
      </c>
      <c r="M314">
        <f>IF(AND(卡牌总表!F314="能力",卡牌总表!AL314="能力持续"),参数!$B$2*参数!$B$3,0)</f>
        <v>0</v>
      </c>
      <c r="N314">
        <f t="shared" si="14"/>
        <v>13.6</v>
      </c>
      <c r="O314">
        <f>IFERROR(MAX(IF(K314 &gt; 参数!$B$17,参数!$B$17+SQRT(K314-参数!$B$17)*参数!$B$18,K314)-MAX(G314,0)*参数!$B$10,0)/MAX(G314,0.4),0)</f>
        <v>8.1618950038622238</v>
      </c>
      <c r="P314">
        <f>IFERROR(MAX(IF(N314 &gt; 参数!$B$17,参数!$B$17+SQRT(N314-参数!$B$17)*参数!$B$18,N314)-MAX(H314,0)*参数!$B$10,0)/MAX(H314,0.4),0)</f>
        <v>9.8460498941515411</v>
      </c>
      <c r="Q314" t="str">
        <f>卡牌总表!AO314</f>
        <v>Gain能量数值需核对</v>
      </c>
    </row>
    <row r="315" spans="1:17" x14ac:dyDescent="0.3">
      <c r="A315">
        <f t="shared" si="12"/>
        <v>314</v>
      </c>
      <c r="B315" t="str">
        <f>卡牌总表!B315</f>
        <v>regent_solar_strike</v>
      </c>
      <c r="C315" t="str">
        <f>卡牌总表!D315</f>
        <v>太阳打击</v>
      </c>
      <c r="D315" t="str">
        <f>卡牌总表!F315</f>
        <v>攻击</v>
      </c>
      <c r="E315">
        <f>卡牌总表!AL315</f>
        <v>0</v>
      </c>
      <c r="F315">
        <f>卡牌总表!AN315</f>
        <v>0</v>
      </c>
      <c r="G315">
        <f>卡牌总表!AP315</f>
        <v>1</v>
      </c>
      <c r="H315">
        <f>IF(ISNUMBER(卡牌总表!H315),IF(AND(卡牌总表!H315=0,卡牌总表!V315=0,卡牌总表!AK315="none"),0.4,IF(卡牌总表!AK315="exhaust",MAX(卡牌总表!H315-卡牌总表!V315,0.4),IF(卡牌总表!AK315="ethereal",MAX(卡牌总表!H315-卡牌总表!V315,0.4),MAX(卡牌总表!H315-卡牌总表!V315,0.4)))),IF(OR(卡牌总表!H315="X",卡牌总表!H315="∞"),0.4,0.4))</f>
        <v>1</v>
      </c>
      <c r="I315">
        <f>卡牌总表!M315*卡牌总表!O315*参数!$B$5*IF(AND(卡牌总表!F315="能力",卡牌总表!AL315="能力持续"),参数!$B$2,1)+卡牌总表!P315*参数!$B$6*IF(AND(卡牌总表!F315="能力",卡牌总表!AL315="能力持续"),参数!$B$2,1)+卡牌总表!R315*参数!$B$7*IF(AND(卡牌总表!F315="能力",卡牌总表!AL315="能力持续"),参数!$B$2,1)+卡牌总表!V315*参数!$B$8+IF(卡牌总表!X315&lt;0,卡牌总表!X315*参数!$B$13,卡牌总表!X315*参数!$B$39)+IF(卡牌总表!AE315&lt;0,卡牌总表!AE315*参数!$B$13,卡牌总表!AE315*参数!$B$12)*参数!$B$2+卡牌总表!AQ315*参数!$B$15+卡牌总表!AB315*参数!$B$11+卡牌总表!AF315*参数!$B$40*参数!$B$2+卡牌总表!AG315*参数!$B$44*参数!$B$2+卡牌总表!AH315*参数!$B$6*参数!$B$2+卡牌总表!AI315*参数!$B$39*参数!$B$2+卡牌总表!AJ315*参数!$B$6*参数!$B$2+卡牌总表!Z315*参数!$B$13-卡牌总表!T315*参数!$B$14-卡牌总表!AD315*参数!$B$13+IF(ISNUMBER(卡牌总表!AU315),卡牌总表!AU315*参数!$B$38,0)-卡牌总表!AV315*参数!$B$41-卡牌总表!AW315*参数!$B$14</f>
        <v>10.3</v>
      </c>
      <c r="J315">
        <f>IF(AND(卡牌总表!F315="能力",卡牌总表!AL315="能力持续"),(参数!$B$2-1)*参数!$B$3,0)</f>
        <v>0</v>
      </c>
      <c r="K315">
        <f t="shared" si="13"/>
        <v>10.3</v>
      </c>
      <c r="L315">
        <f>卡牌总表!N315*卡牌总表!O315*参数!$B$5*IF(AND(卡牌总表!F315="能力",卡牌总表!AL315="能力持续"),参数!$B$2,1)+卡牌总表!Q315*参数!$B$6*IF(AND(卡牌总表!F315="能力",卡牌总表!AL315="能力持续"),参数!$B$2,1)+卡牌总表!S315*参数!$B$7*IF(AND(卡牌总表!F315="能力",卡牌总表!AL315="能力持续"),参数!$B$2,1)+卡牌总表!W315*参数!$B$8+IF(卡牌总表!Y315&lt;0,卡牌总表!Y315*参数!$B$13,卡牌总表!Y315*参数!$B$39)+IF(卡牌总表!AE315&lt;0,卡牌总表!AE315*参数!$B$13,卡牌总表!AE315*参数!$B$12)*参数!$B$2+卡牌总表!AR315*参数!$B$15+卡牌总表!AC315*参数!$B$11+卡牌总表!AF315*参数!$B$40*参数!$B$2+卡牌总表!AG315*参数!$B$44*参数!$B$2+卡牌总表!AH315*参数!$B$6*参数!$B$2+卡牌总表!AI315*参数!$B$39*参数!$B$2+卡牌总表!AJ315*参数!$B$6*参数!$B$2+卡牌总表!AA315*参数!$B$13-卡牌总表!U315*参数!$B$14-卡牌总表!AD315*参数!$B$13+IF(ISNUMBER(卡牌总表!AU315),卡牌总表!AU315*参数!$B$38,0)-卡牌总表!AV315*参数!$B$41-卡牌总表!AW315*参数!$B$14</f>
        <v>12.6</v>
      </c>
      <c r="M315">
        <f>IF(AND(卡牌总表!F315="能力",卡牌总表!AL315="能力持续"),参数!$B$2*参数!$B$3,0)</f>
        <v>0</v>
      </c>
      <c r="N315">
        <f t="shared" si="14"/>
        <v>12.6</v>
      </c>
      <c r="O315">
        <f>IFERROR(MAX(IF(K315 &gt; 参数!$B$17,参数!$B$17+SQRT(K315-参数!$B$17)*参数!$B$18,K315)-MAX(G315,0)*参数!$B$10,0)/MAX(G315,0.4),0)</f>
        <v>7.8215838362577497</v>
      </c>
      <c r="P315">
        <f>IFERROR(MAX(IF(N315 &gt; 参数!$B$17,参数!$B$17+SQRT(N315-参数!$B$17)*参数!$B$18,N315)-MAX(H315,0)*参数!$B$10,0)/MAX(H315,0.4),0)</f>
        <v>9.4186773244895647</v>
      </c>
      <c r="Q315" t="str">
        <f>卡牌总表!AO315</f>
        <v>Gain能量数值需核对</v>
      </c>
    </row>
    <row r="316" spans="1:17" x14ac:dyDescent="0.3">
      <c r="A316">
        <f t="shared" si="12"/>
        <v>315</v>
      </c>
      <c r="B316" t="str">
        <f>卡牌总表!B316</f>
        <v>regent_spectrum_shift</v>
      </c>
      <c r="C316" t="str">
        <f>卡牌总表!D316</f>
        <v>光谱偏移</v>
      </c>
      <c r="D316" t="str">
        <f>卡牌总表!F316</f>
        <v>能力</v>
      </c>
      <c r="E316" t="str">
        <f>卡牌总表!AL316</f>
        <v>能力持续</v>
      </c>
      <c r="F316" t="str">
        <f>卡牌总表!AN316</f>
        <v>能力</v>
      </c>
      <c r="G316">
        <f>卡牌总表!AP316</f>
        <v>2</v>
      </c>
      <c r="H316">
        <f>IF(ISNUMBER(卡牌总表!H316),IF(AND(卡牌总表!H316=0,卡牌总表!V316=0,卡牌总表!AK316="none"),0.4,IF(卡牌总表!AK316="exhaust",MAX(卡牌总表!H316-卡牌总表!V316,0.4),IF(卡牌总表!AK316="ethereal",MAX(卡牌总表!H316-卡牌总表!V316,0.4),MAX(卡牌总表!H316-卡牌总表!V316,0.4)))),IF(OR(卡牌总表!H316="X",卡牌总表!H316="∞"),0.4,0.4))</f>
        <v>2</v>
      </c>
      <c r="I316">
        <f>卡牌总表!M316*卡牌总表!O316*参数!$B$5*IF(AND(卡牌总表!F316="能力",卡牌总表!AL316="能力持续"),参数!$B$2,1)+卡牌总表!P316*参数!$B$6*IF(AND(卡牌总表!F316="能力",卡牌总表!AL316="能力持续"),参数!$B$2,1)+卡牌总表!R316*参数!$B$7*IF(AND(卡牌总表!F316="能力",卡牌总表!AL316="能力持续"),参数!$B$2,1)+卡牌总表!V316*参数!$B$8+IF(卡牌总表!X316&lt;0,卡牌总表!X316*参数!$B$13,卡牌总表!X316*参数!$B$39)+IF(卡牌总表!AE316&lt;0,卡牌总表!AE316*参数!$B$13,卡牌总表!AE316*参数!$B$12)*参数!$B$2+卡牌总表!AQ316*参数!$B$15+卡牌总表!AB316*参数!$B$11+卡牌总表!AF316*参数!$B$40*参数!$B$2+卡牌总表!AG316*参数!$B$44*参数!$B$2+卡牌总表!AH316*参数!$B$6*参数!$B$2+卡牌总表!AI316*参数!$B$39*参数!$B$2+卡牌总表!AJ316*参数!$B$6*参数!$B$2+卡牌总表!Z316*参数!$B$13-卡牌总表!T316*参数!$B$14-卡牌总表!AD316*参数!$B$13+IF(ISNUMBER(卡牌总表!AU316),卡牌总表!AU316*参数!$B$38,0)-卡牌总表!AV316*参数!$B$41-卡牌总表!AW316*参数!$B$14</f>
        <v>0</v>
      </c>
      <c r="J316">
        <f>IF(AND(卡牌总表!F316="能力",卡牌总表!AL316="能力持续"),(参数!$B$2-1)*参数!$B$3,0)</f>
        <v>3.5999999999999996</v>
      </c>
      <c r="K316">
        <f t="shared" si="13"/>
        <v>3.5999999999999996</v>
      </c>
      <c r="L316">
        <f>卡牌总表!N316*卡牌总表!O316*参数!$B$5*IF(AND(卡牌总表!F316="能力",卡牌总表!AL316="能力持续"),参数!$B$2,1)+卡牌总表!Q316*参数!$B$6*IF(AND(卡牌总表!F316="能力",卡牌总表!AL316="能力持续"),参数!$B$2,1)+卡牌总表!S316*参数!$B$7*IF(AND(卡牌总表!F316="能力",卡牌总表!AL316="能力持续"),参数!$B$2,1)+卡牌总表!W316*参数!$B$8+IF(卡牌总表!Y316&lt;0,卡牌总表!Y316*参数!$B$13,卡牌总表!Y316*参数!$B$39)+IF(卡牌总表!AE316&lt;0,卡牌总表!AE316*参数!$B$13,卡牌总表!AE316*参数!$B$12)*参数!$B$2+卡牌总表!AR316*参数!$B$15+卡牌总表!AC316*参数!$B$11+卡牌总表!AF316*参数!$B$40*参数!$B$2+卡牌总表!AG316*参数!$B$44*参数!$B$2+卡牌总表!AH316*参数!$B$6*参数!$B$2+卡牌总表!AI316*参数!$B$39*参数!$B$2+卡牌总表!AJ316*参数!$B$6*参数!$B$2+卡牌总表!AA316*参数!$B$13-卡牌总表!U316*参数!$B$14-卡牌总表!AD316*参数!$B$13+IF(ISNUMBER(卡牌总表!AU316),卡牌总表!AU316*参数!$B$38,0)-卡牌总表!AV316*参数!$B$41-卡牌总表!AW316*参数!$B$14</f>
        <v>0</v>
      </c>
      <c r="M316">
        <f>IF(AND(卡牌总表!F316="能力",卡牌总表!AL316="能力持续"),参数!$B$2*参数!$B$3,0)</f>
        <v>4.8</v>
      </c>
      <c r="N316">
        <f t="shared" si="14"/>
        <v>4.8</v>
      </c>
      <c r="O316">
        <f>IFERROR(MAX(IF(K316 &gt; 参数!$B$17,参数!$B$17+SQRT(K316-参数!$B$17)*参数!$B$18,K316)-MAX(G316,0)*参数!$B$10,0)/MAX(G316,0.4),0)</f>
        <v>0</v>
      </c>
      <c r="P316">
        <f>IFERROR(MAX(IF(N316 &gt; 参数!$B$17,参数!$B$17+SQRT(N316-参数!$B$17)*参数!$B$18,N316)-MAX(H316,0)*参数!$B$10,0)/MAX(H316,0.4),0)</f>
        <v>0</v>
      </c>
      <c r="Q316">
        <f>卡牌总表!AO316</f>
        <v>0</v>
      </c>
    </row>
    <row r="317" spans="1:17" x14ac:dyDescent="0.3">
      <c r="A317">
        <f t="shared" si="12"/>
        <v>316</v>
      </c>
      <c r="B317" t="str">
        <f>卡牌总表!B317</f>
        <v>regent_spoils_of_battle</v>
      </c>
      <c r="C317" t="str">
        <f>卡牌总表!D317</f>
        <v>战利品</v>
      </c>
      <c r="D317" t="str">
        <f>卡牌总表!F317</f>
        <v>技能</v>
      </c>
      <c r="E317">
        <f>卡牌总表!AL317</f>
        <v>0</v>
      </c>
      <c r="F317">
        <f>卡牌总表!AN317</f>
        <v>0</v>
      </c>
      <c r="G317">
        <f>卡牌总表!AP317</f>
        <v>1</v>
      </c>
      <c r="H317">
        <f>IF(ISNUMBER(卡牌总表!H317),IF(AND(卡牌总表!H317=0,卡牌总表!V317=0,卡牌总表!AK317="none"),0.4,IF(卡牌总表!AK317="exhaust",MAX(卡牌总表!H317-卡牌总表!V317,0.4),IF(卡牌总表!AK317="ethereal",MAX(卡牌总表!H317-卡牌总表!V317,0.4),MAX(卡牌总表!H317-卡牌总表!V317,0.4)))),IF(OR(卡牌总表!H317="X",卡牌总表!H317="∞"),0.4,0.4))</f>
        <v>1</v>
      </c>
      <c r="I317">
        <f>卡牌总表!M317*卡牌总表!O317*参数!$B$5*IF(AND(卡牌总表!F317="能力",卡牌总表!AL317="能力持续"),参数!$B$2,1)+卡牌总表!P317*参数!$B$6*IF(AND(卡牌总表!F317="能力",卡牌总表!AL317="能力持续"),参数!$B$2,1)+卡牌总表!R317*参数!$B$7*IF(AND(卡牌总表!F317="能力",卡牌总表!AL317="能力持续"),参数!$B$2,1)+卡牌总表!V317*参数!$B$8+IF(卡牌总表!X317&lt;0,卡牌总表!X317*参数!$B$13,卡牌总表!X317*参数!$B$39)+IF(卡牌总表!AE317&lt;0,卡牌总表!AE317*参数!$B$13,卡牌总表!AE317*参数!$B$12)*参数!$B$2+卡牌总表!AQ317*参数!$B$15+卡牌总表!AB317*参数!$B$11+卡牌总表!AF317*参数!$B$40*参数!$B$2+卡牌总表!AG317*参数!$B$44*参数!$B$2+卡牌总表!AH317*参数!$B$6*参数!$B$2+卡牌总表!AI317*参数!$B$39*参数!$B$2+卡牌总表!AJ317*参数!$B$6*参数!$B$2+卡牌总表!Z317*参数!$B$13-卡牌总表!T317*参数!$B$14-卡牌总表!AD317*参数!$B$13+IF(ISNUMBER(卡牌总表!AU317),卡牌总表!AU317*参数!$B$38,0)-卡牌总表!AV317*参数!$B$41-卡牌总表!AW317*参数!$B$14</f>
        <v>1.4</v>
      </c>
      <c r="J317">
        <f>IF(AND(卡牌总表!F317="能力",卡牌总表!AL317="能力持续"),(参数!$B$2-1)*参数!$B$3,0)</f>
        <v>0</v>
      </c>
      <c r="K317">
        <f t="shared" si="13"/>
        <v>1.4</v>
      </c>
      <c r="L317">
        <f>卡牌总表!N317*卡牌总表!O317*参数!$B$5*IF(AND(卡牌总表!F317="能力",卡牌总表!AL317="能力持续"),参数!$B$2,1)+卡牌总表!Q317*参数!$B$6*IF(AND(卡牌总表!F317="能力",卡牌总表!AL317="能力持续"),参数!$B$2,1)+卡牌总表!S317*参数!$B$7*IF(AND(卡牌总表!F317="能力",卡牌总表!AL317="能力持续"),参数!$B$2,1)+卡牌总表!W317*参数!$B$8+IF(卡牌总表!Y317&lt;0,卡牌总表!Y317*参数!$B$13,卡牌总表!Y317*参数!$B$39)+IF(卡牌总表!AE317&lt;0,卡牌总表!AE317*参数!$B$13,卡牌总表!AE317*参数!$B$12)*参数!$B$2+卡牌总表!AR317*参数!$B$15+卡牌总表!AC317*参数!$B$11+卡牌总表!AF317*参数!$B$40*参数!$B$2+卡牌总表!AG317*参数!$B$44*参数!$B$2+卡牌总表!AH317*参数!$B$6*参数!$B$2+卡牌总表!AI317*参数!$B$39*参数!$B$2+卡牌总表!AJ317*参数!$B$6*参数!$B$2+卡牌总表!AA317*参数!$B$13-卡牌总表!U317*参数!$B$14-卡牌总表!AD317*参数!$B$13+IF(ISNUMBER(卡牌总表!AU317),卡牌总表!AU317*参数!$B$38,0)-卡牌总表!AV317*参数!$B$41-卡牌总表!AW317*参数!$B$14</f>
        <v>1.4</v>
      </c>
      <c r="M317">
        <f>IF(AND(卡牌总表!F317="能力",卡牌总表!AL317="能力持续"),参数!$B$2*参数!$B$3,0)</f>
        <v>0</v>
      </c>
      <c r="N317">
        <f t="shared" si="14"/>
        <v>1.4</v>
      </c>
      <c r="O317">
        <f>IFERROR(MAX(IF(K317 &gt; 参数!$B$17,参数!$B$17+SQRT(K317-参数!$B$17)*参数!$B$18,K317)-MAX(G317,0)*参数!$B$10,0)/MAX(G317,0.4),0)</f>
        <v>0</v>
      </c>
      <c r="P317">
        <f>IFERROR(MAX(IF(N317 &gt; 参数!$B$17,参数!$B$17+SQRT(N317-参数!$B$17)*参数!$B$18,N317)-MAX(H317,0)*参数!$B$10,0)/MAX(H317,0.4),0)</f>
        <v>0</v>
      </c>
      <c r="Q317">
        <f>卡牌总表!AO317</f>
        <v>0</v>
      </c>
    </row>
    <row r="318" spans="1:17" x14ac:dyDescent="0.3">
      <c r="A318">
        <f t="shared" si="12"/>
        <v>317</v>
      </c>
      <c r="B318" t="str">
        <f>卡牌总表!B318</f>
        <v>regent_stardust</v>
      </c>
      <c r="C318" t="str">
        <f>卡牌总表!D318</f>
        <v>星尘</v>
      </c>
      <c r="D318" t="str">
        <f>卡牌总表!F318</f>
        <v>攻击</v>
      </c>
      <c r="E318">
        <f>卡牌总表!AL318</f>
        <v>0</v>
      </c>
      <c r="F318">
        <f>卡牌总表!AN318</f>
        <v>0</v>
      </c>
      <c r="G318">
        <f>卡牌总表!AP318</f>
        <v>0.4</v>
      </c>
      <c r="H318">
        <f>IF(ISNUMBER(卡牌总表!H318),IF(AND(卡牌总表!H318=0,卡牌总表!V318=0,卡牌总表!AK318="none"),0.4,IF(卡牌总表!AK318="exhaust",MAX(卡牌总表!H318-卡牌总表!V318,0.4),IF(卡牌总表!AK318="ethereal",MAX(卡牌总表!H318-卡牌总表!V318,0.4),MAX(卡牌总表!H318-卡牌总表!V318,0.4)))),IF(OR(卡牌总表!H318="X",卡牌总表!H318="∞"),0.4,0.4))</f>
        <v>0.4</v>
      </c>
      <c r="I318">
        <f>卡牌总表!M318*卡牌总表!O318*参数!$B$5*IF(AND(卡牌总表!F318="能力",卡牌总表!AL318="能力持续"),参数!$B$2,1)+卡牌总表!P318*参数!$B$6*IF(AND(卡牌总表!F318="能力",卡牌总表!AL318="能力持续"),参数!$B$2,1)+卡牌总表!R318*参数!$B$7*IF(AND(卡牌总表!F318="能力",卡牌总表!AL318="能力持续"),参数!$B$2,1)+卡牌总表!V318*参数!$B$8+IF(卡牌总表!X318&lt;0,卡牌总表!X318*参数!$B$13,卡牌总表!X318*参数!$B$39)+IF(卡牌总表!AE318&lt;0,卡牌总表!AE318*参数!$B$13,卡牌总表!AE318*参数!$B$12)*参数!$B$2+卡牌总表!AQ318*参数!$B$15+卡牌总表!AB318*参数!$B$11+卡牌总表!AF318*参数!$B$40*参数!$B$2+卡牌总表!AG318*参数!$B$44*参数!$B$2+卡牌总表!AH318*参数!$B$6*参数!$B$2+卡牌总表!AI318*参数!$B$39*参数!$B$2+卡牌总表!AJ318*参数!$B$6*参数!$B$2+卡牌总表!Z318*参数!$B$13-卡牌总表!T318*参数!$B$14-卡牌总表!AD318*参数!$B$13+IF(ISNUMBER(卡牌总表!AU318),卡牌总表!AU318*参数!$B$38,0)-卡牌总表!AV318*参数!$B$41-卡牌总表!AW318*参数!$B$14</f>
        <v>10</v>
      </c>
      <c r="J318">
        <f>IF(AND(卡牌总表!F318="能力",卡牌总表!AL318="能力持续"),(参数!$B$2-1)*参数!$B$3,0)</f>
        <v>0</v>
      </c>
      <c r="K318">
        <f t="shared" si="13"/>
        <v>10</v>
      </c>
      <c r="L318">
        <f>卡牌总表!N318*卡牌总表!O318*参数!$B$5*IF(AND(卡牌总表!F318="能力",卡牌总表!AL318="能力持续"),参数!$B$2,1)+卡牌总表!Q318*参数!$B$6*IF(AND(卡牌总表!F318="能力",卡牌总表!AL318="能力持续"),参数!$B$2,1)+卡牌总表!S318*参数!$B$7*IF(AND(卡牌总表!F318="能力",卡牌总表!AL318="能力持续"),参数!$B$2,1)+卡牌总表!W318*参数!$B$8+IF(卡牌总表!Y318&lt;0,卡牌总表!Y318*参数!$B$13,卡牌总表!Y318*参数!$B$39)+IF(卡牌总表!AE318&lt;0,卡牌总表!AE318*参数!$B$13,卡牌总表!AE318*参数!$B$12)*参数!$B$2+卡牌总表!AR318*参数!$B$15+卡牌总表!AC318*参数!$B$11+卡牌总表!AF318*参数!$B$40*参数!$B$2+卡牌总表!AG318*参数!$B$44*参数!$B$2+卡牌总表!AH318*参数!$B$6*参数!$B$2+卡牌总表!AI318*参数!$B$39*参数!$B$2+卡牌总表!AJ318*参数!$B$6*参数!$B$2+卡牌总表!AA318*参数!$B$13-卡牌总表!U318*参数!$B$14-卡牌总表!AD318*参数!$B$13+IF(ISNUMBER(卡牌总表!AU318),卡牌总表!AU318*参数!$B$38,0)-卡牌总表!AV318*参数!$B$41-卡牌总表!AW318*参数!$B$14</f>
        <v>14</v>
      </c>
      <c r="M318">
        <f>IF(AND(卡牌总表!F318="能力",卡牌总表!AL318="能力持续"),参数!$B$2*参数!$B$3,0)</f>
        <v>0</v>
      </c>
      <c r="N318">
        <f t="shared" si="14"/>
        <v>14</v>
      </c>
      <c r="O318">
        <f>IFERROR(MAX(IF(K318 &gt; 参数!$B$17,参数!$B$17+SQRT(K318-参数!$B$17)*参数!$B$18,K318)-MAX(G318,0)*参数!$B$10,0)/MAX(G318,0.4),0)</f>
        <v>22</v>
      </c>
      <c r="P318">
        <f>IFERROR(MAX(IF(N318 &gt; 参数!$B$17,参数!$B$17+SQRT(N318-参数!$B$17)*参数!$B$18,N318)-MAX(H318,0)*参数!$B$10,0)/MAX(H318,0.4),0)</f>
        <v>29.5</v>
      </c>
      <c r="Q318">
        <f>卡牌总表!AO318</f>
        <v>0</v>
      </c>
    </row>
    <row r="319" spans="1:17" x14ac:dyDescent="0.3">
      <c r="A319">
        <f t="shared" si="12"/>
        <v>318</v>
      </c>
      <c r="B319" t="str">
        <f>卡牌总表!B319</f>
        <v>regent_strike</v>
      </c>
      <c r="C319" t="str">
        <f>卡牌总表!D319</f>
        <v>打击</v>
      </c>
      <c r="D319" t="str">
        <f>卡牌总表!F319</f>
        <v>攻击</v>
      </c>
      <c r="E319">
        <f>卡牌总表!AL319</f>
        <v>0</v>
      </c>
      <c r="F319">
        <f>卡牌总表!AN319</f>
        <v>0</v>
      </c>
      <c r="G319">
        <f>卡牌总表!AP319</f>
        <v>1</v>
      </c>
      <c r="H319">
        <f>IF(ISNUMBER(卡牌总表!H319),IF(AND(卡牌总表!H319=0,卡牌总表!V319=0,卡牌总表!AK319="none"),0.4,IF(卡牌总表!AK319="exhaust",MAX(卡牌总表!H319-卡牌总表!V319,0.4),IF(卡牌总表!AK319="ethereal",MAX(卡牌总表!H319-卡牌总表!V319,0.4),MAX(卡牌总表!H319-卡牌总表!V319,0.4)))),IF(OR(卡牌总表!H319="X",卡牌总表!H319="∞"),0.4,0.4))</f>
        <v>1</v>
      </c>
      <c r="I319">
        <f>卡牌总表!M319*卡牌总表!O319*参数!$B$5*IF(AND(卡牌总表!F319="能力",卡牌总表!AL319="能力持续"),参数!$B$2,1)+卡牌总表!P319*参数!$B$6*IF(AND(卡牌总表!F319="能力",卡牌总表!AL319="能力持续"),参数!$B$2,1)+卡牌总表!R319*参数!$B$7*IF(AND(卡牌总表!F319="能力",卡牌总表!AL319="能力持续"),参数!$B$2,1)+卡牌总表!V319*参数!$B$8+IF(卡牌总表!X319&lt;0,卡牌总表!X319*参数!$B$13,卡牌总表!X319*参数!$B$39)+IF(卡牌总表!AE319&lt;0,卡牌总表!AE319*参数!$B$13,卡牌总表!AE319*参数!$B$12)*参数!$B$2+卡牌总表!AQ319*参数!$B$15+卡牌总表!AB319*参数!$B$11+卡牌总表!AF319*参数!$B$40*参数!$B$2+卡牌总表!AG319*参数!$B$44*参数!$B$2+卡牌总表!AH319*参数!$B$6*参数!$B$2+卡牌总表!AI319*参数!$B$39*参数!$B$2+卡牌总表!AJ319*参数!$B$6*参数!$B$2+卡牌总表!Z319*参数!$B$13-卡牌总表!T319*参数!$B$14-卡牌总表!AD319*参数!$B$13+IF(ISNUMBER(卡牌总表!AU319),卡牌总表!AU319*参数!$B$38,0)-卡牌总表!AV319*参数!$B$41-卡牌总表!AW319*参数!$B$14</f>
        <v>6</v>
      </c>
      <c r="J319">
        <f>IF(AND(卡牌总表!F319="能力",卡牌总表!AL319="能力持续"),(参数!$B$2-1)*参数!$B$3,0)</f>
        <v>0</v>
      </c>
      <c r="K319">
        <f t="shared" si="13"/>
        <v>6</v>
      </c>
      <c r="L319">
        <f>卡牌总表!N319*卡牌总表!O319*参数!$B$5*IF(AND(卡牌总表!F319="能力",卡牌总表!AL319="能力持续"),参数!$B$2,1)+卡牌总表!Q319*参数!$B$6*IF(AND(卡牌总表!F319="能力",卡牌总表!AL319="能力持续"),参数!$B$2,1)+卡牌总表!S319*参数!$B$7*IF(AND(卡牌总表!F319="能力",卡牌总表!AL319="能力持续"),参数!$B$2,1)+卡牌总表!W319*参数!$B$8+IF(卡牌总表!Y319&lt;0,卡牌总表!Y319*参数!$B$13,卡牌总表!Y319*参数!$B$39)+IF(卡牌总表!AE319&lt;0,卡牌总表!AE319*参数!$B$13,卡牌总表!AE319*参数!$B$12)*参数!$B$2+卡牌总表!AR319*参数!$B$15+卡牌总表!AC319*参数!$B$11+卡牌总表!AF319*参数!$B$40*参数!$B$2+卡牌总表!AG319*参数!$B$44*参数!$B$2+卡牌总表!AH319*参数!$B$6*参数!$B$2+卡牌总表!AI319*参数!$B$39*参数!$B$2+卡牌总表!AJ319*参数!$B$6*参数!$B$2+卡牌总表!AA319*参数!$B$13-卡牌总表!U319*参数!$B$14-卡牌总表!AD319*参数!$B$13+IF(ISNUMBER(卡牌总表!AU319),卡牌总表!AU319*参数!$B$38,0)-卡牌总表!AV319*参数!$B$41-卡牌总表!AW319*参数!$B$14</f>
        <v>9</v>
      </c>
      <c r="M319">
        <f>IF(AND(卡牌总表!F319="能力",卡牌总表!AL319="能力持续"),参数!$B$2*参数!$B$3,0)</f>
        <v>0</v>
      </c>
      <c r="N319">
        <f t="shared" si="14"/>
        <v>9</v>
      </c>
      <c r="O319">
        <f>IFERROR(MAX(IF(K319 &gt; 参数!$B$17,参数!$B$17+SQRT(K319-参数!$B$17)*参数!$B$18,K319)-MAX(G319,0)*参数!$B$10,0)/MAX(G319,0.4),0)</f>
        <v>3</v>
      </c>
      <c r="P319">
        <f>IFERROR(MAX(IF(N319 &gt; 参数!$B$17,参数!$B$17+SQRT(N319-参数!$B$17)*参数!$B$18,N319)-MAX(H319,0)*参数!$B$10,0)/MAX(H319,0.4),0)</f>
        <v>6</v>
      </c>
      <c r="Q319">
        <f>卡牌总表!AO319</f>
        <v>0</v>
      </c>
    </row>
    <row r="320" spans="1:17" x14ac:dyDescent="0.3">
      <c r="A320">
        <f t="shared" si="12"/>
        <v>319</v>
      </c>
      <c r="B320" t="str">
        <f>卡牌总表!B320</f>
        <v>regent_summon_forth</v>
      </c>
      <c r="C320" t="str">
        <f>卡牌总表!D320</f>
        <v>征召上前</v>
      </c>
      <c r="D320" t="str">
        <f>卡牌总表!F320</f>
        <v>技能</v>
      </c>
      <c r="E320">
        <f>卡牌总表!AL320</f>
        <v>0</v>
      </c>
      <c r="F320">
        <f>卡牌总表!AN320</f>
        <v>0</v>
      </c>
      <c r="G320">
        <f>卡牌总表!AP320</f>
        <v>1</v>
      </c>
      <c r="H320">
        <f>IF(ISNUMBER(卡牌总表!H320),IF(AND(卡牌总表!H320=0,卡牌总表!V320=0,卡牌总表!AK320="none"),0.4,IF(卡牌总表!AK320="exhaust",MAX(卡牌总表!H320-卡牌总表!V320,0.4),IF(卡牌总表!AK320="ethereal",MAX(卡牌总表!H320-卡牌总表!V320,0.4),MAX(卡牌总表!H320-卡牌总表!V320,0.4)))),IF(OR(卡牌总表!H320="X",卡牌总表!H320="∞"),0.4,0.4))</f>
        <v>1</v>
      </c>
      <c r="I320">
        <f>卡牌总表!M320*卡牌总表!O320*参数!$B$5*IF(AND(卡牌总表!F320="能力",卡牌总表!AL320="能力持续"),参数!$B$2,1)+卡牌总表!P320*参数!$B$6*IF(AND(卡牌总表!F320="能力",卡牌总表!AL320="能力持续"),参数!$B$2,1)+卡牌总表!R320*参数!$B$7*IF(AND(卡牌总表!F320="能力",卡牌总表!AL320="能力持续"),参数!$B$2,1)+卡牌总表!V320*参数!$B$8+IF(卡牌总表!X320&lt;0,卡牌总表!X320*参数!$B$13,卡牌总表!X320*参数!$B$39)+IF(卡牌总表!AE320&lt;0,卡牌总表!AE320*参数!$B$13,卡牌总表!AE320*参数!$B$12)*参数!$B$2+卡牌总表!AQ320*参数!$B$15+卡牌总表!AB320*参数!$B$11+卡牌总表!AF320*参数!$B$40*参数!$B$2+卡牌总表!AG320*参数!$B$44*参数!$B$2+卡牌总表!AH320*参数!$B$6*参数!$B$2+卡牌总表!AI320*参数!$B$39*参数!$B$2+卡牌总表!AJ320*参数!$B$6*参数!$B$2+卡牌总表!Z320*参数!$B$13-卡牌总表!T320*参数!$B$14-卡牌总表!AD320*参数!$B$13+IF(ISNUMBER(卡牌总表!AU320),卡牌总表!AU320*参数!$B$38,0)-卡牌总表!AV320*参数!$B$41-卡牌总表!AW320*参数!$B$14</f>
        <v>19.200000000000003</v>
      </c>
      <c r="J320">
        <f>IF(AND(卡牌总表!F320="能力",卡牌总表!AL320="能力持续"),(参数!$B$2-1)*参数!$B$3,0)</f>
        <v>0</v>
      </c>
      <c r="K320">
        <f t="shared" si="13"/>
        <v>19.200000000000003</v>
      </c>
      <c r="L320">
        <f>卡牌总表!N320*卡牌总表!O320*参数!$B$5*IF(AND(卡牌总表!F320="能力",卡牌总表!AL320="能力持续"),参数!$B$2,1)+卡牌总表!Q320*参数!$B$6*IF(AND(卡牌总表!F320="能力",卡牌总表!AL320="能力持续"),参数!$B$2,1)+卡牌总表!S320*参数!$B$7*IF(AND(卡牌总表!F320="能力",卡牌总表!AL320="能力持续"),参数!$B$2,1)+卡牌总表!W320*参数!$B$8+IF(卡牌总表!Y320&lt;0,卡牌总表!Y320*参数!$B$13,卡牌总表!Y320*参数!$B$39)+IF(卡牌总表!AE320&lt;0,卡牌总表!AE320*参数!$B$13,卡牌总表!AE320*参数!$B$12)*参数!$B$2+卡牌总表!AR320*参数!$B$15+卡牌总表!AC320*参数!$B$11+卡牌总表!AF320*参数!$B$40*参数!$B$2+卡牌总表!AG320*参数!$B$44*参数!$B$2+卡牌总表!AH320*参数!$B$6*参数!$B$2+卡牌总表!AI320*参数!$B$39*参数!$B$2+卡牌总表!AJ320*参数!$B$6*参数!$B$2+卡牌总表!AA320*参数!$B$13-卡牌总表!U320*参数!$B$14-卡牌总表!AD320*参数!$B$13+IF(ISNUMBER(卡牌总表!AU320),卡牌总表!AU320*参数!$B$38,0)-卡牌总表!AV320*参数!$B$41-卡牌总表!AW320*参数!$B$14</f>
        <v>0</v>
      </c>
      <c r="M320">
        <f>IF(AND(卡牌总表!F320="能力",卡牌总表!AL320="能力持续"),参数!$B$2*参数!$B$3,0)</f>
        <v>0</v>
      </c>
      <c r="N320">
        <f t="shared" si="14"/>
        <v>0</v>
      </c>
      <c r="O320">
        <f>IFERROR(MAX(IF(K320 &gt; 参数!$B$17,参数!$B$17+SQRT(K320-参数!$B$17)*参数!$B$18,K320)-MAX(G320,0)*参数!$B$10,0)/MAX(G320,0.4),0)</f>
        <v>11.549725266430931</v>
      </c>
      <c r="P320">
        <f>IFERROR(MAX(IF(N320 &gt; 参数!$B$17,参数!$B$17+SQRT(N320-参数!$B$17)*参数!$B$18,N320)-MAX(H320,0)*参数!$B$10,0)/MAX(H320,0.4),0)</f>
        <v>0</v>
      </c>
      <c r="Q320">
        <f>卡牌总表!AO320</f>
        <v>0</v>
      </c>
    </row>
    <row r="321" spans="1:17" x14ac:dyDescent="0.3">
      <c r="A321">
        <f t="shared" si="12"/>
        <v>320</v>
      </c>
      <c r="B321" t="str">
        <f>卡牌总表!B321</f>
        <v>regent_supermassive</v>
      </c>
      <c r="C321" t="str">
        <f>卡牌总表!D321</f>
        <v>超质量体</v>
      </c>
      <c r="D321" t="str">
        <f>卡牌总表!F321</f>
        <v>攻击</v>
      </c>
      <c r="E321">
        <f>卡牌总表!AL321</f>
        <v>0</v>
      </c>
      <c r="F321">
        <f>卡牌总表!AN321</f>
        <v>0</v>
      </c>
      <c r="G321">
        <f>卡牌总表!AP321</f>
        <v>1</v>
      </c>
      <c r="H321">
        <f>IF(ISNUMBER(卡牌总表!H321),IF(AND(卡牌总表!H321=0,卡牌总表!V321=0,卡牌总表!AK321="none"),0.4,IF(卡牌总表!AK321="exhaust",MAX(卡牌总表!H321-卡牌总表!V321,0.4),IF(卡牌总表!AK321="ethereal",MAX(卡牌总表!H321-卡牌总表!V321,0.4),MAX(卡牌总表!H321-卡牌总表!V321,0.4)))),IF(OR(卡牌总表!H321="X",卡牌总表!H321="∞"),0.4,0.4))</f>
        <v>1</v>
      </c>
      <c r="I321">
        <f>卡牌总表!M321*卡牌总表!O321*参数!$B$5*IF(AND(卡牌总表!F321="能力",卡牌总表!AL321="能力持续"),参数!$B$2,1)+卡牌总表!P321*参数!$B$6*IF(AND(卡牌总表!F321="能力",卡牌总表!AL321="能力持续"),参数!$B$2,1)+卡牌总表!R321*参数!$B$7*IF(AND(卡牌总表!F321="能力",卡牌总表!AL321="能力持续"),参数!$B$2,1)+卡牌总表!V321*参数!$B$8+IF(卡牌总表!X321&lt;0,卡牌总表!X321*参数!$B$13,卡牌总表!X321*参数!$B$39)+IF(卡牌总表!AE321&lt;0,卡牌总表!AE321*参数!$B$13,卡牌总表!AE321*参数!$B$12)*参数!$B$2+卡牌总表!AQ321*参数!$B$15+卡牌总表!AB321*参数!$B$11+卡牌总表!AF321*参数!$B$40*参数!$B$2+卡牌总表!AG321*参数!$B$44*参数!$B$2+卡牌总表!AH321*参数!$B$6*参数!$B$2+卡牌总表!AI321*参数!$B$39*参数!$B$2+卡牌总表!AJ321*参数!$B$6*参数!$B$2+卡牌总表!Z321*参数!$B$13-卡牌总表!T321*参数!$B$14-卡牌总表!AD321*参数!$B$13+IF(ISNUMBER(卡牌总表!AU321),卡牌总表!AU321*参数!$B$38,0)-卡牌总表!AV321*参数!$B$41-卡牌总表!AW321*参数!$B$14</f>
        <v>12.5</v>
      </c>
      <c r="J321">
        <f>IF(AND(卡牌总表!F321="能力",卡牌总表!AL321="能力持续"),(参数!$B$2-1)*参数!$B$3,0)</f>
        <v>0</v>
      </c>
      <c r="K321">
        <f t="shared" si="13"/>
        <v>12.5</v>
      </c>
      <c r="L321">
        <f>卡牌总表!N321*卡牌总表!O321*参数!$B$5*IF(AND(卡牌总表!F321="能力",卡牌总表!AL321="能力持续"),参数!$B$2,1)+卡牌总表!Q321*参数!$B$6*IF(AND(卡牌总表!F321="能力",卡牌总表!AL321="能力持续"),参数!$B$2,1)+卡牌总表!S321*参数!$B$7*IF(AND(卡牌总表!F321="能力",卡牌总表!AL321="能力持续"),参数!$B$2,1)+卡牌总表!W321*参数!$B$8+IF(卡牌总表!Y321&lt;0,卡牌总表!Y321*参数!$B$13,卡牌总表!Y321*参数!$B$39)+IF(卡牌总表!AE321&lt;0,卡牌总表!AE321*参数!$B$13,卡牌总表!AE321*参数!$B$12)*参数!$B$2+卡牌总表!AR321*参数!$B$15+卡牌总表!AC321*参数!$B$11+卡牌总表!AF321*参数!$B$40*参数!$B$2+卡牌总表!AG321*参数!$B$44*参数!$B$2+卡牌总表!AH321*参数!$B$6*参数!$B$2+卡牌总表!AI321*参数!$B$39*参数!$B$2+卡牌总表!AJ321*参数!$B$6*参数!$B$2+卡牌总表!AA321*参数!$B$13-卡牌总表!U321*参数!$B$14-卡牌总表!AD321*参数!$B$13+IF(ISNUMBER(卡牌总表!AU321),卡牌总表!AU321*参数!$B$38,0)-卡牌总表!AV321*参数!$B$41-卡牌总表!AW321*参数!$B$14</f>
        <v>15</v>
      </c>
      <c r="M321">
        <f>IF(AND(卡牌总表!F321="能力",卡牌总表!AL321="能力持续"),参数!$B$2*参数!$B$3,0)</f>
        <v>0</v>
      </c>
      <c r="N321">
        <f t="shared" si="14"/>
        <v>15</v>
      </c>
      <c r="O321">
        <f>IFERROR(MAX(IF(K321 &gt; 参数!$B$17,参数!$B$17+SQRT(K321-参数!$B$17)*参数!$B$18,K321)-MAX(G321,0)*参数!$B$10,0)/MAX(G321,0.4),0)</f>
        <v>9.3717082451262854</v>
      </c>
      <c r="P321">
        <f>IFERROR(MAX(IF(N321 &gt; 参数!$B$17,参数!$B$17+SQRT(N321-参数!$B$17)*参数!$B$18,N321)-MAX(H321,0)*参数!$B$10,0)/MAX(H321,0.4),0)</f>
        <v>10.354101966249685</v>
      </c>
      <c r="Q321">
        <f>卡牌总表!AO321</f>
        <v>0</v>
      </c>
    </row>
    <row r="322" spans="1:17" x14ac:dyDescent="0.3">
      <c r="A322">
        <f t="shared" ref="A322:A385" si="15">ROW()-1</f>
        <v>321</v>
      </c>
      <c r="B322" t="str">
        <f>卡牌总表!B322</f>
        <v>necrobinder_afterlife</v>
      </c>
      <c r="C322" t="str">
        <f>卡牌总表!D322</f>
        <v>来生</v>
      </c>
      <c r="D322" t="str">
        <f>卡牌总表!F322</f>
        <v>技能</v>
      </c>
      <c r="E322">
        <f>卡牌总表!AL322</f>
        <v>0</v>
      </c>
      <c r="F322">
        <f>卡牌总表!AN322</f>
        <v>0</v>
      </c>
      <c r="G322">
        <f>卡牌总表!AP322</f>
        <v>1</v>
      </c>
      <c r="H322">
        <f>IF(ISNUMBER(卡牌总表!H322),IF(AND(卡牌总表!H322=0,卡牌总表!V322=0,卡牌总表!AK322="none"),0.4,IF(卡牌总表!AK322="exhaust",MAX(卡牌总表!H322-卡牌总表!V322,0.4),IF(卡牌总表!AK322="ethereal",MAX(卡牌总表!H322-卡牌总表!V322,0.4),MAX(卡牌总表!H322-卡牌总表!V322,0.4)))),IF(OR(卡牌总表!H322="X",卡牌总表!H322="∞"),0.4,0.4))</f>
        <v>1</v>
      </c>
      <c r="I322">
        <f>卡牌总表!M322*卡牌总表!O322*参数!$B$5*IF(AND(卡牌总表!F322="能力",卡牌总表!AL322="能力持续"),参数!$B$2,1)+卡牌总表!P322*参数!$B$6*IF(AND(卡牌总表!F322="能力",卡牌总表!AL322="能力持续"),参数!$B$2,1)+卡牌总表!R322*参数!$B$7*IF(AND(卡牌总表!F322="能力",卡牌总表!AL322="能力持续"),参数!$B$2,1)+卡牌总表!V322*参数!$B$8+IF(卡牌总表!X322&lt;0,卡牌总表!X322*参数!$B$13,卡牌总表!X322*参数!$B$39)+IF(卡牌总表!AE322&lt;0,卡牌总表!AE322*参数!$B$13,卡牌总表!AE322*参数!$B$12)*参数!$B$2+卡牌总表!AQ322*参数!$B$15+卡牌总表!AB322*参数!$B$11+卡牌总表!AF322*参数!$B$40*参数!$B$2+卡牌总表!AG322*参数!$B$44*参数!$B$2+卡牌总表!AH322*参数!$B$6*参数!$B$2+卡牌总表!AI322*参数!$B$39*参数!$B$2+卡牌总表!AJ322*参数!$B$6*参数!$B$2+卡牌总表!Z322*参数!$B$13-卡牌总表!T322*参数!$B$14-卡牌总表!AD322*参数!$B$13+IF(ISNUMBER(卡牌总表!AU322),卡牌总表!AU322*参数!$B$38,0)-卡牌总表!AV322*参数!$B$41-卡牌总表!AW322*参数!$B$14</f>
        <v>6</v>
      </c>
      <c r="J322">
        <f>IF(AND(卡牌总表!F322="能力",卡牌总表!AL322="能力持续"),(参数!$B$2-1)*参数!$B$3,0)</f>
        <v>0</v>
      </c>
      <c r="K322">
        <f t="shared" ref="K322:K385" si="16">I322+J322</f>
        <v>6</v>
      </c>
      <c r="L322">
        <f>卡牌总表!N322*卡牌总表!O322*参数!$B$5*IF(AND(卡牌总表!F322="能力",卡牌总表!AL322="能力持续"),参数!$B$2,1)+卡牌总表!Q322*参数!$B$6*IF(AND(卡牌总表!F322="能力",卡牌总表!AL322="能力持续"),参数!$B$2,1)+卡牌总表!S322*参数!$B$7*IF(AND(卡牌总表!F322="能力",卡牌总表!AL322="能力持续"),参数!$B$2,1)+卡牌总表!W322*参数!$B$8+IF(卡牌总表!Y322&lt;0,卡牌总表!Y322*参数!$B$13,卡牌总表!Y322*参数!$B$39)+IF(卡牌总表!AE322&lt;0,卡牌总表!AE322*参数!$B$13,卡牌总表!AE322*参数!$B$12)*参数!$B$2+卡牌总表!AR322*参数!$B$15+卡牌总表!AC322*参数!$B$11+卡牌总表!AF322*参数!$B$40*参数!$B$2+卡牌总表!AG322*参数!$B$44*参数!$B$2+卡牌总表!AH322*参数!$B$6*参数!$B$2+卡牌总表!AI322*参数!$B$39*参数!$B$2+卡牌总表!AJ322*参数!$B$6*参数!$B$2+卡牌总表!AA322*参数!$B$13-卡牌总表!U322*参数!$B$14-卡牌总表!AD322*参数!$B$13+IF(ISNUMBER(卡牌总表!AU322),卡牌总表!AU322*参数!$B$38,0)-卡牌总表!AV322*参数!$B$41-卡牌总表!AW322*参数!$B$14</f>
        <v>6</v>
      </c>
      <c r="M322">
        <f>IF(AND(卡牌总表!F322="能力",卡牌总表!AL322="能力持续"),参数!$B$2*参数!$B$3,0)</f>
        <v>0</v>
      </c>
      <c r="N322">
        <f t="shared" ref="N322:N385" si="17">L322+M322</f>
        <v>6</v>
      </c>
      <c r="O322">
        <f>IFERROR(MAX(IF(K322 &gt; 参数!$B$17,参数!$B$17+SQRT(K322-参数!$B$17)*参数!$B$18,K322)-MAX(G322,0)*参数!$B$10,0)/MAX(G322,0.4),0)</f>
        <v>3</v>
      </c>
      <c r="P322">
        <f>IFERROR(MAX(IF(N322 &gt; 参数!$B$17,参数!$B$17+SQRT(N322-参数!$B$17)*参数!$B$18,N322)-MAX(H322,0)*参数!$B$10,0)/MAX(H322,0.4),0)</f>
        <v>3</v>
      </c>
      <c r="Q322">
        <f>卡牌总表!AO322</f>
        <v>0</v>
      </c>
    </row>
    <row r="323" spans="1:17" x14ac:dyDescent="0.3">
      <c r="A323">
        <f t="shared" si="15"/>
        <v>322</v>
      </c>
      <c r="B323" t="str">
        <f>卡牌总表!B323</f>
        <v>necrobinder_banshee_s_cry</v>
      </c>
      <c r="C323" t="str">
        <f>卡牌总表!D323</f>
        <v>女妖之嚎</v>
      </c>
      <c r="D323" t="str">
        <f>卡牌总表!F323</f>
        <v>攻击</v>
      </c>
      <c r="E323">
        <f>卡牌总表!AL323</f>
        <v>0</v>
      </c>
      <c r="F323" t="str">
        <f>卡牌总表!AN323</f>
        <v>群体攻击</v>
      </c>
      <c r="G323">
        <f>卡牌总表!AP323</f>
        <v>9</v>
      </c>
      <c r="H323">
        <f>IF(ISNUMBER(卡牌总表!H323),IF(AND(卡牌总表!H323=0,卡牌总表!V323=0,卡牌总表!AK323="none"),0.4,IF(卡牌总表!AK323="exhaust",MAX(卡牌总表!H323-卡牌总表!V323,0.4),IF(卡牌总表!AK323="ethereal",MAX(卡牌总表!H323-卡牌总表!V323,0.4),MAX(卡牌总表!H323-卡牌总表!V323,0.4)))),IF(OR(卡牌总表!H323="X",卡牌总表!H323="∞"),0.4,0.4))</f>
        <v>9</v>
      </c>
      <c r="I323">
        <f>卡牌总表!M323*卡牌总表!O323*参数!$B$5*IF(AND(卡牌总表!F323="能力",卡牌总表!AL323="能力持续"),参数!$B$2,1)+卡牌总表!P323*参数!$B$6*IF(AND(卡牌总表!F323="能力",卡牌总表!AL323="能力持续"),参数!$B$2,1)+卡牌总表!R323*参数!$B$7*IF(AND(卡牌总表!F323="能力",卡牌总表!AL323="能力持续"),参数!$B$2,1)+卡牌总表!V323*参数!$B$8+IF(卡牌总表!X323&lt;0,卡牌总表!X323*参数!$B$13,卡牌总表!X323*参数!$B$39)+IF(卡牌总表!AE323&lt;0,卡牌总表!AE323*参数!$B$13,卡牌总表!AE323*参数!$B$12)*参数!$B$2+卡牌总表!AQ323*参数!$B$15+卡牌总表!AB323*参数!$B$11+卡牌总表!AF323*参数!$B$40*参数!$B$2+卡牌总表!AG323*参数!$B$44*参数!$B$2+卡牌总表!AH323*参数!$B$6*参数!$B$2+卡牌总表!AI323*参数!$B$39*参数!$B$2+卡牌总表!AJ323*参数!$B$6*参数!$B$2+卡牌总表!Z323*参数!$B$13-卡牌总表!T323*参数!$B$14-卡牌总表!AD323*参数!$B$13+IF(ISNUMBER(卡牌总表!AU323),卡牌总表!AU323*参数!$B$38,0)-卡牌总表!AV323*参数!$B$41-卡牌总表!AW323*参数!$B$14</f>
        <v>33</v>
      </c>
      <c r="J323">
        <f>IF(AND(卡牌总表!F323="能力",卡牌总表!AL323="能力持续"),(参数!$B$2-1)*参数!$B$3,0)</f>
        <v>0</v>
      </c>
      <c r="K323">
        <f t="shared" si="16"/>
        <v>33</v>
      </c>
      <c r="L323">
        <f>卡牌总表!N323*卡牌总表!O323*参数!$B$5*IF(AND(卡牌总表!F323="能力",卡牌总表!AL323="能力持续"),参数!$B$2,1)+卡牌总表!Q323*参数!$B$6*IF(AND(卡牌总表!F323="能力",卡牌总表!AL323="能力持续"),参数!$B$2,1)+卡牌总表!S323*参数!$B$7*IF(AND(卡牌总表!F323="能力",卡牌总表!AL323="能力持续"),参数!$B$2,1)+卡牌总表!W323*参数!$B$8+IF(卡牌总表!Y323&lt;0,卡牌总表!Y323*参数!$B$13,卡牌总表!Y323*参数!$B$39)+IF(卡牌总表!AE323&lt;0,卡牌总表!AE323*参数!$B$13,卡牌总表!AE323*参数!$B$12)*参数!$B$2+卡牌总表!AR323*参数!$B$15+卡牌总表!AC323*参数!$B$11+卡牌总表!AF323*参数!$B$40*参数!$B$2+卡牌总表!AG323*参数!$B$44*参数!$B$2+卡牌总表!AH323*参数!$B$6*参数!$B$2+卡牌总表!AI323*参数!$B$39*参数!$B$2+卡牌总表!AJ323*参数!$B$6*参数!$B$2+卡牌总表!AA323*参数!$B$13-卡牌总表!U323*参数!$B$14-卡牌总表!AD323*参数!$B$13+IF(ISNUMBER(卡牌总表!AU323),卡牌总表!AU323*参数!$B$38,0)-卡牌总表!AV323*参数!$B$41-卡牌总表!AW323*参数!$B$14</f>
        <v>33</v>
      </c>
      <c r="M323">
        <f>IF(AND(卡牌总表!F323="能力",卡牌总表!AL323="能力持续"),参数!$B$2*参数!$B$3,0)</f>
        <v>0</v>
      </c>
      <c r="N323">
        <f t="shared" si="17"/>
        <v>33</v>
      </c>
      <c r="O323">
        <f>IFERROR(MAX(IF(K323 &gt; 参数!$B$17,参数!$B$17+SQRT(K323-参数!$B$17)*参数!$B$18,K323)-MAX(G323,0)*参数!$B$10,0)/MAX(G323,0.4),0)</f>
        <v>0</v>
      </c>
      <c r="P323">
        <f>IFERROR(MAX(IF(N323 &gt; 参数!$B$17,参数!$B$17+SQRT(N323-参数!$B$17)*参数!$B$18,N323)-MAX(H323,0)*参数!$B$10,0)/MAX(H323,0.4),0)</f>
        <v>0</v>
      </c>
      <c r="Q323">
        <f>卡牌总表!AO323</f>
        <v>0</v>
      </c>
    </row>
    <row r="324" spans="1:17" x14ac:dyDescent="0.3">
      <c r="A324">
        <f t="shared" si="15"/>
        <v>323</v>
      </c>
      <c r="B324" t="str">
        <f>卡牌总表!B324</f>
        <v>necrobinder_blight_strike</v>
      </c>
      <c r="C324" t="str">
        <f>卡牌总表!D324</f>
        <v>荒疫打击</v>
      </c>
      <c r="D324" t="str">
        <f>卡牌总表!F324</f>
        <v>攻击</v>
      </c>
      <c r="E324">
        <f>卡牌总表!AL324</f>
        <v>0</v>
      </c>
      <c r="F324">
        <f>卡牌总表!AN324</f>
        <v>0</v>
      </c>
      <c r="G324">
        <f>卡牌总表!AP324</f>
        <v>1</v>
      </c>
      <c r="H324">
        <f>IF(ISNUMBER(卡牌总表!H324),IF(AND(卡牌总表!H324=0,卡牌总表!V324=0,卡牌总表!AK324="none"),0.4,IF(卡牌总表!AK324="exhaust",MAX(卡牌总表!H324-卡牌总表!V324,0.4),IF(卡牌总表!AK324="ethereal",MAX(卡牌总表!H324-卡牌总表!V324,0.4),MAX(卡牌总表!H324-卡牌总表!V324,0.4)))),IF(OR(卡牌总表!H324="X",卡牌总表!H324="∞"),0.4,0.4))</f>
        <v>1</v>
      </c>
      <c r="I324">
        <f>卡牌总表!M324*卡牌总表!O324*参数!$B$5*IF(AND(卡牌总表!F324="能力",卡牌总表!AL324="能力持续"),参数!$B$2,1)+卡牌总表!P324*参数!$B$6*IF(AND(卡牌总表!F324="能力",卡牌总表!AL324="能力持续"),参数!$B$2,1)+卡牌总表!R324*参数!$B$7*IF(AND(卡牌总表!F324="能力",卡牌总表!AL324="能力持续"),参数!$B$2,1)+卡牌总表!V324*参数!$B$8+IF(卡牌总表!X324&lt;0,卡牌总表!X324*参数!$B$13,卡牌总表!X324*参数!$B$39)+IF(卡牌总表!AE324&lt;0,卡牌总表!AE324*参数!$B$13,卡牌总表!AE324*参数!$B$12)*参数!$B$2+卡牌总表!AQ324*参数!$B$15+卡牌总表!AB324*参数!$B$11+卡牌总表!AF324*参数!$B$40*参数!$B$2+卡牌总表!AG324*参数!$B$44*参数!$B$2+卡牌总表!AH324*参数!$B$6*参数!$B$2+卡牌总表!AI324*参数!$B$39*参数!$B$2+卡牌总表!AJ324*参数!$B$6*参数!$B$2+卡牌总表!Z324*参数!$B$13-卡牌总表!T324*参数!$B$14-卡牌总表!AD324*参数!$B$13+IF(ISNUMBER(卡牌总表!AU324),卡牌总表!AU324*参数!$B$38,0)-卡牌总表!AV324*参数!$B$41-卡牌总表!AW324*参数!$B$14</f>
        <v>30.4</v>
      </c>
      <c r="J324">
        <f>IF(AND(卡牌总表!F324="能力",卡牌总表!AL324="能力持续"),(参数!$B$2-1)*参数!$B$3,0)</f>
        <v>0</v>
      </c>
      <c r="K324">
        <f t="shared" si="16"/>
        <v>30.4</v>
      </c>
      <c r="L324">
        <f>卡牌总表!N324*卡牌总表!O324*参数!$B$5*IF(AND(卡牌总表!F324="能力",卡牌总表!AL324="能力持续"),参数!$B$2,1)+卡牌总表!Q324*参数!$B$6*IF(AND(卡牌总表!F324="能力",卡牌总表!AL324="能力持续"),参数!$B$2,1)+卡牌总表!S324*参数!$B$7*IF(AND(卡牌总表!F324="能力",卡牌总表!AL324="能力持续"),参数!$B$2,1)+卡牌总表!W324*参数!$B$8+IF(卡牌总表!Y324&lt;0,卡牌总表!Y324*参数!$B$13,卡牌总表!Y324*参数!$B$39)+IF(卡牌总表!AE324&lt;0,卡牌总表!AE324*参数!$B$13,卡牌总表!AE324*参数!$B$12)*参数!$B$2+卡牌总表!AR324*参数!$B$15+卡牌总表!AC324*参数!$B$11+卡牌总表!AF324*参数!$B$40*参数!$B$2+卡牌总表!AG324*参数!$B$44*参数!$B$2+卡牌总表!AH324*参数!$B$6*参数!$B$2+卡牌总表!AI324*参数!$B$39*参数!$B$2+卡牌总表!AJ324*参数!$B$6*参数!$B$2+卡牌总表!AA324*参数!$B$13-卡牌总表!U324*参数!$B$14-卡牌总表!AD324*参数!$B$13+IF(ISNUMBER(卡牌总表!AU324),卡牌总表!AU324*参数!$B$38,0)-卡牌总表!AV324*参数!$B$41-卡牌总表!AW324*参数!$B$14</f>
        <v>32.4</v>
      </c>
      <c r="M324">
        <f>IF(AND(卡牌总表!F324="能力",卡牌总表!AL324="能力持续"),参数!$B$2*参数!$B$3,0)</f>
        <v>0</v>
      </c>
      <c r="N324">
        <f t="shared" si="17"/>
        <v>32.4</v>
      </c>
      <c r="O324">
        <f>IFERROR(MAX(IF(K324 &gt; 参数!$B$17,参数!$B$17+SQRT(K324-参数!$B$17)*参数!$B$18,K324)-MAX(G324,0)*参数!$B$10,0)/MAX(G324,0.4),0)</f>
        <v>13.77495387438173</v>
      </c>
      <c r="P324">
        <f>IFERROR(MAX(IF(N324 &gt; 参数!$B$17,参数!$B$17+SQRT(N324-参数!$B$17)*参数!$B$18,N324)-MAX(H324,0)*参数!$B$10,0)/MAX(H324,0.4),0)</f>
        <v>14.099295739719537</v>
      </c>
      <c r="Q324">
        <f>卡牌总表!AO324</f>
        <v>0</v>
      </c>
    </row>
    <row r="325" spans="1:17" x14ac:dyDescent="0.3">
      <c r="A325">
        <f t="shared" si="15"/>
        <v>324</v>
      </c>
      <c r="B325" t="str">
        <f>卡牌总表!B325</f>
        <v>necrobinder_bodyguard</v>
      </c>
      <c r="C325" t="str">
        <f>卡牌总表!D325</f>
        <v>护卫</v>
      </c>
      <c r="D325" t="str">
        <f>卡牌总表!F325</f>
        <v>技能</v>
      </c>
      <c r="E325">
        <f>卡牌总表!AL325</f>
        <v>0</v>
      </c>
      <c r="F325">
        <f>卡牌总表!AN325</f>
        <v>0</v>
      </c>
      <c r="G325">
        <f>卡牌总表!AP325</f>
        <v>1</v>
      </c>
      <c r="H325">
        <f>IF(ISNUMBER(卡牌总表!H325),IF(AND(卡牌总表!H325=0,卡牌总表!V325=0,卡牌总表!AK325="none"),0.4,IF(卡牌总表!AK325="exhaust",MAX(卡牌总表!H325-卡牌总表!V325,0.4),IF(卡牌总表!AK325="ethereal",MAX(卡牌总表!H325-卡牌总表!V325,0.4),MAX(卡牌总表!H325-卡牌总表!V325,0.4)))),IF(OR(卡牌总表!H325="X",卡牌总表!H325="∞"),0.4,0.4))</f>
        <v>1</v>
      </c>
      <c r="I325">
        <f>卡牌总表!M325*卡牌总表!O325*参数!$B$5*IF(AND(卡牌总表!F325="能力",卡牌总表!AL325="能力持续"),参数!$B$2,1)+卡牌总表!P325*参数!$B$6*IF(AND(卡牌总表!F325="能力",卡牌总表!AL325="能力持续"),参数!$B$2,1)+卡牌总表!R325*参数!$B$7*IF(AND(卡牌总表!F325="能力",卡牌总表!AL325="能力持续"),参数!$B$2,1)+卡牌总表!V325*参数!$B$8+IF(卡牌总表!X325&lt;0,卡牌总表!X325*参数!$B$13,卡牌总表!X325*参数!$B$39)+IF(卡牌总表!AE325&lt;0,卡牌总表!AE325*参数!$B$13,卡牌总表!AE325*参数!$B$12)*参数!$B$2+卡牌总表!AQ325*参数!$B$15+卡牌总表!AB325*参数!$B$11+卡牌总表!AF325*参数!$B$40*参数!$B$2+卡牌总表!AG325*参数!$B$44*参数!$B$2+卡牌总表!AH325*参数!$B$6*参数!$B$2+卡牌总表!AI325*参数!$B$39*参数!$B$2+卡牌总表!AJ325*参数!$B$6*参数!$B$2+卡牌总表!Z325*参数!$B$13-卡牌总表!T325*参数!$B$14-卡牌总表!AD325*参数!$B$13+IF(ISNUMBER(卡牌总表!AU325),卡牌总表!AU325*参数!$B$38,0)-卡牌总表!AV325*参数!$B$41-卡牌总表!AW325*参数!$B$14</f>
        <v>5</v>
      </c>
      <c r="J325">
        <f>IF(AND(卡牌总表!F325="能力",卡牌总表!AL325="能力持续"),(参数!$B$2-1)*参数!$B$3,0)</f>
        <v>0</v>
      </c>
      <c r="K325">
        <f t="shared" si="16"/>
        <v>5</v>
      </c>
      <c r="L325">
        <f>卡牌总表!N325*卡牌总表!O325*参数!$B$5*IF(AND(卡牌总表!F325="能力",卡牌总表!AL325="能力持续"),参数!$B$2,1)+卡牌总表!Q325*参数!$B$6*IF(AND(卡牌总表!F325="能力",卡牌总表!AL325="能力持续"),参数!$B$2,1)+卡牌总表!S325*参数!$B$7*IF(AND(卡牌总表!F325="能力",卡牌总表!AL325="能力持续"),参数!$B$2,1)+卡牌总表!W325*参数!$B$8+IF(卡牌总表!Y325&lt;0,卡牌总表!Y325*参数!$B$13,卡牌总表!Y325*参数!$B$39)+IF(卡牌总表!AE325&lt;0,卡牌总表!AE325*参数!$B$13,卡牌总表!AE325*参数!$B$12)*参数!$B$2+卡牌总表!AR325*参数!$B$15+卡牌总表!AC325*参数!$B$11+卡牌总表!AF325*参数!$B$40*参数!$B$2+卡牌总表!AG325*参数!$B$44*参数!$B$2+卡牌总表!AH325*参数!$B$6*参数!$B$2+卡牌总表!AI325*参数!$B$39*参数!$B$2+卡牌总表!AJ325*参数!$B$6*参数!$B$2+卡牌总表!AA325*参数!$B$13-卡牌总表!U325*参数!$B$14-卡牌总表!AD325*参数!$B$13+IF(ISNUMBER(卡牌总表!AU325),卡牌总表!AU325*参数!$B$38,0)-卡牌总表!AV325*参数!$B$41-卡牌总表!AW325*参数!$B$14</f>
        <v>5</v>
      </c>
      <c r="M325">
        <f>IF(AND(卡牌总表!F325="能力",卡牌总表!AL325="能力持续"),参数!$B$2*参数!$B$3,0)</f>
        <v>0</v>
      </c>
      <c r="N325">
        <f t="shared" si="17"/>
        <v>5</v>
      </c>
      <c r="O325">
        <f>IFERROR(MAX(IF(K325 &gt; 参数!$B$17,参数!$B$17+SQRT(K325-参数!$B$17)*参数!$B$18,K325)-MAX(G325,0)*参数!$B$10,0)/MAX(G325,0.4),0)</f>
        <v>2</v>
      </c>
      <c r="P325">
        <f>IFERROR(MAX(IF(N325 &gt; 参数!$B$17,参数!$B$17+SQRT(N325-参数!$B$17)*参数!$B$18,N325)-MAX(H325,0)*参数!$B$10,0)/MAX(H325,0.4),0)</f>
        <v>2</v>
      </c>
      <c r="Q325">
        <f>卡牌总表!AO325</f>
        <v>0</v>
      </c>
    </row>
    <row r="326" spans="1:17" x14ac:dyDescent="0.3">
      <c r="A326">
        <f t="shared" si="15"/>
        <v>325</v>
      </c>
      <c r="B326" t="str">
        <f>卡牌总表!B326</f>
        <v>necrobinder_bone_shards</v>
      </c>
      <c r="C326" t="str">
        <f>卡牌总表!D326</f>
        <v>碎骨</v>
      </c>
      <c r="D326" t="str">
        <f>卡牌总表!F326</f>
        <v>攻击</v>
      </c>
      <c r="E326">
        <f>卡牌总表!AL326</f>
        <v>0</v>
      </c>
      <c r="F326" t="str">
        <f>卡牌总表!AN326</f>
        <v>群体攻击</v>
      </c>
      <c r="G326">
        <f>卡牌总表!AP326</f>
        <v>1</v>
      </c>
      <c r="H326">
        <f>IF(ISNUMBER(卡牌总表!H326),IF(AND(卡牌总表!H326=0,卡牌总表!V326=0,卡牌总表!AK326="none"),0.4,IF(卡牌总表!AK326="exhaust",MAX(卡牌总表!H326-卡牌总表!V326,0.4),IF(卡牌总表!AK326="ethereal",MAX(卡牌总表!H326-卡牌总表!V326,0.4),MAX(卡牌总表!H326-卡牌总表!V326,0.4)))),IF(OR(卡牌总表!H326="X",卡牌总表!H326="∞"),0.4,0.4))</f>
        <v>1</v>
      </c>
      <c r="I326">
        <f>卡牌总表!M326*卡牌总表!O326*参数!$B$5*IF(AND(卡牌总表!F326="能力",卡牌总表!AL326="能力持续"),参数!$B$2,1)+卡牌总表!P326*参数!$B$6*IF(AND(卡牌总表!F326="能力",卡牌总表!AL326="能力持续"),参数!$B$2,1)+卡牌总表!R326*参数!$B$7*IF(AND(卡牌总表!F326="能力",卡牌总表!AL326="能力持续"),参数!$B$2,1)+卡牌总表!V326*参数!$B$8+IF(卡牌总表!X326&lt;0,卡牌总表!X326*参数!$B$13,卡牌总表!X326*参数!$B$39)+IF(卡牌总表!AE326&lt;0,卡牌总表!AE326*参数!$B$13,卡牌总表!AE326*参数!$B$12)*参数!$B$2+卡牌总表!AQ326*参数!$B$15+卡牌总表!AB326*参数!$B$11+卡牌总表!AF326*参数!$B$40*参数!$B$2+卡牌总表!AG326*参数!$B$44*参数!$B$2+卡牌总表!AH326*参数!$B$6*参数!$B$2+卡牌总表!AI326*参数!$B$39*参数!$B$2+卡牌总表!AJ326*参数!$B$6*参数!$B$2+卡牌总表!Z326*参数!$B$13-卡牌总表!T326*参数!$B$14-卡牌总表!AD326*参数!$B$13+IF(ISNUMBER(卡牌总表!AU326),卡牌总表!AU326*参数!$B$38,0)-卡牌总表!AV326*参数!$B$41-卡牌总表!AW326*参数!$B$14</f>
        <v>18.899999999999999</v>
      </c>
      <c r="J326">
        <f>IF(AND(卡牌总表!F326="能力",卡牌总表!AL326="能力持续"),(参数!$B$2-1)*参数!$B$3,0)</f>
        <v>0</v>
      </c>
      <c r="K326">
        <f t="shared" si="16"/>
        <v>18.899999999999999</v>
      </c>
      <c r="L326">
        <f>卡牌总表!N326*卡牌总表!O326*参数!$B$5*IF(AND(卡牌总表!F326="能力",卡牌总表!AL326="能力持续"),参数!$B$2,1)+卡牌总表!Q326*参数!$B$6*IF(AND(卡牌总表!F326="能力",卡牌总表!AL326="能力持续"),参数!$B$2,1)+卡牌总表!S326*参数!$B$7*IF(AND(卡牌总表!F326="能力",卡牌总表!AL326="能力持续"),参数!$B$2,1)+卡牌总表!W326*参数!$B$8+IF(卡牌总表!Y326&lt;0,卡牌总表!Y326*参数!$B$13,卡牌总表!Y326*参数!$B$39)+IF(卡牌总表!AE326&lt;0,卡牌总表!AE326*参数!$B$13,卡牌总表!AE326*参数!$B$12)*参数!$B$2+卡牌总表!AR326*参数!$B$15+卡牌总表!AC326*参数!$B$11+卡牌总表!AF326*参数!$B$40*参数!$B$2+卡牌总表!AG326*参数!$B$44*参数!$B$2+卡牌总表!AH326*参数!$B$6*参数!$B$2+卡牌总表!AI326*参数!$B$39*参数!$B$2+卡牌总表!AJ326*参数!$B$6*参数!$B$2+卡牌总表!AA326*参数!$B$13-卡牌总表!U326*参数!$B$14-卡牌总表!AD326*参数!$B$13+IF(ISNUMBER(卡牌总表!AU326),卡牌总表!AU326*参数!$B$38,0)-卡牌总表!AV326*参数!$B$41-卡牌总表!AW326*参数!$B$14</f>
        <v>25.200000000000003</v>
      </c>
      <c r="M326">
        <f>IF(AND(卡牌总表!F326="能力",卡牌总表!AL326="能力持续"),参数!$B$2*参数!$B$3,0)</f>
        <v>0</v>
      </c>
      <c r="N326">
        <f t="shared" si="17"/>
        <v>25.200000000000003</v>
      </c>
      <c r="O326">
        <f>IFERROR(MAX(IF(K326 &gt; 参数!$B$17,参数!$B$17+SQRT(K326-参数!$B$17)*参数!$B$18,K326)-MAX(G326,0)*参数!$B$10,0)/MAX(G326,0.4),0)</f>
        <v>11.474930167052889</v>
      </c>
      <c r="P326">
        <f>IFERROR(MAX(IF(N326 &gt; 参数!$B$17,参数!$B$17+SQRT(N326-参数!$B$17)*参数!$B$18,N326)-MAX(H326,0)*参数!$B$10,0)/MAX(H326,0.4),0)</f>
        <v>12.848076606885378</v>
      </c>
      <c r="Q326">
        <f>卡牌总表!AO326</f>
        <v>0</v>
      </c>
    </row>
    <row r="327" spans="1:17" x14ac:dyDescent="0.3">
      <c r="A327">
        <f t="shared" si="15"/>
        <v>326</v>
      </c>
      <c r="B327" t="str">
        <f>卡牌总表!B327</f>
        <v>necrobinder_borrowed_time</v>
      </c>
      <c r="C327" t="str">
        <f>卡牌总表!D327</f>
        <v>预借时间</v>
      </c>
      <c r="D327" t="str">
        <f>卡牌总表!F327</f>
        <v>技能</v>
      </c>
      <c r="E327">
        <f>卡牌总表!AL327</f>
        <v>0</v>
      </c>
      <c r="F327">
        <f>卡牌总表!AN327</f>
        <v>0</v>
      </c>
      <c r="G327">
        <f>卡牌总表!AP327</f>
        <v>0.4</v>
      </c>
      <c r="H327">
        <f>IF(ISNUMBER(卡牌总表!H327),IF(AND(卡牌总表!H327=0,卡牌总表!V327=0,卡牌总表!AK327="none"),0.4,IF(卡牌总表!AK327="exhaust",MAX(卡牌总表!H327-卡牌总表!V327,0.4),IF(卡牌总表!AK327="ethereal",MAX(卡牌总表!H327-卡牌总表!V327,0.4),MAX(卡牌总表!H327-卡牌总表!V327,0.4)))),IF(OR(卡牌总表!H327="X",卡牌总表!H327="∞"),0.4,0.4))</f>
        <v>0.4</v>
      </c>
      <c r="I327">
        <f>卡牌总表!M327*卡牌总表!O327*参数!$B$5*IF(AND(卡牌总表!F327="能力",卡牌总表!AL327="能力持续"),参数!$B$2,1)+卡牌总表!P327*参数!$B$6*IF(AND(卡牌总表!F327="能力",卡牌总表!AL327="能力持续"),参数!$B$2,1)+卡牌总表!R327*参数!$B$7*IF(AND(卡牌总表!F327="能力",卡牌总表!AL327="能力持续"),参数!$B$2,1)+卡牌总表!V327*参数!$B$8+IF(卡牌总表!X327&lt;0,卡牌总表!X327*参数!$B$13,卡牌总表!X327*参数!$B$39)+IF(卡牌总表!AE327&lt;0,卡牌总表!AE327*参数!$B$13,卡牌总表!AE327*参数!$B$12)*参数!$B$2+卡牌总表!AQ327*参数!$B$15+卡牌总表!AB327*参数!$B$11+卡牌总表!AF327*参数!$B$40*参数!$B$2+卡牌总表!AG327*参数!$B$44*参数!$B$2+卡牌总表!AH327*参数!$B$6*参数!$B$2+卡牌总表!AI327*参数!$B$39*参数!$B$2+卡牌总表!AJ327*参数!$B$6*参数!$B$2+卡牌总表!Z327*参数!$B$13-卡牌总表!T327*参数!$B$14-卡牌总表!AD327*参数!$B$13+IF(ISNUMBER(卡牌总表!AU327),卡牌总表!AU327*参数!$B$38,0)-卡牌总表!AV327*参数!$B$41-卡牌总表!AW327*参数!$B$14</f>
        <v>12</v>
      </c>
      <c r="J327">
        <f>IF(AND(卡牌总表!F327="能力",卡牌总表!AL327="能力持续"),(参数!$B$2-1)*参数!$B$3,0)</f>
        <v>0</v>
      </c>
      <c r="K327">
        <f t="shared" si="16"/>
        <v>12</v>
      </c>
      <c r="L327">
        <f>卡牌总表!N327*卡牌总表!O327*参数!$B$5*IF(AND(卡牌总表!F327="能力",卡牌总表!AL327="能力持续"),参数!$B$2,1)+卡牌总表!Q327*参数!$B$6*IF(AND(卡牌总表!F327="能力",卡牌总表!AL327="能力持续"),参数!$B$2,1)+卡牌总表!S327*参数!$B$7*IF(AND(卡牌总表!F327="能力",卡牌总表!AL327="能力持续"),参数!$B$2,1)+卡牌总表!W327*参数!$B$8+IF(卡牌总表!Y327&lt;0,卡牌总表!Y327*参数!$B$13,卡牌总表!Y327*参数!$B$39)+IF(卡牌总表!AE327&lt;0,卡牌总表!AE327*参数!$B$13,卡牌总表!AE327*参数!$B$12)*参数!$B$2+卡牌总表!AR327*参数!$B$15+卡牌总表!AC327*参数!$B$11+卡牌总表!AF327*参数!$B$40*参数!$B$2+卡牌总表!AG327*参数!$B$44*参数!$B$2+卡牌总表!AH327*参数!$B$6*参数!$B$2+卡牌总表!AI327*参数!$B$39*参数!$B$2+卡牌总表!AJ327*参数!$B$6*参数!$B$2+卡牌总表!AA327*参数!$B$13-卡牌总表!U327*参数!$B$14-卡牌总表!AD327*参数!$B$13+IF(ISNUMBER(卡牌总表!AU327),卡牌总表!AU327*参数!$B$38,0)-卡牌总表!AV327*参数!$B$41-卡牌总表!AW327*参数!$B$14</f>
        <v>18</v>
      </c>
      <c r="M327">
        <f>IF(AND(卡牌总表!F327="能力",卡牌总表!AL327="能力持续"),参数!$B$2*参数!$B$3,0)</f>
        <v>0</v>
      </c>
      <c r="N327">
        <f t="shared" si="17"/>
        <v>18</v>
      </c>
      <c r="O327">
        <f>IFERROR(MAX(IF(K327 &gt; 参数!$B$17,参数!$B$17+SQRT(K327-参数!$B$17)*参数!$B$18,K327)-MAX(G327,0)*参数!$B$10,0)/MAX(G327,0.4),0)</f>
        <v>27.303300858899107</v>
      </c>
      <c r="P327">
        <f>IFERROR(MAX(IF(N327 &gt; 参数!$B$17,参数!$B$17+SQRT(N327-参数!$B$17)*参数!$B$18,N327)-MAX(H327,0)*参数!$B$10,0)/MAX(H327,0.4),0)</f>
        <v>32.606601717798206</v>
      </c>
      <c r="Q327" t="str">
        <f>卡牌总表!AO327</f>
        <v>Gain能量数值需核对</v>
      </c>
    </row>
    <row r="328" spans="1:17" x14ac:dyDescent="0.3">
      <c r="A328">
        <f t="shared" si="15"/>
        <v>327</v>
      </c>
      <c r="B328" t="str">
        <f>卡牌总表!B328</f>
        <v>necrobinder_bury</v>
      </c>
      <c r="C328" t="str">
        <f>卡牌总表!D328</f>
        <v>埋葬</v>
      </c>
      <c r="D328" t="str">
        <f>卡牌总表!F328</f>
        <v>攻击</v>
      </c>
      <c r="E328">
        <f>卡牌总表!AL328</f>
        <v>0</v>
      </c>
      <c r="F328">
        <f>卡牌总表!AN328</f>
        <v>0</v>
      </c>
      <c r="G328">
        <f>卡牌总表!AP328</f>
        <v>4</v>
      </c>
      <c r="H328">
        <f>IF(ISNUMBER(卡牌总表!H328),IF(AND(卡牌总表!H328=0,卡牌总表!V328=0,卡牌总表!AK328="none"),0.4,IF(卡牌总表!AK328="exhaust",MAX(卡牌总表!H328-卡牌总表!V328,0.4),IF(卡牌总表!AK328="ethereal",MAX(卡牌总表!H328-卡牌总表!V328,0.4),MAX(卡牌总表!H328-卡牌总表!V328,0.4)))),IF(OR(卡牌总表!H328="X",卡牌总表!H328="∞"),0.4,0.4))</f>
        <v>4</v>
      </c>
      <c r="I328">
        <f>卡牌总表!M328*卡牌总表!O328*参数!$B$5*IF(AND(卡牌总表!F328="能力",卡牌总表!AL328="能力持续"),参数!$B$2,1)+卡牌总表!P328*参数!$B$6*IF(AND(卡牌总表!F328="能力",卡牌总表!AL328="能力持续"),参数!$B$2,1)+卡牌总表!R328*参数!$B$7*IF(AND(卡牌总表!F328="能力",卡牌总表!AL328="能力持续"),参数!$B$2,1)+卡牌总表!V328*参数!$B$8+IF(卡牌总表!X328&lt;0,卡牌总表!X328*参数!$B$13,卡牌总表!X328*参数!$B$39)+IF(卡牌总表!AE328&lt;0,卡牌总表!AE328*参数!$B$13,卡牌总表!AE328*参数!$B$12)*参数!$B$2+卡牌总表!AQ328*参数!$B$15+卡牌总表!AB328*参数!$B$11+卡牌总表!AF328*参数!$B$40*参数!$B$2+卡牌总表!AG328*参数!$B$44*参数!$B$2+卡牌总表!AH328*参数!$B$6*参数!$B$2+卡牌总表!AI328*参数!$B$39*参数!$B$2+卡牌总表!AJ328*参数!$B$6*参数!$B$2+卡牌总表!Z328*参数!$B$13-卡牌总表!T328*参数!$B$14-卡牌总表!AD328*参数!$B$13+IF(ISNUMBER(卡牌总表!AU328),卡牌总表!AU328*参数!$B$38,0)-卡牌总表!AV328*参数!$B$41-卡牌总表!AW328*参数!$B$14</f>
        <v>52</v>
      </c>
      <c r="J328">
        <f>IF(AND(卡牌总表!F328="能力",卡牌总表!AL328="能力持续"),(参数!$B$2-1)*参数!$B$3,0)</f>
        <v>0</v>
      </c>
      <c r="K328">
        <f t="shared" si="16"/>
        <v>52</v>
      </c>
      <c r="L328">
        <f>卡牌总表!N328*卡牌总表!O328*参数!$B$5*IF(AND(卡牌总表!F328="能力",卡牌总表!AL328="能力持续"),参数!$B$2,1)+卡牌总表!Q328*参数!$B$6*IF(AND(卡牌总表!F328="能力",卡牌总表!AL328="能力持续"),参数!$B$2,1)+卡牌总表!S328*参数!$B$7*IF(AND(卡牌总表!F328="能力",卡牌总表!AL328="能力持续"),参数!$B$2,1)+卡牌总表!W328*参数!$B$8+IF(卡牌总表!Y328&lt;0,卡牌总表!Y328*参数!$B$13,卡牌总表!Y328*参数!$B$39)+IF(卡牌总表!AE328&lt;0,卡牌总表!AE328*参数!$B$13,卡牌总表!AE328*参数!$B$12)*参数!$B$2+卡牌总表!AR328*参数!$B$15+卡牌总表!AC328*参数!$B$11+卡牌总表!AF328*参数!$B$40*参数!$B$2+卡牌总表!AG328*参数!$B$44*参数!$B$2+卡牌总表!AH328*参数!$B$6*参数!$B$2+卡牌总表!AI328*参数!$B$39*参数!$B$2+卡牌总表!AJ328*参数!$B$6*参数!$B$2+卡牌总表!AA328*参数!$B$13-卡牌总表!U328*参数!$B$14-卡牌总表!AD328*参数!$B$13+IF(ISNUMBER(卡牌总表!AU328),卡牌总表!AU328*参数!$B$38,0)-卡牌总表!AV328*参数!$B$41-卡牌总表!AW328*参数!$B$14</f>
        <v>63</v>
      </c>
      <c r="M328">
        <f>IF(AND(卡牌总表!F328="能力",卡牌总表!AL328="能力持续"),参数!$B$2*参数!$B$3,0)</f>
        <v>0</v>
      </c>
      <c r="N328">
        <f t="shared" si="17"/>
        <v>63</v>
      </c>
      <c r="O328">
        <f>IFERROR(MAX(IF(K328 &gt; 参数!$B$17,参数!$B$17+SQRT(K328-参数!$B$17)*参数!$B$18,K328)-MAX(G328,0)*参数!$B$10,0)/MAX(G328,0.4),0)</f>
        <v>1.9302777619029481</v>
      </c>
      <c r="P328">
        <f>IFERROR(MAX(IF(N328 &gt; 参数!$B$17,参数!$B$17+SQRT(N328-参数!$B$17)*参数!$B$18,N328)-MAX(H328,0)*参数!$B$10,0)/MAX(H328,0.4),0)</f>
        <v>2.2300412084801948</v>
      </c>
      <c r="Q328">
        <f>卡牌总表!AO328</f>
        <v>0</v>
      </c>
    </row>
    <row r="329" spans="1:17" x14ac:dyDescent="0.3">
      <c r="A329">
        <f t="shared" si="15"/>
        <v>328</v>
      </c>
      <c r="B329" t="str">
        <f>卡牌总表!B329</f>
        <v>necrobinder_calcify</v>
      </c>
      <c r="C329" t="str">
        <f>卡牌总表!D329</f>
        <v>钙化</v>
      </c>
      <c r="D329" t="str">
        <f>卡牌总表!F329</f>
        <v>能力</v>
      </c>
      <c r="E329" t="str">
        <f>卡牌总表!AL329</f>
        <v>能力持续</v>
      </c>
      <c r="F329" t="str">
        <f>卡牌总表!AN329</f>
        <v>能力</v>
      </c>
      <c r="G329">
        <f>卡牌总表!AP329</f>
        <v>1</v>
      </c>
      <c r="H329">
        <f>IF(ISNUMBER(卡牌总表!H329),IF(AND(卡牌总表!H329=0,卡牌总表!V329=0,卡牌总表!AK329="none"),0.4,IF(卡牌总表!AK329="exhaust",MAX(卡牌总表!H329-卡牌总表!V329,0.4),IF(卡牌总表!AK329="ethereal",MAX(卡牌总表!H329-卡牌总表!V329,0.4),MAX(卡牌总表!H329-卡牌总表!V329,0.4)))),IF(OR(卡牌总表!H329="X",卡牌总表!H329="∞"),0.4,0.4))</f>
        <v>1</v>
      </c>
      <c r="I329">
        <f>卡牌总表!M329*卡牌总表!O329*参数!$B$5*IF(AND(卡牌总表!F329="能力",卡牌总表!AL329="能力持续"),参数!$B$2,1)+卡牌总表!P329*参数!$B$6*IF(AND(卡牌总表!F329="能力",卡牌总表!AL329="能力持续"),参数!$B$2,1)+卡牌总表!R329*参数!$B$7*IF(AND(卡牌总表!F329="能力",卡牌总表!AL329="能力持续"),参数!$B$2,1)+卡牌总表!V329*参数!$B$8+IF(卡牌总表!X329&lt;0,卡牌总表!X329*参数!$B$13,卡牌总表!X329*参数!$B$39)+IF(卡牌总表!AE329&lt;0,卡牌总表!AE329*参数!$B$13,卡牌总表!AE329*参数!$B$12)*参数!$B$2+卡牌总表!AQ329*参数!$B$15+卡牌总表!AB329*参数!$B$11+卡牌总表!AF329*参数!$B$40*参数!$B$2+卡牌总表!AG329*参数!$B$44*参数!$B$2+卡牌总表!AH329*参数!$B$6*参数!$B$2+卡牌总表!AI329*参数!$B$39*参数!$B$2+卡牌总表!AJ329*参数!$B$6*参数!$B$2+卡牌总表!Z329*参数!$B$13-卡牌总表!T329*参数!$B$14-卡牌总表!AD329*参数!$B$13+IF(ISNUMBER(卡牌总表!AU329),卡牌总表!AU329*参数!$B$38,0)-卡牌总表!AV329*参数!$B$41-卡牌总表!AW329*参数!$B$14</f>
        <v>12</v>
      </c>
      <c r="J329">
        <f>IF(AND(卡牌总表!F329="能力",卡牌总表!AL329="能力持续"),(参数!$B$2-1)*参数!$B$3,0)</f>
        <v>3.5999999999999996</v>
      </c>
      <c r="K329">
        <f t="shared" si="16"/>
        <v>15.6</v>
      </c>
      <c r="L329">
        <f>卡牌总表!N329*卡牌总表!O329*参数!$B$5*IF(AND(卡牌总表!F329="能力",卡牌总表!AL329="能力持续"),参数!$B$2,1)+卡牌总表!Q329*参数!$B$6*IF(AND(卡牌总表!F329="能力",卡牌总表!AL329="能力持续"),参数!$B$2,1)+卡牌总表!S329*参数!$B$7*IF(AND(卡牌总表!F329="能力",卡牌总表!AL329="能力持续"),参数!$B$2,1)+卡牌总表!W329*参数!$B$8+IF(卡牌总表!Y329&lt;0,卡牌总表!Y329*参数!$B$13,卡牌总表!Y329*参数!$B$39)+IF(卡牌总表!AE329&lt;0,卡牌总表!AE329*参数!$B$13,卡牌总表!AE329*参数!$B$12)*参数!$B$2+卡牌总表!AR329*参数!$B$15+卡牌总表!AC329*参数!$B$11+卡牌总表!AF329*参数!$B$40*参数!$B$2+卡牌总表!AG329*参数!$B$44*参数!$B$2+卡牌总表!AH329*参数!$B$6*参数!$B$2+卡牌总表!AI329*参数!$B$39*参数!$B$2+卡牌总表!AJ329*参数!$B$6*参数!$B$2+卡牌总表!AA329*参数!$B$13-卡牌总表!U329*参数!$B$14-卡牌总表!AD329*参数!$B$13+IF(ISNUMBER(卡牌总表!AU329),卡牌总表!AU329*参数!$B$38,0)-卡牌总表!AV329*参数!$B$41-卡牌总表!AW329*参数!$B$14</f>
        <v>0</v>
      </c>
      <c r="M329">
        <f>IF(AND(卡牌总表!F329="能力",卡牌总表!AL329="能力持续"),参数!$B$2*参数!$B$3,0)</f>
        <v>4.8</v>
      </c>
      <c r="N329">
        <f t="shared" si="17"/>
        <v>4.8</v>
      </c>
      <c r="O329">
        <f>IFERROR(MAX(IF(K329 &gt; 参数!$B$17,参数!$B$17+SQRT(K329-参数!$B$17)*参数!$B$18,K329)-MAX(G329,0)*参数!$B$10,0)/MAX(G329,0.4),0)</f>
        <v>10.549647869859768</v>
      </c>
      <c r="P329">
        <f>IFERROR(MAX(IF(N329 &gt; 参数!$B$17,参数!$B$17+SQRT(N329-参数!$B$17)*参数!$B$18,N329)-MAX(H329,0)*参数!$B$10,0)/MAX(H329,0.4),0)</f>
        <v>1.7999999999999998</v>
      </c>
      <c r="Q329">
        <f>卡牌总表!AO329</f>
        <v>0</v>
      </c>
    </row>
    <row r="330" spans="1:17" x14ac:dyDescent="0.3">
      <c r="A330">
        <f t="shared" si="15"/>
        <v>329</v>
      </c>
      <c r="B330" t="str">
        <f>卡牌总表!B330</f>
        <v>necrobinder_call_of_the_void</v>
      </c>
      <c r="C330" t="str">
        <f>卡牌总表!D330</f>
        <v>虚空之唤</v>
      </c>
      <c r="D330" t="str">
        <f>卡牌总表!F330</f>
        <v>能力</v>
      </c>
      <c r="E330" t="str">
        <f>卡牌总表!AL330</f>
        <v>能力持续</v>
      </c>
      <c r="F330" t="str">
        <f>卡牌总表!AN330</f>
        <v>能力</v>
      </c>
      <c r="G330">
        <f>卡牌总表!AP330</f>
        <v>1</v>
      </c>
      <c r="H330">
        <f>IF(ISNUMBER(卡牌总表!H330),IF(AND(卡牌总表!H330=0,卡牌总表!V330=0,卡牌总表!AK330="none"),0.4,IF(卡牌总表!AK330="exhaust",MAX(卡牌总表!H330-卡牌总表!V330,0.4),IF(卡牌总表!AK330="ethereal",MAX(卡牌总表!H330-卡牌总表!V330,0.4),MAX(卡牌总表!H330-卡牌总表!V330,0.4)))),IF(OR(卡牌总表!H330="X",卡牌总表!H330="∞"),0.4,0.4))</f>
        <v>1</v>
      </c>
      <c r="I330">
        <f>卡牌总表!M330*卡牌总表!O330*参数!$B$5*IF(AND(卡牌总表!F330="能力",卡牌总表!AL330="能力持续"),参数!$B$2,1)+卡牌总表!P330*参数!$B$6*IF(AND(卡牌总表!F330="能力",卡牌总表!AL330="能力持续"),参数!$B$2,1)+卡牌总表!R330*参数!$B$7*IF(AND(卡牌总表!F330="能力",卡牌总表!AL330="能力持续"),参数!$B$2,1)+卡牌总表!V330*参数!$B$8+IF(卡牌总表!X330&lt;0,卡牌总表!X330*参数!$B$13,卡牌总表!X330*参数!$B$39)+IF(卡牌总表!AE330&lt;0,卡牌总表!AE330*参数!$B$13,卡牌总表!AE330*参数!$B$12)*参数!$B$2+卡牌总表!AQ330*参数!$B$15+卡牌总表!AB330*参数!$B$11+卡牌总表!AF330*参数!$B$40*参数!$B$2+卡牌总表!AG330*参数!$B$44*参数!$B$2+卡牌总表!AH330*参数!$B$6*参数!$B$2+卡牌总表!AI330*参数!$B$39*参数!$B$2+卡牌总表!AJ330*参数!$B$6*参数!$B$2+卡牌总表!Z330*参数!$B$13-卡牌总表!T330*参数!$B$14-卡牌总表!AD330*参数!$B$13+IF(ISNUMBER(卡牌总表!AU330),卡牌总表!AU330*参数!$B$38,0)-卡牌总表!AV330*参数!$B$41-卡牌总表!AW330*参数!$B$14</f>
        <v>0</v>
      </c>
      <c r="J330">
        <f>IF(AND(卡牌总表!F330="能力",卡牌总表!AL330="能力持续"),(参数!$B$2-1)*参数!$B$3,0)</f>
        <v>3.5999999999999996</v>
      </c>
      <c r="K330">
        <f t="shared" si="16"/>
        <v>3.5999999999999996</v>
      </c>
      <c r="L330">
        <f>卡牌总表!N330*卡牌总表!O330*参数!$B$5*IF(AND(卡牌总表!F330="能力",卡牌总表!AL330="能力持续"),参数!$B$2,1)+卡牌总表!Q330*参数!$B$6*IF(AND(卡牌总表!F330="能力",卡牌总表!AL330="能力持续"),参数!$B$2,1)+卡牌总表!S330*参数!$B$7*IF(AND(卡牌总表!F330="能力",卡牌总表!AL330="能力持续"),参数!$B$2,1)+卡牌总表!W330*参数!$B$8+IF(卡牌总表!Y330&lt;0,卡牌总表!Y330*参数!$B$13,卡牌总表!Y330*参数!$B$39)+IF(卡牌总表!AE330&lt;0,卡牌总表!AE330*参数!$B$13,卡牌总表!AE330*参数!$B$12)*参数!$B$2+卡牌总表!AR330*参数!$B$15+卡牌总表!AC330*参数!$B$11+卡牌总表!AF330*参数!$B$40*参数!$B$2+卡牌总表!AG330*参数!$B$44*参数!$B$2+卡牌总表!AH330*参数!$B$6*参数!$B$2+卡牌总表!AI330*参数!$B$39*参数!$B$2+卡牌总表!AJ330*参数!$B$6*参数!$B$2+卡牌总表!AA330*参数!$B$13-卡牌总表!U330*参数!$B$14-卡牌总表!AD330*参数!$B$13+IF(ISNUMBER(卡牌总表!AU330),卡牌总表!AU330*参数!$B$38,0)-卡牌总表!AV330*参数!$B$41-卡牌总表!AW330*参数!$B$14</f>
        <v>0</v>
      </c>
      <c r="M330">
        <f>IF(AND(卡牌总表!F330="能力",卡牌总表!AL330="能力持续"),参数!$B$2*参数!$B$3,0)</f>
        <v>4.8</v>
      </c>
      <c r="N330">
        <f t="shared" si="17"/>
        <v>4.8</v>
      </c>
      <c r="O330">
        <f>IFERROR(MAX(IF(K330 &gt; 参数!$B$17,参数!$B$17+SQRT(K330-参数!$B$17)*参数!$B$18,K330)-MAX(G330,0)*参数!$B$10,0)/MAX(G330,0.4),0)</f>
        <v>0.59999999999999964</v>
      </c>
      <c r="P330">
        <f>IFERROR(MAX(IF(N330 &gt; 参数!$B$17,参数!$B$17+SQRT(N330-参数!$B$17)*参数!$B$18,N330)-MAX(H330,0)*参数!$B$10,0)/MAX(H330,0.4),0)</f>
        <v>1.7999999999999998</v>
      </c>
      <c r="Q330">
        <f>卡牌总表!AO330</f>
        <v>0</v>
      </c>
    </row>
    <row r="331" spans="1:17" x14ac:dyDescent="0.3">
      <c r="A331">
        <f t="shared" si="15"/>
        <v>330</v>
      </c>
      <c r="B331" t="str">
        <f>卡牌总表!B331</f>
        <v>necrobinder_capture_spirit</v>
      </c>
      <c r="C331" t="str">
        <f>卡牌总表!D331</f>
        <v>捕捉灵魂</v>
      </c>
      <c r="D331" t="str">
        <f>卡牌总表!F331</f>
        <v>技能</v>
      </c>
      <c r="E331">
        <f>卡牌总表!AL331</f>
        <v>0</v>
      </c>
      <c r="F331">
        <f>卡牌总表!AN331</f>
        <v>0</v>
      </c>
      <c r="G331">
        <f>卡牌总表!AP331</f>
        <v>1</v>
      </c>
      <c r="H331">
        <f>IF(ISNUMBER(卡牌总表!H331),IF(AND(卡牌总表!H331=0,卡牌总表!V331=0,卡牌总表!AK331="none"),0.4,IF(卡牌总表!AK331="exhaust",MAX(卡牌总表!H331-卡牌总表!V331,0.4),IF(卡牌总表!AK331="ethereal",MAX(卡牌总表!H331-卡牌总表!V331,0.4),MAX(卡牌总表!H331-卡牌总表!V331,0.4)))),IF(OR(卡牌总表!H331="X",卡牌总表!H331="∞"),0.4,0.4))</f>
        <v>1</v>
      </c>
      <c r="I331">
        <f>卡牌总表!M331*卡牌总表!O331*参数!$B$5*IF(AND(卡牌总表!F331="能力",卡牌总表!AL331="能力持续"),参数!$B$2,1)+卡牌总表!P331*参数!$B$6*IF(AND(卡牌总表!F331="能力",卡牌总表!AL331="能力持续"),参数!$B$2,1)+卡牌总表!R331*参数!$B$7*IF(AND(卡牌总表!F331="能力",卡牌总表!AL331="能力持续"),参数!$B$2,1)+卡牌总表!V331*参数!$B$8+IF(卡牌总表!X331&lt;0,卡牌总表!X331*参数!$B$13,卡牌总表!X331*参数!$B$39)+IF(卡牌总表!AE331&lt;0,卡牌总表!AE331*参数!$B$13,卡牌总表!AE331*参数!$B$12)*参数!$B$2+卡牌总表!AQ331*参数!$B$15+卡牌总表!AB331*参数!$B$11+卡牌总表!AF331*参数!$B$40*参数!$B$2+卡牌总表!AG331*参数!$B$44*参数!$B$2+卡牌总表!AH331*参数!$B$6*参数!$B$2+卡牌总表!AI331*参数!$B$39*参数!$B$2+卡牌总表!AJ331*参数!$B$6*参数!$B$2+卡牌总表!Z331*参数!$B$13-卡牌总表!T331*参数!$B$14-卡牌总表!AD331*参数!$B$13+IF(ISNUMBER(卡牌总表!AU331),卡牌总表!AU331*参数!$B$38,0)-卡牌总表!AV331*参数!$B$41-卡牌总表!AW331*参数!$B$14</f>
        <v>5.0999999999999996</v>
      </c>
      <c r="J331">
        <f>IF(AND(卡牌总表!F331="能力",卡牌总表!AL331="能力持续"),(参数!$B$2-1)*参数!$B$3,0)</f>
        <v>0</v>
      </c>
      <c r="K331">
        <f t="shared" si="16"/>
        <v>5.0999999999999996</v>
      </c>
      <c r="L331">
        <f>卡牌总表!N331*卡牌总表!O331*参数!$B$5*IF(AND(卡牌总表!F331="能力",卡牌总表!AL331="能力持续"),参数!$B$2,1)+卡牌总表!Q331*参数!$B$6*IF(AND(卡牌总表!F331="能力",卡牌总表!AL331="能力持续"),参数!$B$2,1)+卡牌总表!S331*参数!$B$7*IF(AND(卡牌总表!F331="能力",卡牌总表!AL331="能力持续"),参数!$B$2,1)+卡牌总表!W331*参数!$B$8+IF(卡牌总表!Y331&lt;0,卡牌总表!Y331*参数!$B$13,卡牌总表!Y331*参数!$B$39)+IF(卡牌总表!AE331&lt;0,卡牌总表!AE331*参数!$B$13,卡牌总表!AE331*参数!$B$12)*参数!$B$2+卡牌总表!AR331*参数!$B$15+卡牌总表!AC331*参数!$B$11+卡牌总表!AF331*参数!$B$40*参数!$B$2+卡牌总表!AG331*参数!$B$44*参数!$B$2+卡牌总表!AH331*参数!$B$6*参数!$B$2+卡牌总表!AI331*参数!$B$39*参数!$B$2+卡牌总表!AJ331*参数!$B$6*参数!$B$2+卡牌总表!AA331*参数!$B$13-卡牌总表!U331*参数!$B$14-卡牌总表!AD331*参数!$B$13+IF(ISNUMBER(卡牌总表!AU331),卡牌总表!AU331*参数!$B$38,0)-卡牌总表!AV331*参数!$B$41-卡牌总表!AW331*参数!$B$14</f>
        <v>6.8</v>
      </c>
      <c r="M331">
        <f>IF(AND(卡牌总表!F331="能力",卡牌总表!AL331="能力持续"),参数!$B$2*参数!$B$3,0)</f>
        <v>0</v>
      </c>
      <c r="N331">
        <f t="shared" si="17"/>
        <v>6.8</v>
      </c>
      <c r="O331">
        <f>IFERROR(MAX(IF(K331 &gt; 参数!$B$17,参数!$B$17+SQRT(K331-参数!$B$17)*参数!$B$18,K331)-MAX(G331,0)*参数!$B$10,0)/MAX(G331,0.4),0)</f>
        <v>2.0999999999999996</v>
      </c>
      <c r="P331">
        <f>IFERROR(MAX(IF(N331 &gt; 参数!$B$17,参数!$B$17+SQRT(N331-参数!$B$17)*参数!$B$18,N331)-MAX(H331,0)*参数!$B$10,0)/MAX(H331,0.4),0)</f>
        <v>3.8</v>
      </c>
      <c r="Q331">
        <f>卡牌总表!AO331</f>
        <v>0</v>
      </c>
    </row>
    <row r="332" spans="1:17" x14ac:dyDescent="0.3">
      <c r="A332">
        <f t="shared" si="15"/>
        <v>331</v>
      </c>
      <c r="B332" t="str">
        <f>卡牌总表!B332</f>
        <v>necrobinder_cleanse</v>
      </c>
      <c r="C332" t="str">
        <f>卡牌总表!D332</f>
        <v>洁净</v>
      </c>
      <c r="D332" t="str">
        <f>卡牌总表!F332</f>
        <v>技能</v>
      </c>
      <c r="E332">
        <f>卡牌总表!AL332</f>
        <v>0</v>
      </c>
      <c r="F332">
        <f>卡牌总表!AN332</f>
        <v>0</v>
      </c>
      <c r="G332">
        <f>卡牌总表!AP332</f>
        <v>1</v>
      </c>
      <c r="H332">
        <f>IF(ISNUMBER(卡牌总表!H332),IF(AND(卡牌总表!H332=0,卡牌总表!V332=0,卡牌总表!AK332="none"),0.4,IF(卡牌总表!AK332="exhaust",MAX(卡牌总表!H332-卡牌总表!V332,0.4),IF(卡牌总表!AK332="ethereal",MAX(卡牌总表!H332-卡牌总表!V332,0.4),MAX(卡牌总表!H332-卡牌总表!V332,0.4)))),IF(OR(卡牌总表!H332="X",卡牌总表!H332="∞"),0.4,0.4))</f>
        <v>1</v>
      </c>
      <c r="I332">
        <f>卡牌总表!M332*卡牌总表!O332*参数!$B$5*IF(AND(卡牌总表!F332="能力",卡牌总表!AL332="能力持续"),参数!$B$2,1)+卡牌总表!P332*参数!$B$6*IF(AND(卡牌总表!F332="能力",卡牌总表!AL332="能力持续"),参数!$B$2,1)+卡牌总表!R332*参数!$B$7*IF(AND(卡牌总表!F332="能力",卡牌总表!AL332="能力持续"),参数!$B$2,1)+卡牌总表!V332*参数!$B$8+IF(卡牌总表!X332&lt;0,卡牌总表!X332*参数!$B$13,卡牌总表!X332*参数!$B$39)+IF(卡牌总表!AE332&lt;0,卡牌总表!AE332*参数!$B$13,卡牌总表!AE332*参数!$B$12)*参数!$B$2+卡牌总表!AQ332*参数!$B$15+卡牌总表!AB332*参数!$B$11+卡牌总表!AF332*参数!$B$40*参数!$B$2+卡牌总表!AG332*参数!$B$44*参数!$B$2+卡牌总表!AH332*参数!$B$6*参数!$B$2+卡牌总表!AI332*参数!$B$39*参数!$B$2+卡牌总表!AJ332*参数!$B$6*参数!$B$2+卡牌总表!Z332*参数!$B$13-卡牌总表!T332*参数!$B$14-卡牌总表!AD332*参数!$B$13+IF(ISNUMBER(卡牌总表!AU332),卡牌总表!AU332*参数!$B$38,0)-卡牌总表!AV332*参数!$B$41-卡牌总表!AW332*参数!$B$14</f>
        <v>1.5</v>
      </c>
      <c r="J332">
        <f>IF(AND(卡牌总表!F332="能力",卡牌总表!AL332="能力持续"),(参数!$B$2-1)*参数!$B$3,0)</f>
        <v>0</v>
      </c>
      <c r="K332">
        <f t="shared" si="16"/>
        <v>1.5</v>
      </c>
      <c r="L332">
        <f>卡牌总表!N332*卡牌总表!O332*参数!$B$5*IF(AND(卡牌总表!F332="能力",卡牌总表!AL332="能力持续"),参数!$B$2,1)+卡牌总表!Q332*参数!$B$6*IF(AND(卡牌总表!F332="能力",卡牌总表!AL332="能力持续"),参数!$B$2,1)+卡牌总表!S332*参数!$B$7*IF(AND(卡牌总表!F332="能力",卡牌总表!AL332="能力持续"),参数!$B$2,1)+卡牌总表!W332*参数!$B$8+IF(卡牌总表!Y332&lt;0,卡牌总表!Y332*参数!$B$13,卡牌总表!Y332*参数!$B$39)+IF(卡牌总表!AE332&lt;0,卡牌总表!AE332*参数!$B$13,卡牌总表!AE332*参数!$B$12)*参数!$B$2+卡牌总表!AR332*参数!$B$15+卡牌总表!AC332*参数!$B$11+卡牌总表!AF332*参数!$B$40*参数!$B$2+卡牌总表!AG332*参数!$B$44*参数!$B$2+卡牌总表!AH332*参数!$B$6*参数!$B$2+卡牌总表!AI332*参数!$B$39*参数!$B$2+卡牌总表!AJ332*参数!$B$6*参数!$B$2+卡牌总表!AA332*参数!$B$13-卡牌总表!U332*参数!$B$14-卡牌总表!AD332*参数!$B$13+IF(ISNUMBER(卡牌总表!AU332),卡牌总表!AU332*参数!$B$38,0)-卡牌总表!AV332*参数!$B$41-卡牌总表!AW332*参数!$B$14</f>
        <v>1.5</v>
      </c>
      <c r="M332">
        <f>IF(AND(卡牌总表!F332="能力",卡牌总表!AL332="能力持续"),参数!$B$2*参数!$B$3,0)</f>
        <v>0</v>
      </c>
      <c r="N332">
        <f t="shared" si="17"/>
        <v>1.5</v>
      </c>
      <c r="O332">
        <f>IFERROR(MAX(IF(K332 &gt; 参数!$B$17,参数!$B$17+SQRT(K332-参数!$B$17)*参数!$B$18,K332)-MAX(G332,0)*参数!$B$10,0)/MAX(G332,0.4),0)</f>
        <v>0</v>
      </c>
      <c r="P332">
        <f>IFERROR(MAX(IF(N332 &gt; 参数!$B$17,参数!$B$17+SQRT(N332-参数!$B$17)*参数!$B$18,N332)-MAX(H332,0)*参数!$B$10,0)/MAX(H332,0.4),0)</f>
        <v>0</v>
      </c>
      <c r="Q332" t="str">
        <f>卡牌总表!AO332</f>
        <v>含消耗其他牌效果</v>
      </c>
    </row>
    <row r="333" spans="1:17" x14ac:dyDescent="0.3">
      <c r="A333">
        <f t="shared" si="15"/>
        <v>332</v>
      </c>
      <c r="B333" t="str">
        <f>卡牌总表!B333</f>
        <v>necrobinder_countdown</v>
      </c>
      <c r="C333" t="str">
        <f>卡牌总表!D333</f>
        <v>倒数计时</v>
      </c>
      <c r="D333" t="str">
        <f>卡牌总表!F333</f>
        <v>能力</v>
      </c>
      <c r="E333" t="str">
        <f>卡牌总表!AL333</f>
        <v>能力持续</v>
      </c>
      <c r="F333" t="str">
        <f>卡牌总表!AN333</f>
        <v>能力</v>
      </c>
      <c r="G333">
        <f>卡牌总表!AP333</f>
        <v>1</v>
      </c>
      <c r="H333">
        <f>IF(ISNUMBER(卡牌总表!H333),IF(AND(卡牌总表!H333=0,卡牌总表!V333=0,卡牌总表!AK333="none"),0.4,IF(卡牌总表!AK333="exhaust",MAX(卡牌总表!H333-卡牌总表!V333,0.4),IF(卡牌总表!AK333="ethereal",MAX(卡牌总表!H333-卡牌总表!V333,0.4),MAX(卡牌总表!H333-卡牌总表!V333,0.4)))),IF(OR(卡牌总表!H333="X",卡牌总表!H333="∞"),0.4,0.4))</f>
        <v>1</v>
      </c>
      <c r="I333">
        <f>卡牌总表!M333*卡牌总表!O333*参数!$B$5*IF(AND(卡牌总表!F333="能力",卡牌总表!AL333="能力持续"),参数!$B$2,1)+卡牌总表!P333*参数!$B$6*IF(AND(卡牌总表!F333="能力",卡牌总表!AL333="能力持续"),参数!$B$2,1)+卡牌总表!R333*参数!$B$7*IF(AND(卡牌总表!F333="能力",卡牌总表!AL333="能力持续"),参数!$B$2,1)+卡牌总表!V333*参数!$B$8+IF(卡牌总表!X333&lt;0,卡牌总表!X333*参数!$B$13,卡牌总表!X333*参数!$B$39)+IF(卡牌总表!AE333&lt;0,卡牌总表!AE333*参数!$B$13,卡牌总表!AE333*参数!$B$12)*参数!$B$2+卡牌总表!AQ333*参数!$B$15+卡牌总表!AB333*参数!$B$11+卡牌总表!AF333*参数!$B$40*参数!$B$2+卡牌总表!AG333*参数!$B$44*参数!$B$2+卡牌总表!AH333*参数!$B$6*参数!$B$2+卡牌总表!AI333*参数!$B$39*参数!$B$2+卡牌总表!AJ333*参数!$B$6*参数!$B$2+卡牌总表!Z333*参数!$B$13-卡牌总表!T333*参数!$B$14-卡牌总表!AD333*参数!$B$13+IF(ISNUMBER(卡牌总表!AU333),卡牌总表!AU333*参数!$B$38,0)-卡牌总表!AV333*参数!$B$41-卡牌总表!AW333*参数!$B$14</f>
        <v>16.799999999999997</v>
      </c>
      <c r="J333">
        <f>IF(AND(卡牌总表!F333="能力",卡牌总表!AL333="能力持续"),(参数!$B$2-1)*参数!$B$3,0)</f>
        <v>3.5999999999999996</v>
      </c>
      <c r="K333">
        <f t="shared" si="16"/>
        <v>20.399999999999999</v>
      </c>
      <c r="L333">
        <f>卡牌总表!N333*卡牌总表!O333*参数!$B$5*IF(AND(卡牌总表!F333="能力",卡牌总表!AL333="能力持续"),参数!$B$2,1)+卡牌总表!Q333*参数!$B$6*IF(AND(卡牌总表!F333="能力",卡牌总表!AL333="能力持续"),参数!$B$2,1)+卡牌总表!S333*参数!$B$7*IF(AND(卡牌总表!F333="能力",卡牌总表!AL333="能力持续"),参数!$B$2,1)+卡牌总表!W333*参数!$B$8+IF(卡牌总表!Y333&lt;0,卡牌总表!Y333*参数!$B$13,卡牌总表!Y333*参数!$B$39)+IF(卡牌总表!AE333&lt;0,卡牌总表!AE333*参数!$B$13,卡牌总表!AE333*参数!$B$12)*参数!$B$2+卡牌总表!AR333*参数!$B$15+卡牌总表!AC333*参数!$B$11+卡牌总表!AF333*参数!$B$40*参数!$B$2+卡牌总表!AG333*参数!$B$44*参数!$B$2+卡牌总表!AH333*参数!$B$6*参数!$B$2+卡牌总表!AI333*参数!$B$39*参数!$B$2+卡牌总表!AJ333*参数!$B$6*参数!$B$2+卡牌总表!AA333*参数!$B$13-卡牌总表!U333*参数!$B$14-卡牌总表!AD333*参数!$B$13+IF(ISNUMBER(卡牌总表!AU333),卡牌总表!AU333*参数!$B$38,0)-卡牌总表!AV333*参数!$B$41-卡牌总表!AW333*参数!$B$14</f>
        <v>16.799999999999997</v>
      </c>
      <c r="M333">
        <f>IF(AND(卡牌总表!F333="能力",卡牌总表!AL333="能力持续"),参数!$B$2*参数!$B$3,0)</f>
        <v>4.8</v>
      </c>
      <c r="N333">
        <f t="shared" si="17"/>
        <v>21.599999999999998</v>
      </c>
      <c r="O333">
        <f>IFERROR(MAX(IF(K333 &gt; 参数!$B$17,参数!$B$17+SQRT(K333-参数!$B$17)*参数!$B$18,K333)-MAX(G333,0)*参数!$B$10,0)/MAX(G333,0.4),0)</f>
        <v>11.837354648979129</v>
      </c>
      <c r="P333">
        <f>IFERROR(MAX(IF(N333 &gt; 参数!$B$17,参数!$B$17+SQRT(N333-参数!$B$17)*参数!$B$18,N333)-MAX(H333,0)*参数!$B$10,0)/MAX(H333,0.4),0)</f>
        <v>12.10881590977792</v>
      </c>
      <c r="Q333">
        <f>卡牌总表!AO333</f>
        <v>0</v>
      </c>
    </row>
    <row r="334" spans="1:17" x14ac:dyDescent="0.3">
      <c r="A334">
        <f t="shared" si="15"/>
        <v>333</v>
      </c>
      <c r="B334" t="str">
        <f>卡牌总表!B334</f>
        <v>necrobinder_danse_macabre</v>
      </c>
      <c r="C334" t="str">
        <f>卡牌总表!D334</f>
        <v>死亡之舞</v>
      </c>
      <c r="D334" t="str">
        <f>卡牌总表!F334</f>
        <v>能力</v>
      </c>
      <c r="E334" t="str">
        <f>卡牌总表!AL334</f>
        <v>能力持续</v>
      </c>
      <c r="F334" t="str">
        <f>卡牌总表!AN334</f>
        <v>能力</v>
      </c>
      <c r="G334">
        <f>卡牌总表!AP334</f>
        <v>1</v>
      </c>
      <c r="H334">
        <f>IF(ISNUMBER(卡牌总表!H334),IF(AND(卡牌总表!H334=0,卡牌总表!V334=0,卡牌总表!AK334="none"),0.4,IF(卡牌总表!AK334="exhaust",MAX(卡牌总表!H334-卡牌总表!V334,0.4),IF(卡牌总表!AK334="ethereal",MAX(卡牌总表!H334-卡牌总表!V334,0.4),MAX(卡牌总表!H334-卡牌总表!V334,0.4)))),IF(OR(卡牌总表!H334="X",卡牌总表!H334="∞"),0.4,0.4))</f>
        <v>1</v>
      </c>
      <c r="I334">
        <f>卡牌总表!M334*卡牌总表!O334*参数!$B$5*IF(AND(卡牌总表!F334="能力",卡牌总表!AL334="能力持续"),参数!$B$2,1)+卡牌总表!P334*参数!$B$6*IF(AND(卡牌总表!F334="能力",卡牌总表!AL334="能力持续"),参数!$B$2,1)+卡牌总表!R334*参数!$B$7*IF(AND(卡牌总表!F334="能力",卡牌总表!AL334="能力持续"),参数!$B$2,1)+卡牌总表!V334*参数!$B$8+IF(卡牌总表!X334&lt;0,卡牌总表!X334*参数!$B$13,卡牌总表!X334*参数!$B$39)+IF(卡牌总表!AE334&lt;0,卡牌总表!AE334*参数!$B$13,卡牌总表!AE334*参数!$B$12)*参数!$B$2+卡牌总表!AQ334*参数!$B$15+卡牌总表!AB334*参数!$B$11+卡牌总表!AF334*参数!$B$40*参数!$B$2+卡牌总表!AG334*参数!$B$44*参数!$B$2+卡牌总表!AH334*参数!$B$6*参数!$B$2+卡牌总表!AI334*参数!$B$39*参数!$B$2+卡牌总表!AJ334*参数!$B$6*参数!$B$2+卡牌总表!Z334*参数!$B$13-卡牌总表!T334*参数!$B$14-卡牌总表!AD334*参数!$B$13+IF(ISNUMBER(卡牌总表!AU334),卡牌总表!AU334*参数!$B$38,0)-卡牌总表!AV334*参数!$B$41-卡牌总表!AW334*参数!$B$14</f>
        <v>26.400000000000002</v>
      </c>
      <c r="J334">
        <f>IF(AND(卡牌总表!F334="能力",卡牌总表!AL334="能力持续"),(参数!$B$2-1)*参数!$B$3,0)</f>
        <v>3.5999999999999996</v>
      </c>
      <c r="K334">
        <f t="shared" si="16"/>
        <v>30</v>
      </c>
      <c r="L334">
        <f>卡牌总表!N334*卡牌总表!O334*参数!$B$5*IF(AND(卡牌总表!F334="能力",卡牌总表!AL334="能力持续"),参数!$B$2,1)+卡牌总表!Q334*参数!$B$6*IF(AND(卡牌总表!F334="能力",卡牌总表!AL334="能力持续"),参数!$B$2,1)+卡牌总表!S334*参数!$B$7*IF(AND(卡牌总表!F334="能力",卡牌总表!AL334="能力持续"),参数!$B$2,1)+卡牌总表!W334*参数!$B$8+IF(卡牌总表!Y334&lt;0,卡牌总表!Y334*参数!$B$13,卡牌总表!Y334*参数!$B$39)+IF(卡牌总表!AE334&lt;0,卡牌总表!AE334*参数!$B$13,卡牌总表!AE334*参数!$B$12)*参数!$B$2+卡牌总表!AR334*参数!$B$15+卡牌总表!AC334*参数!$B$11+卡牌总表!AF334*参数!$B$40*参数!$B$2+卡牌总表!AG334*参数!$B$44*参数!$B$2+卡牌总表!AH334*参数!$B$6*参数!$B$2+卡牌总表!AI334*参数!$B$39*参数!$B$2+卡牌总表!AJ334*参数!$B$6*参数!$B$2+卡牌总表!AA334*参数!$B$13-卡牌总表!U334*参数!$B$14-卡牌总表!AD334*参数!$B$13+IF(ISNUMBER(卡牌总表!AU334),卡牌总表!AU334*参数!$B$38,0)-卡牌总表!AV334*参数!$B$41-卡牌总表!AW334*参数!$B$14</f>
        <v>39.6</v>
      </c>
      <c r="M334">
        <f>IF(AND(卡牌总表!F334="能力",卡牌总表!AL334="能力持续"),参数!$B$2*参数!$B$3,0)</f>
        <v>4.8</v>
      </c>
      <c r="N334">
        <f t="shared" si="17"/>
        <v>44.4</v>
      </c>
      <c r="O334">
        <f>IFERROR(MAX(IF(K334 &gt; 参数!$B$17,参数!$B$17+SQRT(K334-参数!$B$17)*参数!$B$18,K334)-MAX(G334,0)*参数!$B$10,0)/MAX(G334,0.4),0)</f>
        <v>13.708203932499369</v>
      </c>
      <c r="P334">
        <f>IFERROR(MAX(IF(N334 &gt; 参数!$B$17,参数!$B$17+SQRT(N334-参数!$B$17)*参数!$B$18,N334)-MAX(H334,0)*参数!$B$10,0)/MAX(H334,0.4),0)</f>
        <v>15.797726979169109</v>
      </c>
      <c r="Q334">
        <f>卡牌总表!AO334</f>
        <v>0</v>
      </c>
    </row>
    <row r="335" spans="1:17" x14ac:dyDescent="0.3">
      <c r="A335">
        <f t="shared" si="15"/>
        <v>334</v>
      </c>
      <c r="B335" t="str">
        <f>卡牌总表!B335</f>
        <v>necrobinder_death_march</v>
      </c>
      <c r="C335" t="str">
        <f>卡牌总表!D335</f>
        <v>死亡行军</v>
      </c>
      <c r="D335" t="str">
        <f>卡牌总表!F335</f>
        <v>攻击</v>
      </c>
      <c r="E335">
        <f>卡牌总表!AL335</f>
        <v>0</v>
      </c>
      <c r="F335">
        <f>卡牌总表!AN335</f>
        <v>0</v>
      </c>
      <c r="G335">
        <f>卡牌总表!AP335</f>
        <v>1</v>
      </c>
      <c r="H335">
        <f>IF(ISNUMBER(卡牌总表!H335),IF(AND(卡牌总表!H335=0,卡牌总表!V335=0,卡牌总表!AK335="none"),0.4,IF(卡牌总表!AK335="exhaust",MAX(卡牌总表!H335-卡牌总表!V335,0.4),IF(卡牌总表!AK335="ethereal",MAX(卡牌总表!H335-卡牌总表!V335,0.4),MAX(卡牌总表!H335-卡牌总表!V335,0.4)))),IF(OR(卡牌总表!H335="X",卡牌总表!H335="∞"),0.4,0.4))</f>
        <v>1</v>
      </c>
      <c r="I335">
        <f>卡牌总表!M335*卡牌总表!O335*参数!$B$5*IF(AND(卡牌总表!F335="能力",卡牌总表!AL335="能力持续"),参数!$B$2,1)+卡牌总表!P335*参数!$B$6*IF(AND(卡牌总表!F335="能力",卡牌总表!AL335="能力持续"),参数!$B$2,1)+卡牌总表!R335*参数!$B$7*IF(AND(卡牌总表!F335="能力",卡牌总表!AL335="能力持续"),参数!$B$2,1)+卡牌总表!V335*参数!$B$8+IF(卡牌总表!X335&lt;0,卡牌总表!X335*参数!$B$13,卡牌总表!X335*参数!$B$39)+IF(卡牌总表!AE335&lt;0,卡牌总表!AE335*参数!$B$13,卡牌总表!AE335*参数!$B$12)*参数!$B$2+卡牌总表!AQ335*参数!$B$15+卡牌总表!AB335*参数!$B$11+卡牌总表!AF335*参数!$B$40*参数!$B$2+卡牌总表!AG335*参数!$B$44*参数!$B$2+卡牌总表!AH335*参数!$B$6*参数!$B$2+卡牌总表!AI335*参数!$B$39*参数!$B$2+卡牌总表!AJ335*参数!$B$6*参数!$B$2+卡牌总表!Z335*参数!$B$13-卡牌总表!T335*参数!$B$14-卡牌总表!AD335*参数!$B$13+IF(ISNUMBER(卡牌总表!AU335),卡牌总表!AU335*参数!$B$38,0)-卡牌总表!AV335*参数!$B$41-卡牌总表!AW335*参数!$B$14</f>
        <v>14.899999999999999</v>
      </c>
      <c r="J335">
        <f>IF(AND(卡牌总表!F335="能力",卡牌总表!AL335="能力持续"),(参数!$B$2-1)*参数!$B$3,0)</f>
        <v>0</v>
      </c>
      <c r="K335">
        <f t="shared" si="16"/>
        <v>14.899999999999999</v>
      </c>
      <c r="L335">
        <f>卡牌总表!N335*卡牌总表!O335*参数!$B$5*IF(AND(卡牌总表!F335="能力",卡牌总表!AL335="能力持续"),参数!$B$2,1)+卡牌总表!Q335*参数!$B$6*IF(AND(卡牌总表!F335="能力",卡牌总表!AL335="能力持续"),参数!$B$2,1)+卡牌总表!S335*参数!$B$7*IF(AND(卡牌总表!F335="能力",卡牌总表!AL335="能力持续"),参数!$B$2,1)+卡牌总表!W335*参数!$B$8+IF(卡牌总表!Y335&lt;0,卡牌总表!Y335*参数!$B$13,卡牌总表!Y335*参数!$B$39)+IF(卡牌总表!AE335&lt;0,卡牌总表!AE335*参数!$B$13,卡牌总表!AE335*参数!$B$12)*参数!$B$2+卡牌总表!AR335*参数!$B$15+卡牌总表!AC335*参数!$B$11+卡牌总表!AF335*参数!$B$40*参数!$B$2+卡牌总表!AG335*参数!$B$44*参数!$B$2+卡牌总表!AH335*参数!$B$6*参数!$B$2+卡牌总表!AI335*参数!$B$39*参数!$B$2+卡牌总表!AJ335*参数!$B$6*参数!$B$2+卡牌总表!AA335*参数!$B$13-卡牌总表!U335*参数!$B$14-卡牌总表!AD335*参数!$B$13+IF(ISNUMBER(卡牌总表!AU335),卡牌总表!AU335*参数!$B$38,0)-卡牌总表!AV335*参数!$B$41-卡牌总表!AW335*参数!$B$14</f>
        <v>18.2</v>
      </c>
      <c r="M335">
        <f>IF(AND(卡牌总表!F335="能力",卡牌总表!AL335="能力持续"),参数!$B$2*参数!$B$3,0)</f>
        <v>0</v>
      </c>
      <c r="N335">
        <f t="shared" si="17"/>
        <v>18.2</v>
      </c>
      <c r="O335">
        <f>IFERROR(MAX(IF(K335 &gt; 参数!$B$17,参数!$B$17+SQRT(K335-参数!$B$17)*参数!$B$18,K335)-MAX(G335,0)*参数!$B$10,0)/MAX(G335,0.4),0)</f>
        <v>10.320391543176797</v>
      </c>
      <c r="P335">
        <f>IFERROR(MAX(IF(N335 &gt; 参数!$B$17,参数!$B$17+SQRT(N335-参数!$B$17)*参数!$B$18,N335)-MAX(H335,0)*参数!$B$10,0)/MAX(H335,0.4),0)</f>
        <v>11.295346318982906</v>
      </c>
      <c r="Q335">
        <f>卡牌总表!AO335</f>
        <v>0</v>
      </c>
    </row>
    <row r="336" spans="1:17" x14ac:dyDescent="0.3">
      <c r="A336">
        <f t="shared" si="15"/>
        <v>335</v>
      </c>
      <c r="B336" t="str">
        <f>卡牌总表!B336</f>
        <v>necrobinder_deathbringer</v>
      </c>
      <c r="C336" t="str">
        <f>卡牌总表!D336</f>
        <v>死亡使者</v>
      </c>
      <c r="D336" t="str">
        <f>卡牌总表!F336</f>
        <v>技能</v>
      </c>
      <c r="E336">
        <f>卡牌总表!AL336</f>
        <v>0</v>
      </c>
      <c r="F336" t="str">
        <f>卡牌总表!AN336</f>
        <v>群体攻击</v>
      </c>
      <c r="G336">
        <f>卡牌总表!AP336</f>
        <v>2</v>
      </c>
      <c r="H336">
        <f>IF(ISNUMBER(卡牌总表!H336),IF(AND(卡牌总表!H336=0,卡牌总表!V336=0,卡牌总表!AK336="none"),0.4,IF(卡牌总表!AK336="exhaust",MAX(卡牌总表!H336-卡牌总表!V336,0.4),IF(卡牌总表!AK336="ethereal",MAX(卡牌总表!H336-卡牌总表!V336,0.4),MAX(卡牌总表!H336-卡牌总表!V336,0.4)))),IF(OR(卡牌总表!H336="X",卡牌总表!H336="∞"),0.4,0.4))</f>
        <v>2</v>
      </c>
      <c r="I336">
        <f>卡牌总表!M336*卡牌总表!O336*参数!$B$5*IF(AND(卡牌总表!F336="能力",卡牌总表!AL336="能力持续"),参数!$B$2,1)+卡牌总表!P336*参数!$B$6*IF(AND(卡牌总表!F336="能力",卡牌总表!AL336="能力持续"),参数!$B$2,1)+卡牌总表!R336*参数!$B$7*IF(AND(卡牌总表!F336="能力",卡牌总表!AL336="能力持续"),参数!$B$2,1)+卡牌总表!V336*参数!$B$8+IF(卡牌总表!X336&lt;0,卡牌总表!X336*参数!$B$13,卡牌总表!X336*参数!$B$39)+IF(卡牌总表!AE336&lt;0,卡牌总表!AE336*参数!$B$13,卡牌总表!AE336*参数!$B$12)*参数!$B$2+卡牌总表!AQ336*参数!$B$15+卡牌总表!AB336*参数!$B$11+卡牌总表!AF336*参数!$B$40*参数!$B$2+卡牌总表!AG336*参数!$B$44*参数!$B$2+卡牌总表!AH336*参数!$B$6*参数!$B$2+卡牌总表!AI336*参数!$B$39*参数!$B$2+卡牌总表!AJ336*参数!$B$6*参数!$B$2+卡牌总表!Z336*参数!$B$13-卡牌总表!T336*参数!$B$14-卡牌总表!AD336*参数!$B$13+IF(ISNUMBER(卡牌总表!AU336),卡牌总表!AU336*参数!$B$38,0)-卡牌总表!AV336*参数!$B$41-卡牌总表!AW336*参数!$B$14</f>
        <v>60.3</v>
      </c>
      <c r="J336">
        <f>IF(AND(卡牌总表!F336="能力",卡牌总表!AL336="能力持续"),(参数!$B$2-1)*参数!$B$3,0)</f>
        <v>0</v>
      </c>
      <c r="K336">
        <f t="shared" si="16"/>
        <v>60.3</v>
      </c>
      <c r="L336">
        <f>卡牌总表!N336*卡牌总表!O336*参数!$B$5*IF(AND(卡牌总表!F336="能力",卡牌总表!AL336="能力持续"),参数!$B$2,1)+卡牌总表!Q336*参数!$B$6*IF(AND(卡牌总表!F336="能力",卡牌总表!AL336="能力持续"),参数!$B$2,1)+卡牌总表!S336*参数!$B$7*IF(AND(卡牌总表!F336="能力",卡牌总表!AL336="能力持续"),参数!$B$2,1)+卡牌总表!W336*参数!$B$8+IF(卡牌总表!Y336&lt;0,卡牌总表!Y336*参数!$B$13,卡牌总表!Y336*参数!$B$39)+IF(卡牌总表!AE336&lt;0,卡牌总表!AE336*参数!$B$13,卡牌总表!AE336*参数!$B$12)*参数!$B$2+卡牌总表!AR336*参数!$B$15+卡牌总表!AC336*参数!$B$11+卡牌总表!AF336*参数!$B$40*参数!$B$2+卡牌总表!AG336*参数!$B$44*参数!$B$2+卡牌总表!AH336*参数!$B$6*参数!$B$2+卡牌总表!AI336*参数!$B$39*参数!$B$2+卡牌总表!AJ336*参数!$B$6*参数!$B$2+卡牌总表!AA336*参数!$B$13-卡牌总表!U336*参数!$B$14-卡牌总表!AD336*参数!$B$13+IF(ISNUMBER(卡牌总表!AU336),卡牌总表!AU336*参数!$B$38,0)-卡牌总表!AV336*参数!$B$41-卡牌总表!AW336*参数!$B$14</f>
        <v>60.3</v>
      </c>
      <c r="M336">
        <f>IF(AND(卡牌总表!F336="能力",卡牌总表!AL336="能力持续"),参数!$B$2*参数!$B$3,0)</f>
        <v>0</v>
      </c>
      <c r="N336">
        <f t="shared" si="17"/>
        <v>60.3</v>
      </c>
      <c r="O336">
        <f>IFERROR(MAX(IF(K336 &gt; 参数!$B$17,参数!$B$17+SQRT(K336-参数!$B$17)*参数!$B$18,K336)-MAX(G336,0)*参数!$B$10,0)/MAX(G336,0.4),0)</f>
        <v>7.3191869679491433</v>
      </c>
      <c r="P336">
        <f>IFERROR(MAX(IF(N336 &gt; 参数!$B$17,参数!$B$17+SQRT(N336-参数!$B$17)*参数!$B$18,N336)-MAX(H336,0)*参数!$B$10,0)/MAX(H336,0.4),0)</f>
        <v>7.3191869679491433</v>
      </c>
      <c r="Q336">
        <f>卡牌总表!AO336</f>
        <v>0</v>
      </c>
    </row>
    <row r="337" spans="1:17" x14ac:dyDescent="0.3">
      <c r="A337">
        <f t="shared" si="15"/>
        <v>336</v>
      </c>
      <c r="B337" t="str">
        <f>卡牌总表!B337</f>
        <v>necrobinder_death_s_door</v>
      </c>
      <c r="C337" t="str">
        <f>卡牌总表!D337</f>
        <v>死亡之门</v>
      </c>
      <c r="D337" t="str">
        <f>卡牌总表!F337</f>
        <v>技能</v>
      </c>
      <c r="E337">
        <f>卡牌总表!AL337</f>
        <v>0</v>
      </c>
      <c r="F337" t="str">
        <f>卡牌总表!AN337</f>
        <v>本回合</v>
      </c>
      <c r="G337">
        <f>卡牌总表!AP337</f>
        <v>1</v>
      </c>
      <c r="H337">
        <f>IF(ISNUMBER(卡牌总表!H337),IF(AND(卡牌总表!H337=0,卡牌总表!V337=0,卡牌总表!AK337="none"),0.4,IF(卡牌总表!AK337="exhaust",MAX(卡牌总表!H337-卡牌总表!V337,0.4),IF(卡牌总表!AK337="ethereal",MAX(卡牌总表!H337-卡牌总表!V337,0.4),MAX(卡牌总表!H337-卡牌总表!V337,0.4)))),IF(OR(卡牌总表!H337="X",卡牌总表!H337="∞"),0.4,0.4))</f>
        <v>1</v>
      </c>
      <c r="I337">
        <f>卡牌总表!M337*卡牌总表!O337*参数!$B$5*IF(AND(卡牌总表!F337="能力",卡牌总表!AL337="能力持续"),参数!$B$2,1)+卡牌总表!P337*参数!$B$6*IF(AND(卡牌总表!F337="能力",卡牌总表!AL337="能力持续"),参数!$B$2,1)+卡牌总表!R337*参数!$B$7*IF(AND(卡牌总表!F337="能力",卡牌总表!AL337="能力持续"),参数!$B$2,1)+卡牌总表!V337*参数!$B$8+IF(卡牌总表!X337&lt;0,卡牌总表!X337*参数!$B$13,卡牌总表!X337*参数!$B$39)+IF(卡牌总表!AE337&lt;0,卡牌总表!AE337*参数!$B$13,卡牌总表!AE337*参数!$B$12)*参数!$B$2+卡牌总表!AQ337*参数!$B$15+卡牌总表!AB337*参数!$B$11+卡牌总表!AF337*参数!$B$40*参数!$B$2+卡牌总表!AG337*参数!$B$44*参数!$B$2+卡牌总表!AH337*参数!$B$6*参数!$B$2+卡牌总表!AI337*参数!$B$39*参数!$B$2+卡牌总表!AJ337*参数!$B$6*参数!$B$2+卡牌总表!Z337*参数!$B$13-卡牌总表!T337*参数!$B$14-卡牌总表!AD337*参数!$B$13+IF(ISNUMBER(卡牌总表!AU337),卡牌总表!AU337*参数!$B$38,0)-卡牌总表!AV337*参数!$B$41-卡牌总表!AW337*参数!$B$14</f>
        <v>6.6000000000000005</v>
      </c>
      <c r="J337">
        <f>IF(AND(卡牌总表!F337="能力",卡牌总表!AL337="能力持续"),(参数!$B$2-1)*参数!$B$3,0)</f>
        <v>0</v>
      </c>
      <c r="K337">
        <f t="shared" si="16"/>
        <v>6.6000000000000005</v>
      </c>
      <c r="L337">
        <f>卡牌总表!N337*卡牌总表!O337*参数!$B$5*IF(AND(卡牌总表!F337="能力",卡牌总表!AL337="能力持续"),参数!$B$2,1)+卡牌总表!Q337*参数!$B$6*IF(AND(卡牌总表!F337="能力",卡牌总表!AL337="能力持续"),参数!$B$2,1)+卡牌总表!S337*参数!$B$7*IF(AND(卡牌总表!F337="能力",卡牌总表!AL337="能力持续"),参数!$B$2,1)+卡牌总表!W337*参数!$B$8+IF(卡牌总表!Y337&lt;0,卡牌总表!Y337*参数!$B$13,卡牌总表!Y337*参数!$B$39)+IF(卡牌总表!AE337&lt;0,卡牌总表!AE337*参数!$B$13,卡牌总表!AE337*参数!$B$12)*参数!$B$2+卡牌总表!AR337*参数!$B$15+卡牌总表!AC337*参数!$B$11+卡牌总表!AF337*参数!$B$40*参数!$B$2+卡牌总表!AG337*参数!$B$44*参数!$B$2+卡牌总表!AH337*参数!$B$6*参数!$B$2+卡牌总表!AI337*参数!$B$39*参数!$B$2+卡牌总表!AJ337*参数!$B$6*参数!$B$2+卡牌总表!AA337*参数!$B$13-卡牌总表!U337*参数!$B$14-卡牌总表!AD337*参数!$B$13+IF(ISNUMBER(卡牌总表!AU337),卡牌总表!AU337*参数!$B$38,0)-卡牌总表!AV337*参数!$B$41-卡牌总表!AW337*参数!$B$14</f>
        <v>7.7000000000000011</v>
      </c>
      <c r="M337">
        <f>IF(AND(卡牌总表!F337="能力",卡牌总表!AL337="能力持续"),参数!$B$2*参数!$B$3,0)</f>
        <v>0</v>
      </c>
      <c r="N337">
        <f t="shared" si="17"/>
        <v>7.7000000000000011</v>
      </c>
      <c r="O337">
        <f>IFERROR(MAX(IF(K337 &gt; 参数!$B$17,参数!$B$17+SQRT(K337-参数!$B$17)*参数!$B$18,K337)-MAX(G337,0)*参数!$B$10,0)/MAX(G337,0.4),0)</f>
        <v>3.6000000000000005</v>
      </c>
      <c r="P337">
        <f>IFERROR(MAX(IF(N337 &gt; 参数!$B$17,参数!$B$17+SQRT(N337-参数!$B$17)*参数!$B$18,N337)-MAX(H337,0)*参数!$B$10,0)/MAX(H337,0.4),0)</f>
        <v>4.7000000000000011</v>
      </c>
      <c r="Q337">
        <f>卡牌总表!AO337</f>
        <v>0</v>
      </c>
    </row>
    <row r="338" spans="1:17" x14ac:dyDescent="0.3">
      <c r="A338">
        <f t="shared" si="15"/>
        <v>337</v>
      </c>
      <c r="B338" t="str">
        <f>卡牌总表!B338</f>
        <v>necrobinder_debilitate</v>
      </c>
      <c r="C338" t="str">
        <f>卡牌总表!D338</f>
        <v>摧残</v>
      </c>
      <c r="D338" t="str">
        <f>卡牌总表!F338</f>
        <v>攻击</v>
      </c>
      <c r="E338">
        <f>卡牌总表!AL338</f>
        <v>0</v>
      </c>
      <c r="F338">
        <f>卡牌总表!AN338</f>
        <v>0</v>
      </c>
      <c r="G338">
        <f>卡牌总表!AP338</f>
        <v>1</v>
      </c>
      <c r="H338">
        <f>IF(ISNUMBER(卡牌总表!H338),IF(AND(卡牌总表!H338=0,卡牌总表!V338=0,卡牌总表!AK338="none"),0.4,IF(卡牌总表!AK338="exhaust",MAX(卡牌总表!H338-卡牌总表!V338,0.4),IF(卡牌总表!AK338="ethereal",MAX(卡牌总表!H338-卡牌总表!V338,0.4),MAX(卡牌总表!H338-卡牌总表!V338,0.4)))),IF(OR(卡牌总表!H338="X",卡牌总表!H338="∞"),0.4,0.4))</f>
        <v>1</v>
      </c>
      <c r="I338">
        <f>卡牌总表!M338*卡牌总表!O338*参数!$B$5*IF(AND(卡牌总表!F338="能力",卡牌总表!AL338="能力持续"),参数!$B$2,1)+卡牌总表!P338*参数!$B$6*IF(AND(卡牌总表!F338="能力",卡牌总表!AL338="能力持续"),参数!$B$2,1)+卡牌总表!R338*参数!$B$7*IF(AND(卡牌总表!F338="能力",卡牌总表!AL338="能力持续"),参数!$B$2,1)+卡牌总表!V338*参数!$B$8+IF(卡牌总表!X338&lt;0,卡牌总表!X338*参数!$B$13,卡牌总表!X338*参数!$B$39)+IF(卡牌总表!AE338&lt;0,卡牌总表!AE338*参数!$B$13,卡牌总表!AE338*参数!$B$12)*参数!$B$2+卡牌总表!AQ338*参数!$B$15+卡牌总表!AB338*参数!$B$11+卡牌总表!AF338*参数!$B$40*参数!$B$2+卡牌总表!AG338*参数!$B$44*参数!$B$2+卡牌总表!AH338*参数!$B$6*参数!$B$2+卡牌总表!AI338*参数!$B$39*参数!$B$2+卡牌总表!AJ338*参数!$B$6*参数!$B$2+卡牌总表!Z338*参数!$B$13-卡牌总表!T338*参数!$B$14-卡牌总表!AD338*参数!$B$13+IF(ISNUMBER(卡牌总表!AU338),卡牌总表!AU338*参数!$B$38,0)-卡牌总表!AV338*参数!$B$41-卡牌总表!AW338*参数!$B$14</f>
        <v>18.399999999999999</v>
      </c>
      <c r="J338">
        <f>IF(AND(卡牌总表!F338="能力",卡牌总表!AL338="能力持续"),(参数!$B$2-1)*参数!$B$3,0)</f>
        <v>0</v>
      </c>
      <c r="K338">
        <f t="shared" si="16"/>
        <v>18.399999999999999</v>
      </c>
      <c r="L338">
        <f>卡牌总表!N338*卡牌总表!O338*参数!$B$5*IF(AND(卡牌总表!F338="能力",卡牌总表!AL338="能力持续"),参数!$B$2,1)+卡牌总表!Q338*参数!$B$6*IF(AND(卡牌总表!F338="能力",卡牌总表!AL338="能力持续"),参数!$B$2,1)+卡牌总表!S338*参数!$B$7*IF(AND(卡牌总表!F338="能力",卡牌总表!AL338="能力持续"),参数!$B$2,1)+卡牌总表!W338*参数!$B$8+IF(卡牌总表!Y338&lt;0,卡牌总表!Y338*参数!$B$13,卡牌总表!Y338*参数!$B$39)+IF(卡牌总表!AE338&lt;0,卡牌总表!AE338*参数!$B$13,卡牌总表!AE338*参数!$B$12)*参数!$B$2+卡牌总表!AR338*参数!$B$15+卡牌总表!AC338*参数!$B$11+卡牌总表!AF338*参数!$B$40*参数!$B$2+卡牌总表!AG338*参数!$B$44*参数!$B$2+卡牌总表!AH338*参数!$B$6*参数!$B$2+卡牌总表!AI338*参数!$B$39*参数!$B$2+卡牌总表!AJ338*参数!$B$6*参数!$B$2+卡牌总表!AA338*参数!$B$13-卡牌总表!U338*参数!$B$14-卡牌总表!AD338*参数!$B$13+IF(ISNUMBER(卡牌总表!AU338),卡牌总表!AU338*参数!$B$38,0)-卡牌总表!AV338*参数!$B$41-卡牌总表!AW338*参数!$B$14</f>
        <v>23.2</v>
      </c>
      <c r="M338">
        <f>IF(AND(卡牌总表!F338="能力",卡牌总表!AL338="能力持续"),参数!$B$2*参数!$B$3,0)</f>
        <v>0</v>
      </c>
      <c r="N338">
        <f t="shared" si="17"/>
        <v>23.2</v>
      </c>
      <c r="O338">
        <f>IFERROR(MAX(IF(K338 &gt; 参数!$B$17,参数!$B$17+SQRT(K338-参数!$B$17)*参数!$B$18,K338)-MAX(G338,0)*参数!$B$10,0)/MAX(G338,0.4),0)</f>
        <v>11.347413023856831</v>
      </c>
      <c r="P338">
        <f>IFERROR(MAX(IF(N338 &gt; 参数!$B$17,参数!$B$17+SQRT(N338-参数!$B$17)*参数!$B$18,N338)-MAX(H338,0)*参数!$B$10,0)/MAX(H338,0.4),0)</f>
        <v>12.449770637375485</v>
      </c>
      <c r="Q338">
        <f>卡牌总表!AO338</f>
        <v>0</v>
      </c>
    </row>
    <row r="339" spans="1:17" x14ac:dyDescent="0.3">
      <c r="A339">
        <f t="shared" si="15"/>
        <v>338</v>
      </c>
      <c r="B339" t="str">
        <f>卡牌总表!B339</f>
        <v>necrobinder_defend</v>
      </c>
      <c r="C339" t="str">
        <f>卡牌总表!D339</f>
        <v>防御</v>
      </c>
      <c r="D339" t="str">
        <f>卡牌总表!F339</f>
        <v>技能</v>
      </c>
      <c r="E339">
        <f>卡牌总表!AL339</f>
        <v>0</v>
      </c>
      <c r="F339">
        <f>卡牌总表!AN339</f>
        <v>0</v>
      </c>
      <c r="G339">
        <f>卡牌总表!AP339</f>
        <v>1</v>
      </c>
      <c r="H339">
        <f>IF(ISNUMBER(卡牌总表!H339),IF(AND(卡牌总表!H339=0,卡牌总表!V339=0,卡牌总表!AK339="none"),0.4,IF(卡牌总表!AK339="exhaust",MAX(卡牌总表!H339-卡牌总表!V339,0.4),IF(卡牌总表!AK339="ethereal",MAX(卡牌总表!H339-卡牌总表!V339,0.4),MAX(卡牌总表!H339-卡牌总表!V339,0.4)))),IF(OR(卡牌总表!H339="X",卡牌总表!H339="∞"),0.4,0.4))</f>
        <v>1</v>
      </c>
      <c r="I339">
        <f>卡牌总表!M339*卡牌总表!O339*参数!$B$5*IF(AND(卡牌总表!F339="能力",卡牌总表!AL339="能力持续"),参数!$B$2,1)+卡牌总表!P339*参数!$B$6*IF(AND(卡牌总表!F339="能力",卡牌总表!AL339="能力持续"),参数!$B$2,1)+卡牌总表!R339*参数!$B$7*IF(AND(卡牌总表!F339="能力",卡牌总表!AL339="能力持续"),参数!$B$2,1)+卡牌总表!V339*参数!$B$8+IF(卡牌总表!X339&lt;0,卡牌总表!X339*参数!$B$13,卡牌总表!X339*参数!$B$39)+IF(卡牌总表!AE339&lt;0,卡牌总表!AE339*参数!$B$13,卡牌总表!AE339*参数!$B$12)*参数!$B$2+卡牌总表!AQ339*参数!$B$15+卡牌总表!AB339*参数!$B$11+卡牌总表!AF339*参数!$B$40*参数!$B$2+卡牌总表!AG339*参数!$B$44*参数!$B$2+卡牌总表!AH339*参数!$B$6*参数!$B$2+卡牌总表!AI339*参数!$B$39*参数!$B$2+卡牌总表!AJ339*参数!$B$6*参数!$B$2+卡牌总表!Z339*参数!$B$13-卡牌总表!T339*参数!$B$14-卡牌总表!AD339*参数!$B$13+IF(ISNUMBER(卡牌总表!AU339),卡牌总表!AU339*参数!$B$38,0)-卡牌总表!AV339*参数!$B$41-卡牌总表!AW339*参数!$B$14</f>
        <v>5.5</v>
      </c>
      <c r="J339">
        <f>IF(AND(卡牌总表!F339="能力",卡牌总表!AL339="能力持续"),(参数!$B$2-1)*参数!$B$3,0)</f>
        <v>0</v>
      </c>
      <c r="K339">
        <f t="shared" si="16"/>
        <v>5.5</v>
      </c>
      <c r="L339">
        <f>卡牌总表!N339*卡牌总表!O339*参数!$B$5*IF(AND(卡牌总表!F339="能力",卡牌总表!AL339="能力持续"),参数!$B$2,1)+卡牌总表!Q339*参数!$B$6*IF(AND(卡牌总表!F339="能力",卡牌总表!AL339="能力持续"),参数!$B$2,1)+卡牌总表!S339*参数!$B$7*IF(AND(卡牌总表!F339="能力",卡牌总表!AL339="能力持续"),参数!$B$2,1)+卡牌总表!W339*参数!$B$8+IF(卡牌总表!Y339&lt;0,卡牌总表!Y339*参数!$B$13,卡牌总表!Y339*参数!$B$39)+IF(卡牌总表!AE339&lt;0,卡牌总表!AE339*参数!$B$13,卡牌总表!AE339*参数!$B$12)*参数!$B$2+卡牌总表!AR339*参数!$B$15+卡牌总表!AC339*参数!$B$11+卡牌总表!AF339*参数!$B$40*参数!$B$2+卡牌总表!AG339*参数!$B$44*参数!$B$2+卡牌总表!AH339*参数!$B$6*参数!$B$2+卡牌总表!AI339*参数!$B$39*参数!$B$2+卡牌总表!AJ339*参数!$B$6*参数!$B$2+卡牌总表!AA339*参数!$B$13-卡牌总表!U339*参数!$B$14-卡牌总表!AD339*参数!$B$13+IF(ISNUMBER(卡牌总表!AU339),卡牌总表!AU339*参数!$B$38,0)-卡牌总表!AV339*参数!$B$41-卡牌总表!AW339*参数!$B$14</f>
        <v>8.8000000000000007</v>
      </c>
      <c r="M339">
        <f>IF(AND(卡牌总表!F339="能力",卡牌总表!AL339="能力持续"),参数!$B$2*参数!$B$3,0)</f>
        <v>0</v>
      </c>
      <c r="N339">
        <f t="shared" si="17"/>
        <v>8.8000000000000007</v>
      </c>
      <c r="O339">
        <f>IFERROR(MAX(IF(K339 &gt; 参数!$B$17,参数!$B$17+SQRT(K339-参数!$B$17)*参数!$B$18,K339)-MAX(G339,0)*参数!$B$10,0)/MAX(G339,0.4),0)</f>
        <v>2.5</v>
      </c>
      <c r="P339">
        <f>IFERROR(MAX(IF(N339 &gt; 参数!$B$17,参数!$B$17+SQRT(N339-参数!$B$17)*参数!$B$18,N339)-MAX(H339,0)*参数!$B$10,0)/MAX(H339,0.4),0)</f>
        <v>5.8000000000000007</v>
      </c>
      <c r="Q339">
        <f>卡牌总表!AO339</f>
        <v>0</v>
      </c>
    </row>
    <row r="340" spans="1:17" x14ac:dyDescent="0.3">
      <c r="A340">
        <f t="shared" si="15"/>
        <v>339</v>
      </c>
      <c r="B340" t="str">
        <f>卡牌总表!B340</f>
        <v>necrobinder_defile</v>
      </c>
      <c r="C340" t="str">
        <f>卡牌总表!D340</f>
        <v>玷污</v>
      </c>
      <c r="D340" t="str">
        <f>卡牌总表!F340</f>
        <v>攻击</v>
      </c>
      <c r="E340">
        <f>卡牌总表!AL340</f>
        <v>0</v>
      </c>
      <c r="F340">
        <f>卡牌总表!AN340</f>
        <v>0</v>
      </c>
      <c r="G340">
        <f>卡牌总表!AP340</f>
        <v>1</v>
      </c>
      <c r="H340">
        <f>IF(ISNUMBER(卡牌总表!H340),IF(AND(卡牌总表!H340=0,卡牌总表!V340=0,卡牌总表!AK340="none"),0.4,IF(卡牌总表!AK340="exhaust",MAX(卡牌总表!H340-卡牌总表!V340,0.4),IF(卡牌总表!AK340="ethereal",MAX(卡牌总表!H340-卡牌总表!V340,0.4),MAX(卡牌总表!H340-卡牌总表!V340,0.4)))),IF(OR(卡牌总表!H340="X",卡牌总表!H340="∞"),0.4,0.4))</f>
        <v>1</v>
      </c>
      <c r="I340">
        <f>卡牌总表!M340*卡牌总表!O340*参数!$B$5*IF(AND(卡牌总表!F340="能力",卡牌总表!AL340="能力持续"),参数!$B$2,1)+卡牌总表!P340*参数!$B$6*IF(AND(卡牌总表!F340="能力",卡牌总表!AL340="能力持续"),参数!$B$2,1)+卡牌总表!R340*参数!$B$7*IF(AND(卡牌总表!F340="能力",卡牌总表!AL340="能力持续"),参数!$B$2,1)+卡牌总表!V340*参数!$B$8+IF(卡牌总表!X340&lt;0,卡牌总表!X340*参数!$B$13,卡牌总表!X340*参数!$B$39)+IF(卡牌总表!AE340&lt;0,卡牌总表!AE340*参数!$B$13,卡牌总表!AE340*参数!$B$12)*参数!$B$2+卡牌总表!AQ340*参数!$B$15+卡牌总表!AB340*参数!$B$11+卡牌总表!AF340*参数!$B$40*参数!$B$2+卡牌总表!AG340*参数!$B$44*参数!$B$2+卡牌总表!AH340*参数!$B$6*参数!$B$2+卡牌总表!AI340*参数!$B$39*参数!$B$2+卡牌总表!AJ340*参数!$B$6*参数!$B$2+卡牌总表!Z340*参数!$B$13-卡牌总表!T340*参数!$B$14-卡牌总表!AD340*参数!$B$13+IF(ISNUMBER(卡牌总表!AU340),卡牌总表!AU340*参数!$B$38,0)-卡牌总表!AV340*参数!$B$41-卡牌总表!AW340*参数!$B$14</f>
        <v>13</v>
      </c>
      <c r="J340">
        <f>IF(AND(卡牌总表!F340="能力",卡牌总表!AL340="能力持续"),(参数!$B$2-1)*参数!$B$3,0)</f>
        <v>0</v>
      </c>
      <c r="K340">
        <f t="shared" si="16"/>
        <v>13</v>
      </c>
      <c r="L340">
        <f>卡牌总表!N340*卡牌总表!O340*参数!$B$5*IF(AND(卡牌总表!F340="能力",卡牌总表!AL340="能力持续"),参数!$B$2,1)+卡牌总表!Q340*参数!$B$6*IF(AND(卡牌总表!F340="能力",卡牌总表!AL340="能力持续"),参数!$B$2,1)+卡牌总表!S340*参数!$B$7*IF(AND(卡牌总表!F340="能力",卡牌总表!AL340="能力持续"),参数!$B$2,1)+卡牌总表!W340*参数!$B$8+IF(卡牌总表!Y340&lt;0,卡牌总表!Y340*参数!$B$13,卡牌总表!Y340*参数!$B$39)+IF(卡牌总表!AE340&lt;0,卡牌总表!AE340*参数!$B$13,卡牌总表!AE340*参数!$B$12)*参数!$B$2+卡牌总表!AR340*参数!$B$15+卡牌总表!AC340*参数!$B$11+卡牌总表!AF340*参数!$B$40*参数!$B$2+卡牌总表!AG340*参数!$B$44*参数!$B$2+卡牌总表!AH340*参数!$B$6*参数!$B$2+卡牌总表!AI340*参数!$B$39*参数!$B$2+卡牌总表!AJ340*参数!$B$6*参数!$B$2+卡牌总表!AA340*参数!$B$13-卡牌总表!U340*参数!$B$14-卡牌总表!AD340*参数!$B$13+IF(ISNUMBER(卡牌总表!AU340),卡牌总表!AU340*参数!$B$38,0)-卡牌总表!AV340*参数!$B$41-卡牌总表!AW340*参数!$B$14</f>
        <v>17</v>
      </c>
      <c r="M340">
        <f>IF(AND(卡牌总表!F340="能力",卡牌总表!AL340="能力持续"),参数!$B$2*参数!$B$3,0)</f>
        <v>0</v>
      </c>
      <c r="N340">
        <f t="shared" si="17"/>
        <v>17</v>
      </c>
      <c r="O340">
        <f>IFERROR(MAX(IF(K340 &gt; 参数!$B$17,参数!$B$17+SQRT(K340-参数!$B$17)*参数!$B$18,K340)-MAX(G340,0)*参数!$B$10,0)/MAX(G340,0.4),0)</f>
        <v>9.598076211353316</v>
      </c>
      <c r="P340">
        <f>IFERROR(MAX(IF(N340 &gt; 参数!$B$17,参数!$B$17+SQRT(N340-参数!$B$17)*参数!$B$18,N340)-MAX(H340,0)*参数!$B$10,0)/MAX(H340,0.4),0)</f>
        <v>10.968626966596887</v>
      </c>
      <c r="Q340">
        <f>卡牌总表!AO340</f>
        <v>0</v>
      </c>
    </row>
    <row r="341" spans="1:17" x14ac:dyDescent="0.3">
      <c r="A341">
        <f t="shared" si="15"/>
        <v>340</v>
      </c>
      <c r="B341" t="str">
        <f>卡牌总表!B341</f>
        <v>necrobinder_defy</v>
      </c>
      <c r="C341" t="str">
        <f>卡牌总表!D341</f>
        <v>违逆</v>
      </c>
      <c r="D341" t="str">
        <f>卡牌总表!F341</f>
        <v>技能</v>
      </c>
      <c r="E341">
        <f>卡牌总表!AL341</f>
        <v>0</v>
      </c>
      <c r="F341">
        <f>卡牌总表!AN341</f>
        <v>0</v>
      </c>
      <c r="G341">
        <f>卡牌总表!AP341</f>
        <v>1</v>
      </c>
      <c r="H341">
        <f>IF(ISNUMBER(卡牌总表!H341),IF(AND(卡牌总表!H341=0,卡牌总表!V341=0,卡牌总表!AK341="none"),0.4,IF(卡牌总表!AK341="exhaust",MAX(卡牌总表!H341-卡牌总表!V341,0.4),IF(卡牌总表!AK341="ethereal",MAX(卡牌总表!H341-卡牌总表!V341,0.4),MAX(卡牌总表!H341-卡牌总表!V341,0.4)))),IF(OR(卡牌总表!H341="X",卡牌总表!H341="∞"),0.4,0.4))</f>
        <v>1</v>
      </c>
      <c r="I341">
        <f>卡牌总表!M341*卡牌总表!O341*参数!$B$5*IF(AND(卡牌总表!F341="能力",卡牌总表!AL341="能力持续"),参数!$B$2,1)+卡牌总表!P341*参数!$B$6*IF(AND(卡牌总表!F341="能力",卡牌总表!AL341="能力持续"),参数!$B$2,1)+卡牌总表!R341*参数!$B$7*IF(AND(卡牌总表!F341="能力",卡牌总表!AL341="能力持续"),参数!$B$2,1)+卡牌总表!V341*参数!$B$8+IF(卡牌总表!X341&lt;0,卡牌总表!X341*参数!$B$13,卡牌总表!X341*参数!$B$39)+IF(卡牌总表!AE341&lt;0,卡牌总表!AE341*参数!$B$13,卡牌总表!AE341*参数!$B$12)*参数!$B$2+卡牌总表!AQ341*参数!$B$15+卡牌总表!AB341*参数!$B$11+卡牌总表!AF341*参数!$B$40*参数!$B$2+卡牌总表!AG341*参数!$B$44*参数!$B$2+卡牌总表!AH341*参数!$B$6*参数!$B$2+卡牌总表!AI341*参数!$B$39*参数!$B$2+卡牌总表!AJ341*参数!$B$6*参数!$B$2+卡牌总表!Z341*参数!$B$13-卡牌总表!T341*参数!$B$14-卡牌总表!AD341*参数!$B$13+IF(ISNUMBER(卡牌总表!AU341),卡牌总表!AU341*参数!$B$38,0)-卡牌总表!AV341*参数!$B$41-卡牌总表!AW341*参数!$B$14</f>
        <v>8.1000000000000014</v>
      </c>
      <c r="J341">
        <f>IF(AND(卡牌总表!F341="能力",卡牌总表!AL341="能力持续"),(参数!$B$2-1)*参数!$B$3,0)</f>
        <v>0</v>
      </c>
      <c r="K341">
        <f t="shared" si="16"/>
        <v>8.1000000000000014</v>
      </c>
      <c r="L341">
        <f>卡牌总表!N341*卡牌总表!O341*参数!$B$5*IF(AND(卡牌总表!F341="能力",卡牌总表!AL341="能力持续"),参数!$B$2,1)+卡牌总表!Q341*参数!$B$6*IF(AND(卡牌总表!F341="能力",卡牌总表!AL341="能力持续"),参数!$B$2,1)+卡牌总表!S341*参数!$B$7*IF(AND(卡牌总表!F341="能力",卡牌总表!AL341="能力持续"),参数!$B$2,1)+卡牌总表!W341*参数!$B$8+IF(卡牌总表!Y341&lt;0,卡牌总表!Y341*参数!$B$13,卡牌总表!Y341*参数!$B$39)+IF(卡牌总表!AE341&lt;0,卡牌总表!AE341*参数!$B$13,卡牌总表!AE341*参数!$B$12)*参数!$B$2+卡牌总表!AR341*参数!$B$15+卡牌总表!AC341*参数!$B$11+卡牌总表!AF341*参数!$B$40*参数!$B$2+卡牌总表!AG341*参数!$B$44*参数!$B$2+卡牌总表!AH341*参数!$B$6*参数!$B$2+卡牌总表!AI341*参数!$B$39*参数!$B$2+卡牌总表!AJ341*参数!$B$6*参数!$B$2+卡牌总表!AA341*参数!$B$13-卡牌总表!U341*参数!$B$14-卡牌总表!AD341*参数!$B$13+IF(ISNUMBER(卡牌总表!AU341),卡牌总表!AU341*参数!$B$38,0)-卡牌总表!AV341*参数!$B$41-卡牌总表!AW341*参数!$B$14</f>
        <v>11.4</v>
      </c>
      <c r="M341">
        <f>IF(AND(卡牌总表!F341="能力",卡牌总表!AL341="能力持续"),参数!$B$2*参数!$B$3,0)</f>
        <v>0</v>
      </c>
      <c r="N341">
        <f t="shared" si="17"/>
        <v>11.4</v>
      </c>
      <c r="O341">
        <f>IFERROR(MAX(IF(K341 &gt; 参数!$B$17,参数!$B$17+SQRT(K341-参数!$B$17)*参数!$B$18,K341)-MAX(G341,0)*参数!$B$10,0)/MAX(G341,0.4),0)</f>
        <v>5.1000000000000014</v>
      </c>
      <c r="P341">
        <f>IFERROR(MAX(IF(N341 &gt; 参数!$B$17,参数!$B$17+SQRT(N341-参数!$B$17)*参数!$B$18,N341)-MAX(H341,0)*参数!$B$10,0)/MAX(H341,0.4),0)</f>
        <v>8.7748239349298842</v>
      </c>
      <c r="Q341">
        <f>卡牌总表!AO341</f>
        <v>0</v>
      </c>
    </row>
    <row r="342" spans="1:17" x14ac:dyDescent="0.3">
      <c r="A342">
        <f t="shared" si="15"/>
        <v>341</v>
      </c>
      <c r="B342" t="str">
        <f>卡牌总表!B342</f>
        <v>necrobinder_delay</v>
      </c>
      <c r="C342" t="s">
        <v>1858</v>
      </c>
      <c r="D342" t="str">
        <f>卡牌总表!F342</f>
        <v>技能</v>
      </c>
      <c r="E342">
        <f>卡牌总表!AL342</f>
        <v>0</v>
      </c>
      <c r="F342">
        <f>卡牌总表!AN342</f>
        <v>0</v>
      </c>
      <c r="G342">
        <f>卡牌总表!AP342</f>
        <v>1</v>
      </c>
      <c r="H342">
        <f>IF(ISNUMBER(卡牌总表!H342),IF(AND(卡牌总表!H342=0,卡牌总表!V342=0,卡牌总表!AK342="none"),0.4,IF(卡牌总表!AK342="exhaust",MAX(卡牌总表!H342-卡牌总表!V342,0.4),IF(卡牌总表!AK342="ethereal",MAX(卡牌总表!H342-卡牌总表!V342,0.4),MAX(卡牌总表!H342-卡牌总表!V342,0.4)))),IF(OR(卡牌总表!H342="X",卡牌总表!H342="∞"),0.4,0.4))</f>
        <v>1</v>
      </c>
      <c r="I342">
        <f>卡牌总表!M342*卡牌总表!O342*参数!$B$5*IF(AND(卡牌总表!F342="能力",卡牌总表!AL342="能力持续"),参数!$B$2,1)+卡牌总表!P342*参数!$B$6*IF(AND(卡牌总表!F342="能力",卡牌总表!AL342="能力持续"),参数!$B$2,1)+卡牌总表!R342*参数!$B$7*IF(AND(卡牌总表!F342="能力",卡牌总表!AL342="能力持续"),参数!$B$2,1)+卡牌总表!V342*参数!$B$8+IF(卡牌总表!X342&lt;0,卡牌总表!X342*参数!$B$13,卡牌总表!X342*参数!$B$39)+IF(卡牌总表!AE342&lt;0,卡牌总表!AE342*参数!$B$13,卡牌总表!AE342*参数!$B$12)*参数!$B$2+卡牌总表!AQ342*参数!$B$15+卡牌总表!AB342*参数!$B$11+卡牌总表!AF342*参数!$B$40*参数!$B$2+卡牌总表!AG342*参数!$B$44*参数!$B$2+卡牌总表!AH342*参数!$B$6*参数!$B$2+卡牌总表!AI342*参数!$B$39*参数!$B$2+卡牌总表!AJ342*参数!$B$6*参数!$B$2+卡牌总表!Z342*参数!$B$13-卡牌总表!T342*参数!$B$14-卡牌总表!AD342*参数!$B$13+IF(ISNUMBER(卡牌总表!AU342),卡牌总表!AU342*参数!$B$38,0)-卡牌总表!AV342*参数!$B$41-卡牌总表!AW342*参数!$B$14</f>
        <v>15.100000000000001</v>
      </c>
      <c r="J342">
        <f>IF(AND(卡牌总表!F342="能力",卡牌总表!AL342="能力持续"),(参数!$B$2-1)*参数!$B$3,0)</f>
        <v>0</v>
      </c>
      <c r="K342">
        <f t="shared" si="16"/>
        <v>15.100000000000001</v>
      </c>
      <c r="L342">
        <f>卡牌总表!N342*卡牌总表!O342*参数!$B$5*IF(AND(卡牌总表!F342="能力",卡牌总表!AL342="能力持续"),参数!$B$2,1)+卡牌总表!Q342*参数!$B$6*IF(AND(卡牌总表!F342="能力",卡牌总表!AL342="能力持续"),参数!$B$2,1)+卡牌总表!S342*参数!$B$7*IF(AND(卡牌总表!F342="能力",卡牌总表!AL342="能力持续"),参数!$B$2,1)+卡牌总表!W342*参数!$B$8+IF(卡牌总表!Y342&lt;0,卡牌总表!Y342*参数!$B$13,卡牌总表!Y342*参数!$B$39)+IF(卡牌总表!AE342&lt;0,卡牌总表!AE342*参数!$B$13,卡牌总表!AE342*参数!$B$12)*参数!$B$2+卡牌总表!AR342*参数!$B$15+卡牌总表!AC342*参数!$B$11+卡牌总表!AF342*参数!$B$40*参数!$B$2+卡牌总表!AG342*参数!$B$44*参数!$B$2+卡牌总表!AH342*参数!$B$6*参数!$B$2+卡牌总表!AI342*参数!$B$39*参数!$B$2+卡牌总表!AJ342*参数!$B$6*参数!$B$2+卡牌总表!AA342*参数!$B$13-卡牌总表!U342*参数!$B$14-卡牌总表!AD342*参数!$B$13+IF(ISNUMBER(卡牌总表!AU342),卡牌总表!AU342*参数!$B$38,0)-卡牌总表!AV342*参数!$B$41-卡牌总表!AW342*参数!$B$14</f>
        <v>20.3</v>
      </c>
      <c r="M342">
        <f>IF(AND(卡牌总表!F342="能力",卡牌总表!AL342="能力持续"),参数!$B$2*参数!$B$3,0)</f>
        <v>0</v>
      </c>
      <c r="N342">
        <f t="shared" si="17"/>
        <v>20.3</v>
      </c>
      <c r="O342">
        <f>IFERROR(MAX(IF(K342 &gt; 参数!$B$17,参数!$B$17+SQRT(K342-参数!$B$17)*参数!$B$18,K342)-MAX(G342,0)*参数!$B$10,0)/MAX(G342,0.4),0)</f>
        <v>10.387476937190865</v>
      </c>
      <c r="P342">
        <f>IFERROR(MAX(IF(N342 &gt; 参数!$B$17,参数!$B$17+SQRT(N342-参数!$B$17)*参数!$B$18,N342)-MAX(H342,0)*参数!$B$10,0)/MAX(H342,0.4),0)</f>
        <v>11.814041960764364</v>
      </c>
      <c r="Q342">
        <f>卡牌总表!AO342</f>
        <v>0</v>
      </c>
    </row>
    <row r="343" spans="1:17" x14ac:dyDescent="0.3">
      <c r="A343">
        <f t="shared" si="15"/>
        <v>342</v>
      </c>
      <c r="B343" t="str">
        <f>卡牌总表!B343</f>
        <v>necrobinder_demesne</v>
      </c>
      <c r="C343" t="s">
        <v>1857</v>
      </c>
      <c r="D343" t="str">
        <f>卡牌总表!F343</f>
        <v>能力</v>
      </c>
      <c r="E343" t="str">
        <f>卡牌总表!AL343</f>
        <v>能力持续</v>
      </c>
      <c r="F343" t="str">
        <f>卡牌总表!AN343</f>
        <v>能力</v>
      </c>
      <c r="G343">
        <f>卡牌总表!AP343</f>
        <v>0.4</v>
      </c>
      <c r="H343">
        <f>IF(ISNUMBER(卡牌总表!H343),IF(AND(卡牌总表!H343=0,卡牌总表!V343=0,卡牌总表!AK343="none"),0.4,IF(卡牌总表!AK343="exhaust",MAX(卡牌总表!H343-卡牌总表!V343,0.4),IF(卡牌总表!AK343="ethereal",MAX(卡牌总表!H343-卡牌总表!V343,0.4),MAX(卡牌总表!H343-卡牌总表!V343,0.4)))),IF(OR(卡牌总表!H343="X",卡牌总表!H343="∞"),0.4,0.4))</f>
        <v>0.4</v>
      </c>
      <c r="I343">
        <f>卡牌总表!M343*卡牌总表!O343*参数!$B$5*IF(AND(卡牌总表!F343="能力",卡牌总表!AL343="能力持续"),参数!$B$2,1)+卡牌总表!P343*参数!$B$6*IF(AND(卡牌总表!F343="能力",卡牌总表!AL343="能力持续"),参数!$B$2,1)+卡牌总表!R343*参数!$B$7*IF(AND(卡牌总表!F343="能力",卡牌总表!AL343="能力持续"),参数!$B$2,1)+卡牌总表!V343*参数!$B$8+IF(卡牌总表!X343&lt;0,卡牌总表!X343*参数!$B$13,卡牌总表!X343*参数!$B$39)+IF(卡牌总表!AE343&lt;0,卡牌总表!AE343*参数!$B$13,卡牌总表!AE343*参数!$B$12)*参数!$B$2+卡牌总表!AQ343*参数!$B$15+卡牌总表!AB343*参数!$B$11+卡牌总表!AF343*参数!$B$40*参数!$B$2+卡牌总表!AG343*参数!$B$44*参数!$B$2+卡牌总表!AH343*参数!$B$6*参数!$B$2+卡牌总表!AI343*参数!$B$39*参数!$B$2+卡牌总表!AJ343*参数!$B$6*参数!$B$2+卡牌总表!Z343*参数!$B$13-卡牌总表!T343*参数!$B$14-卡牌总表!AD343*参数!$B$13+IF(ISNUMBER(卡牌总表!AU343),卡牌总表!AU343*参数!$B$38,0)-卡牌总表!AV343*参数!$B$41-卡牌总表!AW343*参数!$B$14</f>
        <v>14.8</v>
      </c>
      <c r="J343">
        <f>IF(AND(卡牌总表!F343="能力",卡牌总表!AL343="能力持续"),(参数!$B$2-1)*参数!$B$3,0)</f>
        <v>3.5999999999999996</v>
      </c>
      <c r="K343">
        <f t="shared" si="16"/>
        <v>18.399999999999999</v>
      </c>
      <c r="L343">
        <f>卡牌总表!N343*卡牌总表!O343*参数!$B$5*IF(AND(卡牌总表!F343="能力",卡牌总表!AL343="能力持续"),参数!$B$2,1)+卡牌总表!Q343*参数!$B$6*IF(AND(卡牌总表!F343="能力",卡牌总表!AL343="能力持续"),参数!$B$2,1)+卡牌总表!S343*参数!$B$7*IF(AND(卡牌总表!F343="能力",卡牌总表!AL343="能力持续"),参数!$B$2,1)+卡牌总表!W343*参数!$B$8+IF(卡牌总表!Y343&lt;0,卡牌总表!Y343*参数!$B$13,卡牌总表!Y343*参数!$B$39)+IF(卡牌总表!AE343&lt;0,卡牌总表!AE343*参数!$B$13,卡牌总表!AE343*参数!$B$12)*参数!$B$2+卡牌总表!AR343*参数!$B$15+卡牌总表!AC343*参数!$B$11+卡牌总表!AF343*参数!$B$40*参数!$B$2+卡牌总表!AG343*参数!$B$44*参数!$B$2+卡牌总表!AH343*参数!$B$6*参数!$B$2+卡牌总表!AI343*参数!$B$39*参数!$B$2+卡牌总表!AJ343*参数!$B$6*参数!$B$2+卡牌总表!AA343*参数!$B$13-卡牌总表!U343*参数!$B$14-卡牌总表!AD343*参数!$B$13+IF(ISNUMBER(卡牌总表!AU343),卡牌总表!AU343*参数!$B$38,0)-卡牌总表!AV343*参数!$B$41-卡牌总表!AW343*参数!$B$14</f>
        <v>5.8</v>
      </c>
      <c r="M343">
        <f>IF(AND(卡牌总表!F343="能力",卡牌总表!AL343="能力持续"),参数!$B$2*参数!$B$3,0)</f>
        <v>4.8</v>
      </c>
      <c r="N343">
        <f t="shared" si="17"/>
        <v>10.6</v>
      </c>
      <c r="O343">
        <f>IFERROR(MAX(IF(K343 &gt; 参数!$B$17,参数!$B$17+SQRT(K343-参数!$B$17)*参数!$B$18,K343)-MAX(G343,0)*参数!$B$10,0)/MAX(G343,0.4),0)</f>
        <v>32.868532559642077</v>
      </c>
      <c r="P343">
        <f>IFERROR(MAX(IF(N343 &gt; 参数!$B$17,参数!$B$17+SQRT(N343-参数!$B$17)*参数!$B$18,N343)-MAX(H343,0)*参数!$B$10,0)/MAX(H343,0.4),0)</f>
        <v>24.904737509655561</v>
      </c>
      <c r="Q343">
        <f>卡牌总表!AO343</f>
        <v>0</v>
      </c>
    </row>
    <row r="344" spans="1:17" x14ac:dyDescent="0.3">
      <c r="A344">
        <f t="shared" si="15"/>
        <v>343</v>
      </c>
      <c r="B344" t="str">
        <f>卡牌总表!B344</f>
        <v>necrobinder_devour_life</v>
      </c>
      <c r="C344" t="str">
        <f>卡牌总表!D344</f>
        <v>吞噬生命</v>
      </c>
      <c r="D344" t="str">
        <f>卡牌总表!F344</f>
        <v>能力</v>
      </c>
      <c r="E344" t="str">
        <f>卡牌总表!AL344</f>
        <v>能力持续</v>
      </c>
      <c r="F344" t="str">
        <f>卡牌总表!AN344</f>
        <v>能力</v>
      </c>
      <c r="G344">
        <f>卡牌总表!AP344</f>
        <v>1</v>
      </c>
      <c r="H344">
        <f>IF(ISNUMBER(卡牌总表!H344),IF(AND(卡牌总表!H344=0,卡牌总表!V344=0,卡牌总表!AK344="none"),0.4,IF(卡牌总表!AK344="exhaust",MAX(卡牌总表!H344-卡牌总表!V344,0.4),IF(卡牌总表!AK344="ethereal",MAX(卡牌总表!H344-卡牌总表!V344,0.4),MAX(卡牌总表!H344-卡牌总表!V344,0.4)))),IF(OR(卡牌总表!H344="X",卡牌总表!H344="∞"),0.4,0.4))</f>
        <v>1</v>
      </c>
      <c r="I344">
        <f>卡牌总表!M344*卡牌总表!O344*参数!$B$5*IF(AND(卡牌总表!F344="能力",卡牌总表!AL344="能力持续"),参数!$B$2,1)+卡牌总表!P344*参数!$B$6*IF(AND(卡牌总表!F344="能力",卡牌总表!AL344="能力持续"),参数!$B$2,1)+卡牌总表!R344*参数!$B$7*IF(AND(卡牌总表!F344="能力",卡牌总表!AL344="能力持续"),参数!$B$2,1)+卡牌总表!V344*参数!$B$8+IF(卡牌总表!X344&lt;0,卡牌总表!X344*参数!$B$13,卡牌总表!X344*参数!$B$39)+IF(卡牌总表!AE344&lt;0,卡牌总表!AE344*参数!$B$13,卡牌总表!AE344*参数!$B$12)*参数!$B$2+卡牌总表!AQ344*参数!$B$15+卡牌总表!AB344*参数!$B$11+卡牌总表!AF344*参数!$B$40*参数!$B$2+卡牌总表!AG344*参数!$B$44*参数!$B$2+卡牌总表!AH344*参数!$B$6*参数!$B$2+卡牌总表!AI344*参数!$B$39*参数!$B$2+卡牌总表!AJ344*参数!$B$6*参数!$B$2+卡牌总表!Z344*参数!$B$13-卡牌总表!T344*参数!$B$14-卡牌总表!AD344*参数!$B$13+IF(ISNUMBER(卡牌总表!AU344),卡牌总表!AU344*参数!$B$38,0)-卡牌总表!AV344*参数!$B$41-卡牌总表!AW344*参数!$B$14</f>
        <v>2.2999999999999998</v>
      </c>
      <c r="J344">
        <f>IF(AND(卡牌总表!F344="能力",卡牌总表!AL344="能力持续"),(参数!$B$2-1)*参数!$B$3,0)</f>
        <v>3.5999999999999996</v>
      </c>
      <c r="K344">
        <f t="shared" si="16"/>
        <v>5.8999999999999995</v>
      </c>
      <c r="L344">
        <f>卡牌总表!N344*卡牌总表!O344*参数!$B$5*IF(AND(卡牌总表!F344="能力",卡牌总表!AL344="能力持续"),参数!$B$2,1)+卡牌总表!Q344*参数!$B$6*IF(AND(卡牌总表!F344="能力",卡牌总表!AL344="能力持续"),参数!$B$2,1)+卡牌总表!S344*参数!$B$7*IF(AND(卡牌总表!F344="能力",卡牌总表!AL344="能力持续"),参数!$B$2,1)+卡牌总表!W344*参数!$B$8+IF(卡牌总表!Y344&lt;0,卡牌总表!Y344*参数!$B$13,卡牌总表!Y344*参数!$B$39)+IF(卡牌总表!AE344&lt;0,卡牌总表!AE344*参数!$B$13,卡牌总表!AE344*参数!$B$12)*参数!$B$2+卡牌总表!AR344*参数!$B$15+卡牌总表!AC344*参数!$B$11+卡牌总表!AF344*参数!$B$40*参数!$B$2+卡牌总表!AG344*参数!$B$44*参数!$B$2+卡牌总表!AH344*参数!$B$6*参数!$B$2+卡牌总表!AI344*参数!$B$39*参数!$B$2+卡牌总表!AJ344*参数!$B$6*参数!$B$2+卡牌总表!AA344*参数!$B$13-卡牌总表!U344*参数!$B$14-卡牌总表!AD344*参数!$B$13+IF(ISNUMBER(卡牌总表!AU344),卡牌总表!AU344*参数!$B$38,0)-卡牌总表!AV344*参数!$B$41-卡牌总表!AW344*参数!$B$14</f>
        <v>2.2999999999999998</v>
      </c>
      <c r="M344">
        <f>IF(AND(卡牌总表!F344="能力",卡牌总表!AL344="能力持续"),参数!$B$2*参数!$B$3,0)</f>
        <v>4.8</v>
      </c>
      <c r="N344">
        <f t="shared" si="17"/>
        <v>7.1</v>
      </c>
      <c r="O344">
        <f>IFERROR(MAX(IF(K344 &gt; 参数!$B$17,参数!$B$17+SQRT(K344-参数!$B$17)*参数!$B$18,K344)-MAX(G344,0)*参数!$B$10,0)/MAX(G344,0.4),0)</f>
        <v>2.8999999999999995</v>
      </c>
      <c r="P344">
        <f>IFERROR(MAX(IF(N344 &gt; 参数!$B$17,参数!$B$17+SQRT(N344-参数!$B$17)*参数!$B$18,N344)-MAX(H344,0)*参数!$B$10,0)/MAX(H344,0.4),0)</f>
        <v>4.0999999999999996</v>
      </c>
      <c r="Q344">
        <f>卡牌总表!AO344</f>
        <v>0</v>
      </c>
    </row>
    <row r="345" spans="1:17" x14ac:dyDescent="0.3">
      <c r="A345">
        <f t="shared" si="15"/>
        <v>344</v>
      </c>
      <c r="B345" t="str">
        <f>卡牌总表!B345</f>
        <v>necrobinder_dirge</v>
      </c>
      <c r="C345" t="str">
        <f>卡牌总表!D345</f>
        <v>挽歌</v>
      </c>
      <c r="D345" t="str">
        <f>卡牌总表!F345</f>
        <v>技能</v>
      </c>
      <c r="E345">
        <f>卡牌总表!AL345</f>
        <v>0</v>
      </c>
      <c r="F345">
        <f>卡牌总表!AN345</f>
        <v>0</v>
      </c>
      <c r="G345">
        <f>卡牌总表!AP345</f>
        <v>0.4</v>
      </c>
      <c r="H345">
        <f>IF(ISNUMBER(卡牌总表!H345),IF(AND(卡牌总表!H345=0,卡牌总表!V345=0,卡牌总表!AK345="none"),0.4,IF(卡牌总表!AK345="exhaust",MAX(卡牌总表!H345-卡牌总表!V345,0.4),IF(卡牌总表!AK345="ethereal",MAX(卡牌总表!H345-卡牌总表!V345,0.4),MAX(卡牌总表!H345-卡牌总表!V345,0.4)))),IF(OR(卡牌总表!H345="X",卡牌总表!H345="∞"),0.4,0.4))</f>
        <v>0.4</v>
      </c>
      <c r="I345">
        <f>卡牌总表!M345*卡牌总表!O345*参数!$B$5*IF(AND(卡牌总表!F345="能力",卡牌总表!AL345="能力持续"),参数!$B$2,1)+卡牌总表!P345*参数!$B$6*IF(AND(卡牌总表!F345="能力",卡牌总表!AL345="能力持续"),参数!$B$2,1)+卡牌总表!R345*参数!$B$7*IF(AND(卡牌总表!F345="能力",卡牌总表!AL345="能力持续"),参数!$B$2,1)+卡牌总表!V345*参数!$B$8+IF(卡牌总表!X345&lt;0,卡牌总表!X345*参数!$B$13,卡牌总表!X345*参数!$B$39)+IF(卡牌总表!AE345&lt;0,卡牌总表!AE345*参数!$B$13,卡牌总表!AE345*参数!$B$12)*参数!$B$2+卡牌总表!AQ345*参数!$B$15+卡牌总表!AB345*参数!$B$11+卡牌总表!AF345*参数!$B$40*参数!$B$2+卡牌总表!AG345*参数!$B$44*参数!$B$2+卡牌总表!AH345*参数!$B$6*参数!$B$2+卡牌总表!AI345*参数!$B$39*参数!$B$2+卡牌总表!AJ345*参数!$B$6*参数!$B$2+卡牌总表!Z345*参数!$B$13-卡牌总表!T345*参数!$B$14-卡牌总表!AD345*参数!$B$13+IF(ISNUMBER(卡牌总表!AU345),卡牌总表!AU345*参数!$B$38,0)-卡牌总表!AV345*参数!$B$41-卡牌总表!AW345*参数!$B$14</f>
        <v>2.0999999999999996</v>
      </c>
      <c r="J345">
        <f>IF(AND(卡牌总表!F345="能力",卡牌总表!AL345="能力持续"),(参数!$B$2-1)*参数!$B$3,0)</f>
        <v>0</v>
      </c>
      <c r="K345">
        <f t="shared" si="16"/>
        <v>2.0999999999999996</v>
      </c>
      <c r="L345">
        <f>卡牌总表!N345*卡牌总表!O345*参数!$B$5*IF(AND(卡牌总表!F345="能力",卡牌总表!AL345="能力持续"),参数!$B$2,1)+卡牌总表!Q345*参数!$B$6*IF(AND(卡牌总表!F345="能力",卡牌总表!AL345="能力持续"),参数!$B$2,1)+卡牌总表!S345*参数!$B$7*IF(AND(卡牌总表!F345="能力",卡牌总表!AL345="能力持续"),参数!$B$2,1)+卡牌总表!W345*参数!$B$8+IF(卡牌总表!Y345&lt;0,卡牌总表!Y345*参数!$B$13,卡牌总表!Y345*参数!$B$39)+IF(卡牌总表!AE345&lt;0,卡牌总表!AE345*参数!$B$13,卡牌总表!AE345*参数!$B$12)*参数!$B$2+卡牌总表!AR345*参数!$B$15+卡牌总表!AC345*参数!$B$11+卡牌总表!AF345*参数!$B$40*参数!$B$2+卡牌总表!AG345*参数!$B$44*参数!$B$2+卡牌总表!AH345*参数!$B$6*参数!$B$2+卡牌总表!AI345*参数!$B$39*参数!$B$2+卡牌总表!AJ345*参数!$B$6*参数!$B$2+卡牌总表!AA345*参数!$B$13-卡牌总表!U345*参数!$B$14-卡牌总表!AD345*参数!$B$13+IF(ISNUMBER(卡牌总表!AU345),卡牌总表!AU345*参数!$B$38,0)-卡牌总表!AV345*参数!$B$41-卡牌总表!AW345*参数!$B$14</f>
        <v>2.8</v>
      </c>
      <c r="M345">
        <f>IF(AND(卡牌总表!F345="能力",卡牌总表!AL345="能力持续"),参数!$B$2*参数!$B$3,0)</f>
        <v>0</v>
      </c>
      <c r="N345">
        <f t="shared" si="17"/>
        <v>2.8</v>
      </c>
      <c r="O345">
        <f>IFERROR(MAX(IF(K345 &gt; 参数!$B$17,参数!$B$17+SQRT(K345-参数!$B$17)*参数!$B$18,K345)-MAX(G345,0)*参数!$B$10,0)/MAX(G345,0.4),0)</f>
        <v>2.2499999999999987</v>
      </c>
      <c r="P345">
        <f>IFERROR(MAX(IF(N345 &gt; 参数!$B$17,参数!$B$17+SQRT(N345-参数!$B$17)*参数!$B$18,N345)-MAX(H345,0)*参数!$B$10,0)/MAX(H345,0.4),0)</f>
        <v>3.9999999999999991</v>
      </c>
      <c r="Q345">
        <f>卡牌总表!AO345</f>
        <v>0</v>
      </c>
    </row>
    <row r="346" spans="1:17" x14ac:dyDescent="0.3">
      <c r="A346">
        <f t="shared" si="15"/>
        <v>345</v>
      </c>
      <c r="B346" t="str">
        <f>卡牌总表!B346</f>
        <v>necrobinder_drain_power</v>
      </c>
      <c r="C346" t="str">
        <f>卡牌总表!D346</f>
        <v>汲取力量</v>
      </c>
      <c r="D346" t="str">
        <f>卡牌总表!F346</f>
        <v>攻击</v>
      </c>
      <c r="E346">
        <f>卡牌总表!AL346</f>
        <v>0</v>
      </c>
      <c r="F346">
        <f>卡牌总表!AN346</f>
        <v>0</v>
      </c>
      <c r="G346">
        <f>卡牌总表!AP346</f>
        <v>1</v>
      </c>
      <c r="H346">
        <f>IF(ISNUMBER(卡牌总表!H346),IF(AND(卡牌总表!H346=0,卡牌总表!V346=0,卡牌总表!AK346="none"),0.4,IF(卡牌总表!AK346="exhaust",MAX(卡牌总表!H346-卡牌总表!V346,0.4),IF(卡牌总表!AK346="ethereal",MAX(卡牌总表!H346-卡牌总表!V346,0.4),MAX(卡牌总表!H346-卡牌总表!V346,0.4)))),IF(OR(卡牌总表!H346="X",卡牌总表!H346="∞"),0.4,0.4))</f>
        <v>1</v>
      </c>
      <c r="I346">
        <f>卡牌总表!M346*卡牌总表!O346*参数!$B$5*IF(AND(卡牌总表!F346="能力",卡牌总表!AL346="能力持续"),参数!$B$2,1)+卡牌总表!P346*参数!$B$6*IF(AND(卡牌总表!F346="能力",卡牌总表!AL346="能力持续"),参数!$B$2,1)+卡牌总表!R346*参数!$B$7*IF(AND(卡牌总表!F346="能力",卡牌总表!AL346="能力持续"),参数!$B$2,1)+卡牌总表!V346*参数!$B$8+IF(卡牌总表!X346&lt;0,卡牌总表!X346*参数!$B$13,卡牌总表!X346*参数!$B$39)+IF(卡牌总表!AE346&lt;0,卡牌总表!AE346*参数!$B$13,卡牌总表!AE346*参数!$B$12)*参数!$B$2+卡牌总表!AQ346*参数!$B$15+卡牌总表!AB346*参数!$B$11+卡牌总表!AF346*参数!$B$40*参数!$B$2+卡牌总表!AG346*参数!$B$44*参数!$B$2+卡牌总表!AH346*参数!$B$6*参数!$B$2+卡牌总表!AI346*参数!$B$39*参数!$B$2+卡牌总表!AJ346*参数!$B$6*参数!$B$2+卡牌总表!Z346*参数!$B$13-卡牌总表!T346*参数!$B$14-卡牌总表!AD346*参数!$B$13+IF(ISNUMBER(卡牌总表!AU346),卡牌总表!AU346*参数!$B$38,0)-卡牌总表!AV346*参数!$B$41-卡牌总表!AW346*参数!$B$14</f>
        <v>16</v>
      </c>
      <c r="J346">
        <f>IF(AND(卡牌总表!F346="能力",卡牌总表!AL346="能力持续"),(参数!$B$2-1)*参数!$B$3,0)</f>
        <v>0</v>
      </c>
      <c r="K346">
        <f t="shared" si="16"/>
        <v>16</v>
      </c>
      <c r="L346">
        <f>卡牌总表!N346*卡牌总表!O346*参数!$B$5*IF(AND(卡牌总表!F346="能力",卡牌总表!AL346="能力持续"),参数!$B$2,1)+卡牌总表!Q346*参数!$B$6*IF(AND(卡牌总表!F346="能力",卡牌总表!AL346="能力持续"),参数!$B$2,1)+卡牌总表!S346*参数!$B$7*IF(AND(卡牌总表!F346="能力",卡牌总表!AL346="能力持续"),参数!$B$2,1)+卡牌总表!W346*参数!$B$8+IF(卡牌总表!Y346&lt;0,卡牌总表!Y346*参数!$B$13,卡牌总表!Y346*参数!$B$39)+IF(卡牌总表!AE346&lt;0,卡牌总表!AE346*参数!$B$13,卡牌总表!AE346*参数!$B$12)*参数!$B$2+卡牌总表!AR346*参数!$B$15+卡牌总表!AC346*参数!$B$11+卡牌总表!AF346*参数!$B$40*参数!$B$2+卡牌总表!AG346*参数!$B$44*参数!$B$2+卡牌总表!AH346*参数!$B$6*参数!$B$2+卡牌总表!AI346*参数!$B$39*参数!$B$2+卡牌总表!AJ346*参数!$B$6*参数!$B$2+卡牌总表!AA346*参数!$B$13-卡牌总表!U346*参数!$B$14-卡牌总表!AD346*参数!$B$13+IF(ISNUMBER(卡牌总表!AU346),卡牌总表!AU346*参数!$B$38,0)-卡牌总表!AV346*参数!$B$41-卡牌总表!AW346*参数!$B$14</f>
        <v>21</v>
      </c>
      <c r="M346">
        <f>IF(AND(卡牌总表!F346="能力",卡牌总表!AL346="能力持续"),参数!$B$2*参数!$B$3,0)</f>
        <v>0</v>
      </c>
      <c r="N346">
        <f t="shared" si="17"/>
        <v>21</v>
      </c>
      <c r="O346">
        <f>IFERROR(MAX(IF(K346 &gt; 参数!$B$17,参数!$B$17+SQRT(K346-参数!$B$17)*参数!$B$18,K346)-MAX(G346,0)*参数!$B$10,0)/MAX(G346,0.4),0)</f>
        <v>10.674234614174766</v>
      </c>
      <c r="P346">
        <f>IFERROR(MAX(IF(N346 &gt; 参数!$B$17,参数!$B$17+SQRT(N346-参数!$B$17)*参数!$B$18,N346)-MAX(H346,0)*参数!$B$10,0)/MAX(H346,0.4),0)</f>
        <v>11.974937185533101</v>
      </c>
      <c r="Q346">
        <f>卡牌总表!AO346</f>
        <v>0</v>
      </c>
    </row>
    <row r="347" spans="1:17" x14ac:dyDescent="0.3">
      <c r="A347">
        <f t="shared" si="15"/>
        <v>346</v>
      </c>
      <c r="B347" t="str">
        <f>卡牌总表!B347</f>
        <v>necrobinder_dredge</v>
      </c>
      <c r="C347" t="str">
        <f>卡牌总表!D347</f>
        <v>清淤</v>
      </c>
      <c r="D347" t="str">
        <f>卡牌总表!F347</f>
        <v>技能</v>
      </c>
      <c r="E347">
        <f>卡牌总表!AL347</f>
        <v>0</v>
      </c>
      <c r="F347">
        <f>卡牌总表!AN347</f>
        <v>0</v>
      </c>
      <c r="G347">
        <f>卡牌总表!AP347</f>
        <v>1</v>
      </c>
      <c r="H347">
        <f>IF(ISNUMBER(卡牌总表!H347),IF(AND(卡牌总表!H347=0,卡牌总表!V347=0,卡牌总表!AK347="none"),0.4,IF(卡牌总表!AK347="exhaust",MAX(卡牌总表!H347-卡牌总表!V347,0.4),IF(卡牌总表!AK347="ethereal",MAX(卡牌总表!H347-卡牌总表!V347,0.4),MAX(卡牌总表!H347-卡牌总表!V347,0.4)))),IF(OR(卡牌总表!H347="X",卡牌总表!H347="∞"),0.4,0.4))</f>
        <v>1</v>
      </c>
      <c r="I347">
        <f>卡牌总表!M347*卡牌总表!O347*参数!$B$5*IF(AND(卡牌总表!F347="能力",卡牌总表!AL347="能力持续"),参数!$B$2,1)+卡牌总表!P347*参数!$B$6*IF(AND(卡牌总表!F347="能力",卡牌总表!AL347="能力持续"),参数!$B$2,1)+卡牌总表!R347*参数!$B$7*IF(AND(卡牌总表!F347="能力",卡牌总表!AL347="能力持续"),参数!$B$2,1)+卡牌总表!V347*参数!$B$8+IF(卡牌总表!X347&lt;0,卡牌总表!X347*参数!$B$13,卡牌总表!X347*参数!$B$39)+IF(卡牌总表!AE347&lt;0,卡牌总表!AE347*参数!$B$13,卡牌总表!AE347*参数!$B$12)*参数!$B$2+卡牌总表!AQ347*参数!$B$15+卡牌总表!AB347*参数!$B$11+卡牌总表!AF347*参数!$B$40*参数!$B$2+卡牌总表!AG347*参数!$B$44*参数!$B$2+卡牌总表!AH347*参数!$B$6*参数!$B$2+卡牌总表!AI347*参数!$B$39*参数!$B$2+卡牌总表!AJ347*参数!$B$6*参数!$B$2+卡牌总表!Z347*参数!$B$13-卡牌总表!T347*参数!$B$14-卡牌总表!AD347*参数!$B$13+IF(ISNUMBER(卡牌总表!AU347),卡牌总表!AU347*参数!$B$38,0)-卡牌总表!AV347*参数!$B$41-卡牌总表!AW347*参数!$B$14</f>
        <v>2.0999999999999996</v>
      </c>
      <c r="J347">
        <f>IF(AND(卡牌总表!F347="能力",卡牌总表!AL347="能力持续"),(参数!$B$2-1)*参数!$B$3,0)</f>
        <v>0</v>
      </c>
      <c r="K347">
        <f t="shared" si="16"/>
        <v>2.0999999999999996</v>
      </c>
      <c r="L347">
        <f>卡牌总表!N347*卡牌总表!O347*参数!$B$5*IF(AND(卡牌总表!F347="能力",卡牌总表!AL347="能力持续"),参数!$B$2,1)+卡牌总表!Q347*参数!$B$6*IF(AND(卡牌总表!F347="能力",卡牌总表!AL347="能力持续"),参数!$B$2,1)+卡牌总表!S347*参数!$B$7*IF(AND(卡牌总表!F347="能力",卡牌总表!AL347="能力持续"),参数!$B$2,1)+卡牌总表!W347*参数!$B$8+IF(卡牌总表!Y347&lt;0,卡牌总表!Y347*参数!$B$13,卡牌总表!Y347*参数!$B$39)+IF(卡牌总表!AE347&lt;0,卡牌总表!AE347*参数!$B$13,卡牌总表!AE347*参数!$B$12)*参数!$B$2+卡牌总表!AR347*参数!$B$15+卡牌总表!AC347*参数!$B$11+卡牌总表!AF347*参数!$B$40*参数!$B$2+卡牌总表!AG347*参数!$B$44*参数!$B$2+卡牌总表!AH347*参数!$B$6*参数!$B$2+卡牌总表!AI347*参数!$B$39*参数!$B$2+卡牌总表!AJ347*参数!$B$6*参数!$B$2+卡牌总表!AA347*参数!$B$13-卡牌总表!U347*参数!$B$14-卡牌总表!AD347*参数!$B$13+IF(ISNUMBER(卡牌总表!AU347),卡牌总表!AU347*参数!$B$38,0)-卡牌总表!AV347*参数!$B$41-卡牌总表!AW347*参数!$B$14</f>
        <v>2.0999999999999996</v>
      </c>
      <c r="M347">
        <f>IF(AND(卡牌总表!F347="能力",卡牌总表!AL347="能力持续"),参数!$B$2*参数!$B$3,0)</f>
        <v>0</v>
      </c>
      <c r="N347">
        <f t="shared" si="17"/>
        <v>2.0999999999999996</v>
      </c>
      <c r="O347">
        <f>IFERROR(MAX(IF(K347 &gt; 参数!$B$17,参数!$B$17+SQRT(K347-参数!$B$17)*参数!$B$18,K347)-MAX(G347,0)*参数!$B$10,0)/MAX(G347,0.4),0)</f>
        <v>0</v>
      </c>
      <c r="P347">
        <f>IFERROR(MAX(IF(N347 &gt; 参数!$B$17,参数!$B$17+SQRT(N347-参数!$B$17)*参数!$B$18,N347)-MAX(H347,0)*参数!$B$10,0)/MAX(H347,0.4),0)</f>
        <v>0</v>
      </c>
      <c r="Q347">
        <f>卡牌总表!AO347</f>
        <v>0</v>
      </c>
    </row>
    <row r="348" spans="1:17" x14ac:dyDescent="0.3">
      <c r="A348">
        <f t="shared" si="15"/>
        <v>347</v>
      </c>
      <c r="B348" t="str">
        <f>卡牌总表!B348</f>
        <v>necrobinder_eidolon</v>
      </c>
      <c r="C348" t="str">
        <f>卡牌总表!D348</f>
        <v>幻景</v>
      </c>
      <c r="D348" t="str">
        <f>卡牌总表!F348</f>
        <v>技能</v>
      </c>
      <c r="E348">
        <f>卡牌总表!AL348</f>
        <v>0</v>
      </c>
      <c r="F348">
        <f>卡牌总表!AN348</f>
        <v>0</v>
      </c>
      <c r="G348">
        <f>卡牌总表!AP348</f>
        <v>2</v>
      </c>
      <c r="H348">
        <f>IF(ISNUMBER(卡牌总表!H348),IF(AND(卡牌总表!H348=0,卡牌总表!V348=0,卡牌总表!AK348="none"),0.4,IF(卡牌总表!AK348="exhaust",MAX(卡牌总表!H348-卡牌总表!V348,0.4),IF(卡牌总表!AK348="ethereal",MAX(卡牌总表!H348-卡牌总表!V348,0.4),MAX(卡牌总表!H348-卡牌总表!V348,0.4)))),IF(OR(卡牌总表!H348="X",卡牌总表!H348="∞"),0.4,0.4))</f>
        <v>2</v>
      </c>
      <c r="I348">
        <f>卡牌总表!M348*卡牌总表!O348*参数!$B$5*IF(AND(卡牌总表!F348="能力",卡牌总表!AL348="能力持续"),参数!$B$2,1)+卡牌总表!P348*参数!$B$6*IF(AND(卡牌总表!F348="能力",卡牌总表!AL348="能力持续"),参数!$B$2,1)+卡牌总表!R348*参数!$B$7*IF(AND(卡牌总表!F348="能力",卡牌总表!AL348="能力持续"),参数!$B$2,1)+卡牌总表!V348*参数!$B$8+IF(卡牌总表!X348&lt;0,卡牌总表!X348*参数!$B$13,卡牌总表!X348*参数!$B$39)+IF(卡牌总表!AE348&lt;0,卡牌总表!AE348*参数!$B$13,卡牌总表!AE348*参数!$B$12)*参数!$B$2+卡牌总表!AQ348*参数!$B$15+卡牌总表!AB348*参数!$B$11+卡牌总表!AF348*参数!$B$40*参数!$B$2+卡牌总表!AG348*参数!$B$44*参数!$B$2+卡牌总表!AH348*参数!$B$6*参数!$B$2+卡牌总表!AI348*参数!$B$39*参数!$B$2+卡牌总表!AJ348*参数!$B$6*参数!$B$2+卡牌总表!Z348*参数!$B$13-卡牌总表!T348*参数!$B$14-卡牌总表!AD348*参数!$B$13+IF(ISNUMBER(卡牌总表!AU348),卡牌总表!AU348*参数!$B$38,0)-卡牌总表!AV348*参数!$B$41-卡牌总表!AW348*参数!$B$14</f>
        <v>16</v>
      </c>
      <c r="J348">
        <f>IF(AND(卡牌总表!F348="能力",卡牌总表!AL348="能力持续"),(参数!$B$2-1)*参数!$B$3,0)</f>
        <v>0</v>
      </c>
      <c r="K348">
        <f t="shared" si="16"/>
        <v>16</v>
      </c>
      <c r="L348">
        <f>卡牌总表!N348*卡牌总表!O348*参数!$B$5*IF(AND(卡牌总表!F348="能力",卡牌总表!AL348="能力持续"),参数!$B$2,1)+卡牌总表!Q348*参数!$B$6*IF(AND(卡牌总表!F348="能力",卡牌总表!AL348="能力持续"),参数!$B$2,1)+卡牌总表!S348*参数!$B$7*IF(AND(卡牌总表!F348="能力",卡牌总表!AL348="能力持续"),参数!$B$2,1)+卡牌总表!W348*参数!$B$8+IF(卡牌总表!Y348&lt;0,卡牌总表!Y348*参数!$B$13,卡牌总表!Y348*参数!$B$39)+IF(卡牌总表!AE348&lt;0,卡牌总表!AE348*参数!$B$13,卡牌总表!AE348*参数!$B$12)*参数!$B$2+卡牌总表!AR348*参数!$B$15+卡牌总表!AC348*参数!$B$11+卡牌总表!AF348*参数!$B$40*参数!$B$2+卡牌总表!AG348*参数!$B$44*参数!$B$2+卡牌总表!AH348*参数!$B$6*参数!$B$2+卡牌总表!AI348*参数!$B$39*参数!$B$2+卡牌总表!AJ348*参数!$B$6*参数!$B$2+卡牌总表!AA348*参数!$B$13-卡牌总表!U348*参数!$B$14-卡牌总表!AD348*参数!$B$13+IF(ISNUMBER(卡牌总表!AU348),卡牌总表!AU348*参数!$B$38,0)-卡牌总表!AV348*参数!$B$41-卡牌总表!AW348*参数!$B$14</f>
        <v>0</v>
      </c>
      <c r="M348">
        <f>IF(AND(卡牌总表!F348="能力",卡牌总表!AL348="能力持续"),参数!$B$2*参数!$B$3,0)</f>
        <v>0</v>
      </c>
      <c r="N348">
        <f t="shared" si="17"/>
        <v>0</v>
      </c>
      <c r="O348">
        <f>IFERROR(MAX(IF(K348 &gt; 参数!$B$17,参数!$B$17+SQRT(K348-参数!$B$17)*参数!$B$18,K348)-MAX(G348,0)*参数!$B$10,0)/MAX(G348,0.4),0)</f>
        <v>3.8371173070873832</v>
      </c>
      <c r="P348">
        <f>IFERROR(MAX(IF(N348 &gt; 参数!$B$17,参数!$B$17+SQRT(N348-参数!$B$17)*参数!$B$18,N348)-MAX(H348,0)*参数!$B$10,0)/MAX(H348,0.4),0)</f>
        <v>0</v>
      </c>
      <c r="Q348" t="str">
        <f>卡牌总表!AO348</f>
        <v>含消耗其他牌效果</v>
      </c>
    </row>
    <row r="349" spans="1:17" x14ac:dyDescent="0.3">
      <c r="A349">
        <f t="shared" si="15"/>
        <v>348</v>
      </c>
      <c r="B349" t="str">
        <f>卡牌总表!B349</f>
        <v>necrobinder_end_of_days</v>
      </c>
      <c r="C349" t="str">
        <f>卡牌总表!D349</f>
        <v>末日降临</v>
      </c>
      <c r="D349" t="str">
        <f>卡牌总表!F349</f>
        <v>技能</v>
      </c>
      <c r="E349">
        <f>卡牌总表!AL349</f>
        <v>0</v>
      </c>
      <c r="F349" t="str">
        <f>卡牌总表!AN349</f>
        <v>群体攻击</v>
      </c>
      <c r="G349">
        <f>卡牌总表!AP349</f>
        <v>3</v>
      </c>
      <c r="H349">
        <f>IF(ISNUMBER(卡牌总表!H349),IF(AND(卡牌总表!H349=0,卡牌总表!V349=0,卡牌总表!AK349="none"),0.4,IF(卡牌总表!AK349="exhaust",MAX(卡牌总表!H349-卡牌总表!V349,0.4),IF(卡牌总表!AK349="ethereal",MAX(卡牌总表!H349-卡牌总表!V349,0.4),MAX(卡牌总表!H349-卡牌总表!V349,0.4)))),IF(OR(卡牌总表!H349="X",卡牌总表!H349="∞"),0.4,0.4))</f>
        <v>3</v>
      </c>
      <c r="I349">
        <f>卡牌总表!M349*卡牌总表!O349*参数!$B$5*IF(AND(卡牌总表!F349="能力",卡牌总表!AL349="能力持续"),参数!$B$2,1)+卡牌总表!P349*参数!$B$6*IF(AND(卡牌总表!F349="能力",卡牌总表!AL349="能力持续"),参数!$B$2,1)+卡牌总表!R349*参数!$B$7*IF(AND(卡牌总表!F349="能力",卡牌总表!AL349="能力持续"),参数!$B$2,1)+卡牌总表!V349*参数!$B$8+IF(卡牌总表!X349&lt;0,卡牌总表!X349*参数!$B$13,卡牌总表!X349*参数!$B$39)+IF(卡牌总表!AE349&lt;0,卡牌总表!AE349*参数!$B$13,卡牌总表!AE349*参数!$B$12)*参数!$B$2+卡牌总表!AQ349*参数!$B$15+卡牌总表!AB349*参数!$B$11+卡牌总表!AF349*参数!$B$40*参数!$B$2+卡牌总表!AG349*参数!$B$44*参数!$B$2+卡牌总表!AH349*参数!$B$6*参数!$B$2+卡牌总表!AI349*参数!$B$39*参数!$B$2+卡牌总表!AJ349*参数!$B$6*参数!$B$2+卡牌总表!Z349*参数!$B$13-卡牌总表!T349*参数!$B$14-卡牌总表!AD349*参数!$B$13+IF(ISNUMBER(卡牌总表!AU349),卡牌总表!AU349*参数!$B$38,0)-卡牌总表!AV349*参数!$B$41-卡牌总表!AW349*参数!$B$14</f>
        <v>81.199999999999989</v>
      </c>
      <c r="J349">
        <f>IF(AND(卡牌总表!F349="能力",卡牌总表!AL349="能力持续"),(参数!$B$2-1)*参数!$B$3,0)</f>
        <v>0</v>
      </c>
      <c r="K349">
        <f t="shared" si="16"/>
        <v>81.199999999999989</v>
      </c>
      <c r="L349">
        <f>卡牌总表!N349*卡牌总表!O349*参数!$B$5*IF(AND(卡牌总表!F349="能力",卡牌总表!AL349="能力持续"),参数!$B$2,1)+卡牌总表!Q349*参数!$B$6*IF(AND(卡牌总表!F349="能力",卡牌总表!AL349="能力持续"),参数!$B$2,1)+卡牌总表!S349*参数!$B$7*IF(AND(卡牌总表!F349="能力",卡牌总表!AL349="能力持续"),参数!$B$2,1)+卡牌总表!W349*参数!$B$8+IF(卡牌总表!Y349&lt;0,卡牌总表!Y349*参数!$B$13,卡牌总表!Y349*参数!$B$39)+IF(卡牌总表!AE349&lt;0,卡牌总表!AE349*参数!$B$13,卡牌总表!AE349*参数!$B$12)*参数!$B$2+卡牌总表!AR349*参数!$B$15+卡牌总表!AC349*参数!$B$11+卡牌总表!AF349*参数!$B$40*参数!$B$2+卡牌总表!AG349*参数!$B$44*参数!$B$2+卡牌总表!AH349*参数!$B$6*参数!$B$2+卡牌总表!AI349*参数!$B$39*参数!$B$2+卡牌总表!AJ349*参数!$B$6*参数!$B$2+卡牌总表!AA349*参数!$B$13-卡牌总表!U349*参数!$B$14-卡牌总表!AD349*参数!$B$13+IF(ISNUMBER(卡牌总表!AU349),卡牌总表!AU349*参数!$B$38,0)-卡牌总表!AV349*参数!$B$41-卡牌总表!AW349*参数!$B$14</f>
        <v>81.199999999999989</v>
      </c>
      <c r="M349">
        <f>IF(AND(卡牌总表!F349="能力",卡牌总表!AL349="能力持续"),参数!$B$2*参数!$B$3,0)</f>
        <v>0</v>
      </c>
      <c r="N349">
        <f t="shared" si="17"/>
        <v>81.199999999999989</v>
      </c>
      <c r="O349">
        <f>IFERROR(MAX(IF(K349 &gt; 参数!$B$17,参数!$B$17+SQRT(K349-参数!$B$17)*参数!$B$18,K349)-MAX(G349,0)*参数!$B$10,0)/MAX(G349,0.4),0)</f>
        <v>4.552337955279131</v>
      </c>
      <c r="P349">
        <f>IFERROR(MAX(IF(N349 &gt; 参数!$B$17,参数!$B$17+SQRT(N349-参数!$B$17)*参数!$B$18,N349)-MAX(H349,0)*参数!$B$10,0)/MAX(H349,0.4),0)</f>
        <v>4.552337955279131</v>
      </c>
      <c r="Q349">
        <f>卡牌总表!AO349</f>
        <v>0</v>
      </c>
    </row>
    <row r="350" spans="1:17" x14ac:dyDescent="0.3">
      <c r="A350">
        <f t="shared" si="15"/>
        <v>349</v>
      </c>
      <c r="B350" t="str">
        <f>卡牌总表!B350</f>
        <v>necrobinder_enfeebling_touch</v>
      </c>
      <c r="C350" t="str">
        <f>卡牌总表!D350</f>
        <v>弱化之触</v>
      </c>
      <c r="D350" t="str">
        <f>卡牌总表!F350</f>
        <v>技能</v>
      </c>
      <c r="E350">
        <f>卡牌总表!AL350</f>
        <v>0</v>
      </c>
      <c r="F350" t="str">
        <f>卡牌总表!AN350</f>
        <v>本回合</v>
      </c>
      <c r="G350">
        <f>卡牌总表!AP350</f>
        <v>1</v>
      </c>
      <c r="H350">
        <f>IF(ISNUMBER(卡牌总表!H350),IF(AND(卡牌总表!H350=0,卡牌总表!V350=0,卡牌总表!AK350="none"),0.4,IF(卡牌总表!AK350="exhaust",MAX(卡牌总表!H350-卡牌总表!V350,0.4),IF(卡牌总表!AK350="ethereal",MAX(卡牌总表!H350-卡牌总表!V350,0.4),MAX(卡牌总表!H350-卡牌总表!V350,0.4)))),IF(OR(卡牌总表!H350="X",卡牌总表!H350="∞"),0.4,0.4))</f>
        <v>1</v>
      </c>
      <c r="I350">
        <f>卡牌总表!M350*卡牌总表!O350*参数!$B$5*IF(AND(卡牌总表!F350="能力",卡牌总表!AL350="能力持续"),参数!$B$2,1)+卡牌总表!P350*参数!$B$6*IF(AND(卡牌总表!F350="能力",卡牌总表!AL350="能力持续"),参数!$B$2,1)+卡牌总表!R350*参数!$B$7*IF(AND(卡牌总表!F350="能力",卡牌总表!AL350="能力持续"),参数!$B$2,1)+卡牌总表!V350*参数!$B$8+IF(卡牌总表!X350&lt;0,卡牌总表!X350*参数!$B$13,卡牌总表!X350*参数!$B$39)+IF(卡牌总表!AE350&lt;0,卡牌总表!AE350*参数!$B$13,卡牌总表!AE350*参数!$B$12)*参数!$B$2+卡牌总表!AQ350*参数!$B$15+卡牌总表!AB350*参数!$B$11+卡牌总表!AF350*参数!$B$40*参数!$B$2+卡牌总表!AG350*参数!$B$44*参数!$B$2+卡牌总表!AH350*参数!$B$6*参数!$B$2+卡牌总表!AI350*参数!$B$39*参数!$B$2+卡牌总表!AJ350*参数!$B$6*参数!$B$2+卡牌总表!Z350*参数!$B$13-卡牌总表!T350*参数!$B$14-卡牌总表!AD350*参数!$B$13+IF(ISNUMBER(卡牌总表!AU350),卡牌总表!AU350*参数!$B$38,0)-卡牌总表!AV350*参数!$B$41-卡牌总表!AW350*参数!$B$14</f>
        <v>14.399999999999999</v>
      </c>
      <c r="J350">
        <f>IF(AND(卡牌总表!F350="能力",卡牌总表!AL350="能力持续"),(参数!$B$2-1)*参数!$B$3,0)</f>
        <v>0</v>
      </c>
      <c r="K350">
        <f t="shared" si="16"/>
        <v>14.399999999999999</v>
      </c>
      <c r="L350">
        <f>卡牌总表!N350*卡牌总表!O350*参数!$B$5*IF(AND(卡牌总表!F350="能力",卡牌总表!AL350="能力持续"),参数!$B$2,1)+卡牌总表!Q350*参数!$B$6*IF(AND(卡牌总表!F350="能力",卡牌总表!AL350="能力持续"),参数!$B$2,1)+卡牌总表!S350*参数!$B$7*IF(AND(卡牌总表!F350="能力",卡牌总表!AL350="能力持续"),参数!$B$2,1)+卡牌总表!W350*参数!$B$8+IF(卡牌总表!Y350&lt;0,卡牌总表!Y350*参数!$B$13,卡牌总表!Y350*参数!$B$39)+IF(卡牌总表!AE350&lt;0,卡牌总表!AE350*参数!$B$13,卡牌总表!AE350*参数!$B$12)*参数!$B$2+卡牌总表!AR350*参数!$B$15+卡牌总表!AC350*参数!$B$11+卡牌总表!AF350*参数!$B$40*参数!$B$2+卡牌总表!AG350*参数!$B$44*参数!$B$2+卡牌总表!AH350*参数!$B$6*参数!$B$2+卡牌总表!AI350*参数!$B$39*参数!$B$2+卡牌总表!AJ350*参数!$B$6*参数!$B$2+卡牌总表!AA350*参数!$B$13-卡牌总表!U350*参数!$B$14-卡牌总表!AD350*参数!$B$13+IF(ISNUMBER(卡牌总表!AU350),卡牌总表!AU350*参数!$B$38,0)-卡牌总表!AV350*参数!$B$41-卡牌总表!AW350*参数!$B$14</f>
        <v>0</v>
      </c>
      <c r="M350">
        <f>IF(AND(卡牌总表!F350="能力",卡牌总表!AL350="能力持续"),参数!$B$2*参数!$B$3,0)</f>
        <v>0</v>
      </c>
      <c r="N350">
        <f t="shared" si="17"/>
        <v>0</v>
      </c>
      <c r="O350">
        <f>IFERROR(MAX(IF(K350 &gt; 参数!$B$17,参数!$B$17+SQRT(K350-参数!$B$17)*参数!$B$18,K350)-MAX(G350,0)*参数!$B$10,0)/MAX(G350,0.4),0)</f>
        <v>10.146426544510454</v>
      </c>
      <c r="P350">
        <f>IFERROR(MAX(IF(N350 &gt; 参数!$B$17,参数!$B$17+SQRT(N350-参数!$B$17)*参数!$B$18,N350)-MAX(H350,0)*参数!$B$10,0)/MAX(H350,0.4),0)</f>
        <v>0</v>
      </c>
      <c r="Q350" t="str">
        <f>卡牌总表!AO350</f>
        <v>减敌方力量8(本回合)</v>
      </c>
    </row>
    <row r="351" spans="1:17" x14ac:dyDescent="0.3">
      <c r="A351">
        <f t="shared" si="15"/>
        <v>350</v>
      </c>
      <c r="B351" t="str">
        <f>卡牌总表!B351</f>
        <v>necrobinder_eradicate</v>
      </c>
      <c r="C351" t="str">
        <f>卡牌总表!D351</f>
        <v>根除</v>
      </c>
      <c r="D351" t="str">
        <f>卡牌总表!F351</f>
        <v>攻击</v>
      </c>
      <c r="E351">
        <f>卡牌总表!AL351</f>
        <v>0</v>
      </c>
      <c r="F351">
        <f>卡牌总表!AN351</f>
        <v>0</v>
      </c>
      <c r="G351">
        <f>卡牌总表!AP351</f>
        <v>0.4</v>
      </c>
      <c r="H351">
        <f>IF(ISNUMBER(卡牌总表!H351),IF(AND(卡牌总表!H351=0,卡牌总表!V351=0,卡牌总表!AK351="none"),0.4,IF(卡牌总表!AK351="exhaust",MAX(卡牌总表!H351-卡牌总表!V351,0.4),IF(卡牌总表!AK351="ethereal",MAX(卡牌总表!H351-卡牌总表!V351,0.4),MAX(卡牌总表!H351-卡牌总表!V351,0.4)))),IF(OR(卡牌总表!H351="X",卡牌总表!H351="∞"),0.4,0.4))</f>
        <v>0.4</v>
      </c>
      <c r="I351">
        <f>卡牌总表!M351*卡牌总表!O351*参数!$B$5*IF(AND(卡牌总表!F351="能力",卡牌总表!AL351="能力持续"),参数!$B$2,1)+卡牌总表!P351*参数!$B$6*IF(AND(卡牌总表!F351="能力",卡牌总表!AL351="能力持续"),参数!$B$2,1)+卡牌总表!R351*参数!$B$7*IF(AND(卡牌总表!F351="能力",卡牌总表!AL351="能力持续"),参数!$B$2,1)+卡牌总表!V351*参数!$B$8+IF(卡牌总表!X351&lt;0,卡牌总表!X351*参数!$B$13,卡牌总表!X351*参数!$B$39)+IF(卡牌总表!AE351&lt;0,卡牌总表!AE351*参数!$B$13,卡牌总表!AE351*参数!$B$12)*参数!$B$2+卡牌总表!AQ351*参数!$B$15+卡牌总表!AB351*参数!$B$11+卡牌总表!AF351*参数!$B$40*参数!$B$2+卡牌总表!AG351*参数!$B$44*参数!$B$2+卡牌总表!AH351*参数!$B$6*参数!$B$2+卡牌总表!AI351*参数!$B$39*参数!$B$2+卡牌总表!AJ351*参数!$B$6*参数!$B$2+卡牌总表!Z351*参数!$B$13-卡牌总表!T351*参数!$B$14-卡牌总表!AD351*参数!$B$13+IF(ISNUMBER(卡牌总表!AU351),卡牌总表!AU351*参数!$B$38,0)-卡牌总表!AV351*参数!$B$41-卡牌总表!AW351*参数!$B$14</f>
        <v>11</v>
      </c>
      <c r="J351">
        <f>IF(AND(卡牌总表!F351="能力",卡牌总表!AL351="能力持续"),(参数!$B$2-1)*参数!$B$3,0)</f>
        <v>0</v>
      </c>
      <c r="K351">
        <f t="shared" si="16"/>
        <v>11</v>
      </c>
      <c r="L351">
        <f>卡牌总表!N351*卡牌总表!O351*参数!$B$5*IF(AND(卡牌总表!F351="能力",卡牌总表!AL351="能力持续"),参数!$B$2,1)+卡牌总表!Q351*参数!$B$6*IF(AND(卡牌总表!F351="能力",卡牌总表!AL351="能力持续"),参数!$B$2,1)+卡牌总表!S351*参数!$B$7*IF(AND(卡牌总表!F351="能力",卡牌总表!AL351="能力持续"),参数!$B$2,1)+卡牌总表!W351*参数!$B$8+IF(卡牌总表!Y351&lt;0,卡牌总表!Y351*参数!$B$13,卡牌总表!Y351*参数!$B$39)+IF(卡牌总表!AE351&lt;0,卡牌总表!AE351*参数!$B$13,卡牌总表!AE351*参数!$B$12)*参数!$B$2+卡牌总表!AR351*参数!$B$15+卡牌总表!AC351*参数!$B$11+卡牌总表!AF351*参数!$B$40*参数!$B$2+卡牌总表!AG351*参数!$B$44*参数!$B$2+卡牌总表!AH351*参数!$B$6*参数!$B$2+卡牌总表!AI351*参数!$B$39*参数!$B$2+卡牌总表!AJ351*参数!$B$6*参数!$B$2+卡牌总表!AA351*参数!$B$13-卡牌总表!U351*参数!$B$14-卡牌总表!AD351*参数!$B$13+IF(ISNUMBER(卡牌总表!AU351),卡牌总表!AU351*参数!$B$38,0)-卡牌总表!AV351*参数!$B$41-卡牌总表!AW351*参数!$B$14</f>
        <v>14</v>
      </c>
      <c r="M351">
        <f>IF(AND(卡牌总表!F351="能力",卡牌总表!AL351="能力持续"),参数!$B$2*参数!$B$3,0)</f>
        <v>0</v>
      </c>
      <c r="N351">
        <f t="shared" si="17"/>
        <v>14</v>
      </c>
      <c r="O351">
        <f>IFERROR(MAX(IF(K351 &gt; 参数!$B$17,参数!$B$17+SQRT(K351-参数!$B$17)*参数!$B$18,K351)-MAX(G351,0)*参数!$B$10,0)/MAX(G351,0.4),0)</f>
        <v>25.75</v>
      </c>
      <c r="P351">
        <f>IFERROR(MAX(IF(N351 &gt; 参数!$B$17,参数!$B$17+SQRT(N351-参数!$B$17)*参数!$B$18,N351)-MAX(H351,0)*参数!$B$10,0)/MAX(H351,0.4),0)</f>
        <v>29.5</v>
      </c>
      <c r="Q351">
        <f>卡牌总表!AO351</f>
        <v>0</v>
      </c>
    </row>
    <row r="352" spans="1:17" x14ac:dyDescent="0.3">
      <c r="A352">
        <f t="shared" si="15"/>
        <v>351</v>
      </c>
      <c r="B352" t="str">
        <f>卡牌总表!B352</f>
        <v>necrobinder_fear</v>
      </c>
      <c r="C352" t="str">
        <f>卡牌总表!D352</f>
        <v>恐惧</v>
      </c>
      <c r="D352" t="str">
        <f>卡牌总表!F352</f>
        <v>攻击</v>
      </c>
      <c r="E352">
        <f>卡牌总表!AL352</f>
        <v>0</v>
      </c>
      <c r="F352">
        <f>卡牌总表!AN352</f>
        <v>0</v>
      </c>
      <c r="G352">
        <f>卡牌总表!AP352</f>
        <v>1</v>
      </c>
      <c r="H352">
        <f>IF(ISNUMBER(卡牌总表!H352),IF(AND(卡牌总表!H352=0,卡牌总表!V352=0,卡牌总表!AK352="none"),0.4,IF(卡牌总表!AK352="exhaust",MAX(卡牌总表!H352-卡牌总表!V352,0.4),IF(卡牌总表!AK352="ethereal",MAX(卡牌总表!H352-卡牌总表!V352,0.4),MAX(卡牌总表!H352-卡牌总表!V352,0.4)))),IF(OR(卡牌总表!H352="X",卡牌总表!H352="∞"),0.4,0.4))</f>
        <v>1</v>
      </c>
      <c r="I352">
        <f>卡牌总表!M352*卡牌总表!O352*参数!$B$5*IF(AND(卡牌总表!F352="能力",卡牌总表!AL352="能力持续"),参数!$B$2,1)+卡牌总表!P352*参数!$B$6*IF(AND(卡牌总表!F352="能力",卡牌总表!AL352="能力持续"),参数!$B$2,1)+卡牌总表!R352*参数!$B$7*IF(AND(卡牌总表!F352="能力",卡牌总表!AL352="能力持续"),参数!$B$2,1)+卡牌总表!V352*参数!$B$8+IF(卡牌总表!X352&lt;0,卡牌总表!X352*参数!$B$13,卡牌总表!X352*参数!$B$39)+IF(卡牌总表!AE352&lt;0,卡牌总表!AE352*参数!$B$13,卡牌总表!AE352*参数!$B$12)*参数!$B$2+卡牌总表!AQ352*参数!$B$15+卡牌总表!AB352*参数!$B$11+卡牌总表!AF352*参数!$B$40*参数!$B$2+卡牌总表!AG352*参数!$B$44*参数!$B$2+卡牌总表!AH352*参数!$B$6*参数!$B$2+卡牌总表!AI352*参数!$B$39*参数!$B$2+卡牌总表!AJ352*参数!$B$6*参数!$B$2+卡牌总表!Z352*参数!$B$13-卡牌总表!T352*参数!$B$14-卡牌总表!AD352*参数!$B$13+IF(ISNUMBER(卡牌总表!AU352),卡牌总表!AU352*参数!$B$38,0)-卡牌总表!AV352*参数!$B$41-卡牌总表!AW352*参数!$B$14</f>
        <v>8.3000000000000007</v>
      </c>
      <c r="J352">
        <f>IF(AND(卡牌总表!F352="能力",卡牌总表!AL352="能力持续"),(参数!$B$2-1)*参数!$B$3,0)</f>
        <v>0</v>
      </c>
      <c r="K352">
        <f t="shared" si="16"/>
        <v>8.3000000000000007</v>
      </c>
      <c r="L352">
        <f>卡牌总表!N352*卡牌总表!O352*参数!$B$5*IF(AND(卡牌总表!F352="能力",卡牌总表!AL352="能力持续"),参数!$B$2,1)+卡牌总表!Q352*参数!$B$6*IF(AND(卡牌总表!F352="能力",卡牌总表!AL352="能力持续"),参数!$B$2,1)+卡牌总表!S352*参数!$B$7*IF(AND(卡牌总表!F352="能力",卡牌总表!AL352="能力持续"),参数!$B$2,1)+卡牌总表!W352*参数!$B$8+IF(卡牌总表!Y352&lt;0,卡牌总表!Y352*参数!$B$13,卡牌总表!Y352*参数!$B$39)+IF(卡牌总表!AE352&lt;0,卡牌总表!AE352*参数!$B$13,卡牌总表!AE352*参数!$B$12)*参数!$B$2+卡牌总表!AR352*参数!$B$15+卡牌总表!AC352*参数!$B$11+卡牌总表!AF352*参数!$B$40*参数!$B$2+卡牌总表!AG352*参数!$B$44*参数!$B$2+卡牌总表!AH352*参数!$B$6*参数!$B$2+卡牌总表!AI352*参数!$B$39*参数!$B$2+卡牌总表!AJ352*参数!$B$6*参数!$B$2+卡牌总表!AA352*参数!$B$13-卡牌总表!U352*参数!$B$14-卡牌总表!AD352*参数!$B$13+IF(ISNUMBER(卡牌总表!AU352),卡牌总表!AU352*参数!$B$38,0)-卡牌总表!AV352*参数!$B$41-卡牌总表!AW352*参数!$B$14</f>
        <v>9.3000000000000007</v>
      </c>
      <c r="M352">
        <f>IF(AND(卡牌总表!F352="能力",卡牌总表!AL352="能力持续"),参数!$B$2*参数!$B$3,0)</f>
        <v>0</v>
      </c>
      <c r="N352">
        <f t="shared" si="17"/>
        <v>9.3000000000000007</v>
      </c>
      <c r="O352">
        <f>IFERROR(MAX(IF(K352 &gt; 参数!$B$17,参数!$B$17+SQRT(K352-参数!$B$17)*参数!$B$18,K352)-MAX(G352,0)*参数!$B$10,0)/MAX(G352,0.4),0)</f>
        <v>5.3000000000000007</v>
      </c>
      <c r="P352">
        <f>IFERROR(MAX(IF(N352 &gt; 参数!$B$17,参数!$B$17+SQRT(N352-参数!$B$17)*参数!$B$18,N352)-MAX(H352,0)*参数!$B$10,0)/MAX(H352,0.4),0)</f>
        <v>6.3000000000000007</v>
      </c>
      <c r="Q352">
        <f>卡牌总表!AO352</f>
        <v>0</v>
      </c>
    </row>
    <row r="353" spans="1:17" x14ac:dyDescent="0.3">
      <c r="A353">
        <f t="shared" si="15"/>
        <v>352</v>
      </c>
      <c r="B353" t="str">
        <f>卡牌总表!B353</f>
        <v>necrobinder_fetch</v>
      </c>
      <c r="C353" t="str">
        <f>卡牌总表!D353</f>
        <v>取回</v>
      </c>
      <c r="D353" t="str">
        <f>卡牌总表!F353</f>
        <v>攻击</v>
      </c>
      <c r="E353">
        <f>卡牌总表!AL353</f>
        <v>0</v>
      </c>
      <c r="F353" t="str">
        <f>卡牌总表!AN353</f>
        <v>本回合</v>
      </c>
      <c r="G353">
        <f>卡牌总表!AP353</f>
        <v>0.4</v>
      </c>
      <c r="H353">
        <f>IF(ISNUMBER(卡牌总表!H353),IF(AND(卡牌总表!H353=0,卡牌总表!V353=0,卡牌总表!AK353="none"),0.4,IF(卡牌总表!AK353="exhaust",MAX(卡牌总表!H353-卡牌总表!V353,0.4),IF(卡牌总表!AK353="ethereal",MAX(卡牌总表!H353-卡牌总表!V353,0.4),MAX(卡牌总表!H353-卡牌总表!V353,0.4)))),IF(OR(卡牌总表!H353="X",卡牌总表!H353="∞"),0.4,0.4))</f>
        <v>0.4</v>
      </c>
      <c r="I353">
        <f>卡牌总表!M353*卡牌总表!O353*参数!$B$5*IF(AND(卡牌总表!F353="能力",卡牌总表!AL353="能力持续"),参数!$B$2,1)+卡牌总表!P353*参数!$B$6*IF(AND(卡牌总表!F353="能力",卡牌总表!AL353="能力持续"),参数!$B$2,1)+卡牌总表!R353*参数!$B$7*IF(AND(卡牌总表!F353="能力",卡牌总表!AL353="能力持续"),参数!$B$2,1)+卡牌总表!V353*参数!$B$8+IF(卡牌总表!X353&lt;0,卡牌总表!X353*参数!$B$13,卡牌总表!X353*参数!$B$39)+IF(卡牌总表!AE353&lt;0,卡牌总表!AE353*参数!$B$13,卡牌总表!AE353*参数!$B$12)*参数!$B$2+卡牌总表!AQ353*参数!$B$15+卡牌总表!AB353*参数!$B$11+卡牌总表!AF353*参数!$B$40*参数!$B$2+卡牌总表!AG353*参数!$B$44*参数!$B$2+卡牌总表!AH353*参数!$B$6*参数!$B$2+卡牌总表!AI353*参数!$B$39*参数!$B$2+卡牌总表!AJ353*参数!$B$6*参数!$B$2+卡牌总表!Z353*参数!$B$13-卡牌总表!T353*参数!$B$14-卡牌总表!AD353*参数!$B$13+IF(ISNUMBER(卡牌总表!AU353),卡牌总表!AU353*参数!$B$38,0)-卡牌总表!AV353*参数!$B$41-卡牌总表!AW353*参数!$B$14</f>
        <v>3.7</v>
      </c>
      <c r="J353">
        <f>IF(AND(卡牌总表!F353="能力",卡牌总表!AL353="能力持续"),(参数!$B$2-1)*参数!$B$3,0)</f>
        <v>0</v>
      </c>
      <c r="K353">
        <f t="shared" si="16"/>
        <v>3.7</v>
      </c>
      <c r="L353">
        <f>卡牌总表!N353*卡牌总表!O353*参数!$B$5*IF(AND(卡牌总表!F353="能力",卡牌总表!AL353="能力持续"),参数!$B$2,1)+卡牌总表!Q353*参数!$B$6*IF(AND(卡牌总表!F353="能力",卡牌总表!AL353="能力持续"),参数!$B$2,1)+卡牌总表!S353*参数!$B$7*IF(AND(卡牌总表!F353="能力",卡牌总表!AL353="能力持续"),参数!$B$2,1)+卡牌总表!W353*参数!$B$8+IF(卡牌总表!Y353&lt;0,卡牌总表!Y353*参数!$B$13,卡牌总表!Y353*参数!$B$39)+IF(卡牌总表!AE353&lt;0,卡牌总表!AE353*参数!$B$13,卡牌总表!AE353*参数!$B$12)*参数!$B$2+卡牌总表!AR353*参数!$B$15+卡牌总表!AC353*参数!$B$11+卡牌总表!AF353*参数!$B$40*参数!$B$2+卡牌总表!AG353*参数!$B$44*参数!$B$2+卡牌总表!AH353*参数!$B$6*参数!$B$2+卡牌总表!AI353*参数!$B$39*参数!$B$2+卡牌总表!AJ353*参数!$B$6*参数!$B$2+卡牌总表!AA353*参数!$B$13-卡牌总表!U353*参数!$B$14-卡牌总表!AD353*参数!$B$13+IF(ISNUMBER(卡牌总表!AU353),卡牌总表!AU353*参数!$B$38,0)-卡牌总表!AV353*参数!$B$41-卡牌总表!AW353*参数!$B$14</f>
        <v>6.7</v>
      </c>
      <c r="M353">
        <f>IF(AND(卡牌总表!F353="能力",卡牌总表!AL353="能力持续"),参数!$B$2*参数!$B$3,0)</f>
        <v>0</v>
      </c>
      <c r="N353">
        <f t="shared" si="17"/>
        <v>6.7</v>
      </c>
      <c r="O353">
        <f>IFERROR(MAX(IF(K353 &gt; 参数!$B$17,参数!$B$17+SQRT(K353-参数!$B$17)*参数!$B$18,K353)-MAX(G353,0)*参数!$B$10,0)/MAX(G353,0.4),0)</f>
        <v>6.25</v>
      </c>
      <c r="P353">
        <f>IFERROR(MAX(IF(N353 &gt; 参数!$B$17,参数!$B$17+SQRT(N353-参数!$B$17)*参数!$B$18,N353)-MAX(H353,0)*参数!$B$10,0)/MAX(H353,0.4),0)</f>
        <v>13.75</v>
      </c>
      <c r="Q353">
        <f>卡牌总表!AO353</f>
        <v>0</v>
      </c>
    </row>
    <row r="354" spans="1:17" x14ac:dyDescent="0.3">
      <c r="A354">
        <f t="shared" si="15"/>
        <v>353</v>
      </c>
      <c r="B354" t="str">
        <f>卡牌总表!B354</f>
        <v>necrobinder_flatten</v>
      </c>
      <c r="C354" t="str">
        <f>卡牌总表!D354</f>
        <v>压扁</v>
      </c>
      <c r="D354" t="str">
        <f>卡牌总表!F354</f>
        <v>攻击</v>
      </c>
      <c r="E354">
        <f>卡牌总表!AL354</f>
        <v>0</v>
      </c>
      <c r="F354" t="str">
        <f>卡牌总表!AN354</f>
        <v>本回合</v>
      </c>
      <c r="G354">
        <f>卡牌总表!AP354</f>
        <v>2</v>
      </c>
      <c r="H354">
        <f>IF(ISNUMBER(卡牌总表!H354),IF(AND(卡牌总表!H354=0,卡牌总表!V354=0,卡牌总表!AK354="none"),0.4,IF(卡牌总表!AK354="exhaust",MAX(卡牌总表!H354-卡牌总表!V354,0.4),IF(卡牌总表!AK354="ethereal",MAX(卡牌总表!H354-卡牌总表!V354,0.4),MAX(卡牌总表!H354-卡牌总表!V354,0.4)))),IF(OR(卡牌总表!H354="X",卡牌总表!H354="∞"),0.4,0.4))</f>
        <v>2</v>
      </c>
      <c r="I354">
        <f>卡牌总表!M354*卡牌总表!O354*参数!$B$5*IF(AND(卡牌总表!F354="能力",卡牌总表!AL354="能力持续"),参数!$B$2,1)+卡牌总表!P354*参数!$B$6*IF(AND(卡牌总表!F354="能力",卡牌总表!AL354="能力持续"),参数!$B$2,1)+卡牌总表!R354*参数!$B$7*IF(AND(卡牌总表!F354="能力",卡牌总表!AL354="能力持续"),参数!$B$2,1)+卡牌总表!V354*参数!$B$8+IF(卡牌总表!X354&lt;0,卡牌总表!X354*参数!$B$13,卡牌总表!X354*参数!$B$39)+IF(卡牌总表!AE354&lt;0,卡牌总表!AE354*参数!$B$13,卡牌总表!AE354*参数!$B$12)*参数!$B$2+卡牌总表!AQ354*参数!$B$15+卡牌总表!AB354*参数!$B$11+卡牌总表!AF354*参数!$B$40*参数!$B$2+卡牌总表!AG354*参数!$B$44*参数!$B$2+卡牌总表!AH354*参数!$B$6*参数!$B$2+卡牌总表!AI354*参数!$B$39*参数!$B$2+卡牌总表!AJ354*参数!$B$6*参数!$B$2+卡牌总表!Z354*参数!$B$13-卡牌总表!T354*参数!$B$14-卡牌总表!AD354*参数!$B$13+IF(ISNUMBER(卡牌总表!AU354),卡牌总表!AU354*参数!$B$38,0)-卡牌总表!AV354*参数!$B$41-卡牌总表!AW354*参数!$B$14</f>
        <v>12</v>
      </c>
      <c r="J354">
        <f>IF(AND(卡牌总表!F354="能力",卡牌总表!AL354="能力持续"),(参数!$B$2-1)*参数!$B$3,0)</f>
        <v>0</v>
      </c>
      <c r="K354">
        <f t="shared" si="16"/>
        <v>12</v>
      </c>
      <c r="L354">
        <f>卡牌总表!N354*卡牌总表!O354*参数!$B$5*IF(AND(卡牌总表!F354="能力",卡牌总表!AL354="能力持续"),参数!$B$2,1)+卡牌总表!Q354*参数!$B$6*IF(AND(卡牌总表!F354="能力",卡牌总表!AL354="能力持续"),参数!$B$2,1)+卡牌总表!S354*参数!$B$7*IF(AND(卡牌总表!F354="能力",卡牌总表!AL354="能力持续"),参数!$B$2,1)+卡牌总表!W354*参数!$B$8+IF(卡牌总表!Y354&lt;0,卡牌总表!Y354*参数!$B$13,卡牌总表!Y354*参数!$B$39)+IF(卡牌总表!AE354&lt;0,卡牌总表!AE354*参数!$B$13,卡牌总表!AE354*参数!$B$12)*参数!$B$2+卡牌总表!AR354*参数!$B$15+卡牌总表!AC354*参数!$B$11+卡牌总表!AF354*参数!$B$40*参数!$B$2+卡牌总表!AG354*参数!$B$44*参数!$B$2+卡牌总表!AH354*参数!$B$6*参数!$B$2+卡牌总表!AI354*参数!$B$39*参数!$B$2+卡牌总表!AJ354*参数!$B$6*参数!$B$2+卡牌总表!AA354*参数!$B$13-卡牌总表!U354*参数!$B$14-卡牌总表!AD354*参数!$B$13+IF(ISNUMBER(卡牌总表!AU354),卡牌总表!AU354*参数!$B$38,0)-卡牌总表!AV354*参数!$B$41-卡牌总表!AW354*参数!$B$14</f>
        <v>16</v>
      </c>
      <c r="M354">
        <f>IF(AND(卡牌总表!F354="能力",卡牌总表!AL354="能力持续"),参数!$B$2*参数!$B$3,0)</f>
        <v>0</v>
      </c>
      <c r="N354">
        <f t="shared" si="17"/>
        <v>16</v>
      </c>
      <c r="O354">
        <f>IFERROR(MAX(IF(K354 &gt; 参数!$B$17,参数!$B$17+SQRT(K354-参数!$B$17)*参数!$B$18,K354)-MAX(G354,0)*参数!$B$10,0)/MAX(G354,0.4),0)</f>
        <v>3.060660171779821</v>
      </c>
      <c r="P354">
        <f>IFERROR(MAX(IF(N354 &gt; 参数!$B$17,参数!$B$17+SQRT(N354-参数!$B$17)*参数!$B$18,N354)-MAX(H354,0)*参数!$B$10,0)/MAX(H354,0.4),0)</f>
        <v>3.8371173070873832</v>
      </c>
      <c r="Q354">
        <f>卡牌总表!AO354</f>
        <v>0</v>
      </c>
    </row>
    <row r="355" spans="1:17" x14ac:dyDescent="0.3">
      <c r="A355">
        <f t="shared" si="15"/>
        <v>354</v>
      </c>
      <c r="B355" t="str">
        <f>卡牌总表!B355</f>
        <v>necrobinder_forbidden_grimoire</v>
      </c>
      <c r="C355" t="str">
        <f>卡牌总表!D355</f>
        <v>禁忌魔典</v>
      </c>
      <c r="D355" t="str">
        <f>卡牌总表!F355</f>
        <v>能力</v>
      </c>
      <c r="E355">
        <f>卡牌总表!AL355</f>
        <v>0</v>
      </c>
      <c r="F355" t="str">
        <f>卡牌总表!AN355</f>
        <v>能力</v>
      </c>
      <c r="G355">
        <f>卡牌总表!AP355</f>
        <v>2</v>
      </c>
      <c r="H355">
        <f>IF(ISNUMBER(卡牌总表!H355),IF(AND(卡牌总表!H355=0,卡牌总表!V355=0,卡牌总表!AK355="none"),0.4,IF(卡牌总表!AK355="exhaust",MAX(卡牌总表!H355-卡牌总表!V355,0.4),IF(卡牌总表!AK355="ethereal",MAX(卡牌总表!H355-卡牌总表!V355,0.4),MAX(卡牌总表!H355-卡牌总表!V355,0.4)))),IF(OR(卡牌总表!H355="X",卡牌总表!H355="∞"),0.4,0.4))</f>
        <v>2</v>
      </c>
      <c r="I355">
        <f>卡牌总表!M355*卡牌总表!O355*参数!$B$5*IF(AND(卡牌总表!F355="能力",卡牌总表!AL355="能力持续"),参数!$B$2,1)+卡牌总表!P355*参数!$B$6*IF(AND(卡牌总表!F355="能力",卡牌总表!AL355="能力持续"),参数!$B$2,1)+卡牌总表!R355*参数!$B$7*IF(AND(卡牌总表!F355="能力",卡牌总表!AL355="能力持续"),参数!$B$2,1)+卡牌总表!V355*参数!$B$8+IF(卡牌总表!X355&lt;0,卡牌总表!X355*参数!$B$13,卡牌总表!X355*参数!$B$39)+IF(卡牌总表!AE355&lt;0,卡牌总表!AE355*参数!$B$13,卡牌总表!AE355*参数!$B$12)*参数!$B$2+卡牌总表!AQ355*参数!$B$15+卡牌总表!AB355*参数!$B$11+卡牌总表!AF355*参数!$B$40*参数!$B$2+卡牌总表!AG355*参数!$B$44*参数!$B$2+卡牌总表!AH355*参数!$B$6*参数!$B$2+卡牌总表!AI355*参数!$B$39*参数!$B$2+卡牌总表!AJ355*参数!$B$6*参数!$B$2+卡牌总表!Z355*参数!$B$13-卡牌总表!T355*参数!$B$14-卡牌总表!AD355*参数!$B$13+IF(ISNUMBER(卡牌总表!AU355),卡牌总表!AU355*参数!$B$38,0)-卡牌总表!AV355*参数!$B$41-卡牌总表!AW355*参数!$B$14</f>
        <v>0</v>
      </c>
      <c r="J355">
        <f>IF(AND(卡牌总表!F355="能力",卡牌总表!AL355="能力持续"),(参数!$B$2-1)*参数!$B$3,0)</f>
        <v>0</v>
      </c>
      <c r="K355">
        <f t="shared" si="16"/>
        <v>0</v>
      </c>
      <c r="L355">
        <f>卡牌总表!N355*卡牌总表!O355*参数!$B$5*IF(AND(卡牌总表!F355="能力",卡牌总表!AL355="能力持续"),参数!$B$2,1)+卡牌总表!Q355*参数!$B$6*IF(AND(卡牌总表!F355="能力",卡牌总表!AL355="能力持续"),参数!$B$2,1)+卡牌总表!S355*参数!$B$7*IF(AND(卡牌总表!F355="能力",卡牌总表!AL355="能力持续"),参数!$B$2,1)+卡牌总表!W355*参数!$B$8+IF(卡牌总表!Y355&lt;0,卡牌总表!Y355*参数!$B$13,卡牌总表!Y355*参数!$B$39)+IF(卡牌总表!AE355&lt;0,卡牌总表!AE355*参数!$B$13,卡牌总表!AE355*参数!$B$12)*参数!$B$2+卡牌总表!AR355*参数!$B$15+卡牌总表!AC355*参数!$B$11+卡牌总表!AF355*参数!$B$40*参数!$B$2+卡牌总表!AG355*参数!$B$44*参数!$B$2+卡牌总表!AH355*参数!$B$6*参数!$B$2+卡牌总表!AI355*参数!$B$39*参数!$B$2+卡牌总表!AJ355*参数!$B$6*参数!$B$2+卡牌总表!AA355*参数!$B$13-卡牌总表!U355*参数!$B$14-卡牌总表!AD355*参数!$B$13+IF(ISNUMBER(卡牌总表!AU355),卡牌总表!AU355*参数!$B$38,0)-卡牌总表!AV355*参数!$B$41-卡牌总表!AW355*参数!$B$14</f>
        <v>0</v>
      </c>
      <c r="M355">
        <f>IF(AND(卡牌总表!F355="能力",卡牌总表!AL355="能力持续"),参数!$B$2*参数!$B$3,0)</f>
        <v>0</v>
      </c>
      <c r="N355">
        <f t="shared" si="17"/>
        <v>0</v>
      </c>
      <c r="O355">
        <f>IFERROR(MAX(IF(K355 &gt; 参数!$B$17,参数!$B$17+SQRT(K355-参数!$B$17)*参数!$B$18,K355)-MAX(G355,0)*参数!$B$10,0)/MAX(G355,0.4),0)</f>
        <v>0</v>
      </c>
      <c r="P355">
        <f>IFERROR(MAX(IF(N355 &gt; 参数!$B$17,参数!$B$17+SQRT(N355-参数!$B$17)*参数!$B$18,N355)-MAX(H355,0)*参数!$B$10,0)/MAX(H355,0.4),0)</f>
        <v>0</v>
      </c>
      <c r="Q355">
        <f>卡牌总表!AO355</f>
        <v>0</v>
      </c>
    </row>
    <row r="356" spans="1:17" x14ac:dyDescent="0.3">
      <c r="A356">
        <f t="shared" si="15"/>
        <v>355</v>
      </c>
      <c r="B356" t="str">
        <f>卡牌总表!B356</f>
        <v>necrobinder_friendship</v>
      </c>
      <c r="C356" t="str">
        <f>卡牌总表!D356</f>
        <v>友谊</v>
      </c>
      <c r="D356" t="str">
        <f>卡牌总表!F356</f>
        <v>能力</v>
      </c>
      <c r="E356" t="str">
        <f>卡牌总表!AL356</f>
        <v>能力持续</v>
      </c>
      <c r="F356" t="str">
        <f>卡牌总表!AN356</f>
        <v>能力</v>
      </c>
      <c r="G356">
        <f>卡牌总表!AP356</f>
        <v>0.4</v>
      </c>
      <c r="H356">
        <f>IF(ISNUMBER(卡牌总表!H356),IF(AND(卡牌总表!H356=0,卡牌总表!V356=0,卡牌总表!AK356="none"),0.4,IF(卡牌总表!AK356="exhaust",MAX(卡牌总表!H356-卡牌总表!V356,0.4),IF(卡牌总表!AK356="ethereal",MAX(卡牌总表!H356-卡牌总表!V356,0.4),MAX(卡牌总表!H356-卡牌总表!V356,0.4)))),IF(OR(卡牌总表!H356="X",卡牌总表!H356="∞"),0.4,0.4))</f>
        <v>0.4</v>
      </c>
      <c r="I356">
        <f>卡牌总表!M356*卡牌总表!O356*参数!$B$5*IF(AND(卡牌总表!F356="能力",卡牌总表!AL356="能力持续"),参数!$B$2,1)+卡牌总表!P356*参数!$B$6*IF(AND(卡牌总表!F356="能力",卡牌总表!AL356="能力持续"),参数!$B$2,1)+卡牌总表!R356*参数!$B$7*IF(AND(卡牌总表!F356="能力",卡牌总表!AL356="能力持续"),参数!$B$2,1)+卡牌总表!V356*参数!$B$8+IF(卡牌总表!X356&lt;0,卡牌总表!X356*参数!$B$13,卡牌总表!X356*参数!$B$39)+IF(卡牌总表!AE356&lt;0,卡牌总表!AE356*参数!$B$13,卡牌总表!AE356*参数!$B$12)*参数!$B$2+卡牌总表!AQ356*参数!$B$15+卡牌总表!AB356*参数!$B$11+卡牌总表!AF356*参数!$B$40*参数!$B$2+卡牌总表!AG356*参数!$B$44*参数!$B$2+卡牌总表!AH356*参数!$B$6*参数!$B$2+卡牌总表!AI356*参数!$B$39*参数!$B$2+卡牌总表!AJ356*参数!$B$6*参数!$B$2+卡牌总表!Z356*参数!$B$13-卡牌总表!T356*参数!$B$14-卡牌总表!AD356*参数!$B$13+IF(ISNUMBER(卡牌总表!AU356),卡牌总表!AU356*参数!$B$38,0)-卡牌总表!AV356*参数!$B$41-卡牌总表!AW356*参数!$B$14</f>
        <v>6</v>
      </c>
      <c r="J356">
        <f>IF(AND(卡牌总表!F356="能力",卡牌总表!AL356="能力持续"),(参数!$B$2-1)*参数!$B$3,0)</f>
        <v>3.5999999999999996</v>
      </c>
      <c r="K356">
        <f t="shared" si="16"/>
        <v>9.6</v>
      </c>
      <c r="L356">
        <f>卡牌总表!N356*卡牌总表!O356*参数!$B$5*IF(AND(卡牌总表!F356="能力",卡牌总表!AL356="能力持续"),参数!$B$2,1)+卡牌总表!Q356*参数!$B$6*IF(AND(卡牌总表!F356="能力",卡牌总表!AL356="能力持续"),参数!$B$2,1)+卡牌总表!S356*参数!$B$7*IF(AND(卡牌总表!F356="能力",卡牌总表!AL356="能力持续"),参数!$B$2,1)+卡牌总表!W356*参数!$B$8+IF(卡牌总表!Y356&lt;0,卡牌总表!Y356*参数!$B$13,卡牌总表!Y356*参数!$B$39)+IF(卡牌总表!AE356&lt;0,卡牌总表!AE356*参数!$B$13,卡牌总表!AE356*参数!$B$12)*参数!$B$2+卡牌总表!AR356*参数!$B$15+卡牌总表!AC356*参数!$B$11+卡牌总表!AF356*参数!$B$40*参数!$B$2+卡牌总表!AG356*参数!$B$44*参数!$B$2+卡牌总表!AH356*参数!$B$6*参数!$B$2+卡牌总表!AI356*参数!$B$39*参数!$B$2+卡牌总表!AJ356*参数!$B$6*参数!$B$2+卡牌总表!AA356*参数!$B$13-卡牌总表!U356*参数!$B$14-卡牌总表!AD356*参数!$B$13+IF(ISNUMBER(卡牌总表!AU356),卡牌总表!AU356*参数!$B$38,0)-卡牌总表!AV356*参数!$B$41-卡牌总表!AW356*参数!$B$14</f>
        <v>-3</v>
      </c>
      <c r="M356">
        <f>IF(AND(卡牌总表!F356="能力",卡牌总表!AL356="能力持续"),参数!$B$2*参数!$B$3,0)</f>
        <v>4.8</v>
      </c>
      <c r="N356">
        <f t="shared" si="17"/>
        <v>1.7999999999999998</v>
      </c>
      <c r="O356">
        <f>IFERROR(MAX(IF(K356 &gt; 参数!$B$17,参数!$B$17+SQRT(K356-参数!$B$17)*参数!$B$18,K356)-MAX(G356,0)*参数!$B$10,0)/MAX(G356,0.4),0)</f>
        <v>20.999999999999996</v>
      </c>
      <c r="P356">
        <f>IFERROR(MAX(IF(N356 &gt; 参数!$B$17,参数!$B$17+SQRT(N356-参数!$B$17)*参数!$B$18,N356)-MAX(H356,0)*参数!$B$10,0)/MAX(H356,0.4),0)</f>
        <v>1.4999999999999991</v>
      </c>
      <c r="Q356">
        <f>卡牌总表!AO356</f>
        <v>0</v>
      </c>
    </row>
    <row r="357" spans="1:17" x14ac:dyDescent="0.3">
      <c r="A357">
        <f t="shared" si="15"/>
        <v>356</v>
      </c>
      <c r="B357" t="str">
        <f>卡牌总表!B357</f>
        <v>necrobinder_glimpse_beyond</v>
      </c>
      <c r="C357" t="str">
        <f>卡牌总表!D357</f>
        <v>彼岸一瞥</v>
      </c>
      <c r="D357" t="str">
        <f>卡牌总表!F357</f>
        <v>技能</v>
      </c>
      <c r="E357">
        <f>卡牌总表!AL357</f>
        <v>0</v>
      </c>
      <c r="F357">
        <f>卡牌总表!AN357</f>
        <v>0</v>
      </c>
      <c r="G357">
        <f>卡牌总表!AP357</f>
        <v>1</v>
      </c>
      <c r="H357">
        <f>IF(ISNUMBER(卡牌总表!H357),IF(AND(卡牌总表!H357=0,卡牌总表!V357=0,卡牌总表!AK357="none"),0.4,IF(卡牌总表!AK357="exhaust",MAX(卡牌总表!H357-卡牌总表!V357,0.4),IF(卡牌总表!AK357="ethereal",MAX(卡牌总表!H357-卡牌总表!V357,0.4),MAX(卡牌总表!H357-卡牌总表!V357,0.4)))),IF(OR(卡牌总表!H357="X",卡牌总表!H357="∞"),0.4,0.4))</f>
        <v>1</v>
      </c>
      <c r="I357">
        <f>卡牌总表!M357*卡牌总表!O357*参数!$B$5*IF(AND(卡牌总表!F357="能力",卡牌总表!AL357="能力持续"),参数!$B$2,1)+卡牌总表!P357*参数!$B$6*IF(AND(卡牌总表!F357="能力",卡牌总表!AL357="能力持续"),参数!$B$2,1)+卡牌总表!R357*参数!$B$7*IF(AND(卡牌总表!F357="能力",卡牌总表!AL357="能力持续"),参数!$B$2,1)+卡牌总表!V357*参数!$B$8+IF(卡牌总表!X357&lt;0,卡牌总表!X357*参数!$B$13,卡牌总表!X357*参数!$B$39)+IF(卡牌总表!AE357&lt;0,卡牌总表!AE357*参数!$B$13,卡牌总表!AE357*参数!$B$12)*参数!$B$2+卡牌总表!AQ357*参数!$B$15+卡牌总表!AB357*参数!$B$11+卡牌总表!AF357*参数!$B$40*参数!$B$2+卡牌总表!AG357*参数!$B$44*参数!$B$2+卡牌总表!AH357*参数!$B$6*参数!$B$2+卡牌总表!AI357*参数!$B$39*参数!$B$2+卡牌总表!AJ357*参数!$B$6*参数!$B$2+卡牌总表!Z357*参数!$B$13-卡牌总表!T357*参数!$B$14-卡牌总表!AD357*参数!$B$13+IF(ISNUMBER(卡牌总表!AU357),卡牌总表!AU357*参数!$B$38,0)-卡牌总表!AV357*参数!$B$41-卡牌总表!AW357*参数!$B$14</f>
        <v>7.1999999999999993</v>
      </c>
      <c r="J357">
        <f>IF(AND(卡牌总表!F357="能力",卡牌总表!AL357="能力持续"),(参数!$B$2-1)*参数!$B$3,0)</f>
        <v>0</v>
      </c>
      <c r="K357">
        <f t="shared" si="16"/>
        <v>7.1999999999999993</v>
      </c>
      <c r="L357">
        <f>卡牌总表!N357*卡牌总表!O357*参数!$B$5*IF(AND(卡牌总表!F357="能力",卡牌总表!AL357="能力持续"),参数!$B$2,1)+卡牌总表!Q357*参数!$B$6*IF(AND(卡牌总表!F357="能力",卡牌总表!AL357="能力持续"),参数!$B$2,1)+卡牌总表!S357*参数!$B$7*IF(AND(卡牌总表!F357="能力",卡牌总表!AL357="能力持续"),参数!$B$2,1)+卡牌总表!W357*参数!$B$8+IF(卡牌总表!Y357&lt;0,卡牌总表!Y357*参数!$B$13,卡牌总表!Y357*参数!$B$39)+IF(卡牌总表!AE357&lt;0,卡牌总表!AE357*参数!$B$13,卡牌总表!AE357*参数!$B$12)*参数!$B$2+卡牌总表!AR357*参数!$B$15+卡牌总表!AC357*参数!$B$11+卡牌总表!AF357*参数!$B$40*参数!$B$2+卡牌总表!AG357*参数!$B$44*参数!$B$2+卡牌总表!AH357*参数!$B$6*参数!$B$2+卡牌总表!AI357*参数!$B$39*参数!$B$2+卡牌总表!AJ357*参数!$B$6*参数!$B$2+卡牌总表!AA357*参数!$B$13-卡牌总表!U357*参数!$B$14-卡牌总表!AD357*参数!$B$13+IF(ISNUMBER(卡牌总表!AU357),卡牌总表!AU357*参数!$B$38,0)-卡牌总表!AV357*参数!$B$41-卡牌总表!AW357*参数!$B$14</f>
        <v>0</v>
      </c>
      <c r="M357">
        <f>IF(AND(卡牌总表!F357="能力",卡牌总表!AL357="能力持续"),参数!$B$2*参数!$B$3,0)</f>
        <v>0</v>
      </c>
      <c r="N357">
        <f t="shared" si="17"/>
        <v>0</v>
      </c>
      <c r="O357">
        <f>IFERROR(MAX(IF(K357 &gt; 参数!$B$17,参数!$B$17+SQRT(K357-参数!$B$17)*参数!$B$18,K357)-MAX(G357,0)*参数!$B$10,0)/MAX(G357,0.4),0)</f>
        <v>4.1999999999999993</v>
      </c>
      <c r="P357">
        <f>IFERROR(MAX(IF(N357 &gt; 参数!$B$17,参数!$B$17+SQRT(N357-参数!$B$17)*参数!$B$18,N357)-MAX(H357,0)*参数!$B$10,0)/MAX(H357,0.4),0)</f>
        <v>0</v>
      </c>
      <c r="Q357">
        <f>卡牌总表!AO357</f>
        <v>0</v>
      </c>
    </row>
    <row r="358" spans="1:17" x14ac:dyDescent="0.3">
      <c r="A358">
        <f t="shared" si="15"/>
        <v>357</v>
      </c>
      <c r="B358" t="str">
        <f>卡牌总表!B358</f>
        <v>necrobinder_grave_warden</v>
      </c>
      <c r="C358" t="str">
        <f>卡牌总表!D358</f>
        <v>守墓人</v>
      </c>
      <c r="D358" t="str">
        <f>卡牌总表!F358</f>
        <v>技能</v>
      </c>
      <c r="E358">
        <f>卡牌总表!AL358</f>
        <v>0</v>
      </c>
      <c r="F358">
        <f>卡牌总表!AN358</f>
        <v>0</v>
      </c>
      <c r="G358">
        <f>卡牌总表!AP358</f>
        <v>1</v>
      </c>
      <c r="H358">
        <f>IF(ISNUMBER(卡牌总表!H358),IF(AND(卡牌总表!H358=0,卡牌总表!V358=0,卡牌总表!AK358="none"),0.4,IF(卡牌总表!AK358="exhaust",MAX(卡牌总表!H358-卡牌总表!V358,0.4),IF(卡牌总表!AK358="ethereal",MAX(卡牌总表!H358-卡牌总表!V358,0.4),MAX(卡牌总表!H358-卡牌总表!V358,0.4)))),IF(OR(卡牌总表!H358="X",卡牌总表!H358="∞"),0.4,0.4))</f>
        <v>1</v>
      </c>
      <c r="I358">
        <f>卡牌总表!M358*卡牌总表!O358*参数!$B$5*IF(AND(卡牌总表!F358="能力",卡牌总表!AL358="能力持续"),参数!$B$2,1)+卡牌总表!P358*参数!$B$6*IF(AND(卡牌总表!F358="能力",卡牌总表!AL358="能力持续"),参数!$B$2,1)+卡牌总表!R358*参数!$B$7*IF(AND(卡牌总表!F358="能力",卡牌总表!AL358="能力持续"),参数!$B$2,1)+卡牌总表!V358*参数!$B$8+IF(卡牌总表!X358&lt;0,卡牌总表!X358*参数!$B$13,卡牌总表!X358*参数!$B$39)+IF(卡牌总表!AE358&lt;0,卡牌总表!AE358*参数!$B$13,卡牌总表!AE358*参数!$B$12)*参数!$B$2+卡牌总表!AQ358*参数!$B$15+卡牌总表!AB358*参数!$B$11+卡牌总表!AF358*参数!$B$40*参数!$B$2+卡牌总表!AG358*参数!$B$44*参数!$B$2+卡牌总表!AH358*参数!$B$6*参数!$B$2+卡牌总表!AI358*参数!$B$39*参数!$B$2+卡牌总表!AJ358*参数!$B$6*参数!$B$2+卡牌总表!Z358*参数!$B$13-卡牌总表!T358*参数!$B$14-卡牌总表!AD358*参数!$B$13+IF(ISNUMBER(卡牌总表!AU358),卡牌总表!AU358*参数!$B$38,0)-卡牌总表!AV358*参数!$B$41-卡牌总表!AW358*参数!$B$14</f>
        <v>9.5</v>
      </c>
      <c r="J358">
        <f>IF(AND(卡牌总表!F358="能力",卡牌总表!AL358="能力持续"),(参数!$B$2-1)*参数!$B$3,0)</f>
        <v>0</v>
      </c>
      <c r="K358">
        <f t="shared" si="16"/>
        <v>9.5</v>
      </c>
      <c r="L358">
        <f>卡牌总表!N358*卡牌总表!O358*参数!$B$5*IF(AND(卡牌总表!F358="能力",卡牌总表!AL358="能力持续"),参数!$B$2,1)+卡牌总表!Q358*参数!$B$6*IF(AND(卡牌总表!F358="能力",卡牌总表!AL358="能力持续"),参数!$B$2,1)+卡牌总表!S358*参数!$B$7*IF(AND(卡牌总表!F358="能力",卡牌总表!AL358="能力持续"),参数!$B$2,1)+卡牌总表!W358*参数!$B$8+IF(卡牌总表!Y358&lt;0,卡牌总表!Y358*参数!$B$13,卡牌总表!Y358*参数!$B$39)+IF(卡牌总表!AE358&lt;0,卡牌总表!AE358*参数!$B$13,卡牌总表!AE358*参数!$B$12)*参数!$B$2+卡牌总表!AR358*参数!$B$15+卡牌总表!AC358*参数!$B$11+卡牌总表!AF358*参数!$B$40*参数!$B$2+卡牌总表!AG358*参数!$B$44*参数!$B$2+卡牌总表!AH358*参数!$B$6*参数!$B$2+卡牌总表!AI358*参数!$B$39*参数!$B$2+卡牌总表!AJ358*参数!$B$6*参数!$B$2+卡牌总表!AA358*参数!$B$13-卡牌总表!U358*参数!$B$14-卡牌总表!AD358*参数!$B$13+IF(ISNUMBER(卡牌总表!AU358),卡牌总表!AU358*参数!$B$38,0)-卡牌总表!AV358*参数!$B$41-卡牌总表!AW358*参数!$B$14</f>
        <v>13.500000000000002</v>
      </c>
      <c r="M358">
        <f>IF(AND(卡牌总表!F358="能力",卡牌总表!AL358="能力持续"),参数!$B$2*参数!$B$3,0)</f>
        <v>0</v>
      </c>
      <c r="N358">
        <f t="shared" si="17"/>
        <v>13.500000000000002</v>
      </c>
      <c r="O358">
        <f>IFERROR(MAX(IF(K358 &gt; 参数!$B$17,参数!$B$17+SQRT(K358-参数!$B$17)*参数!$B$18,K358)-MAX(G358,0)*参数!$B$10,0)/MAX(G358,0.4),0)</f>
        <v>6.5</v>
      </c>
      <c r="P358">
        <f>IFERROR(MAX(IF(N358 &gt; 参数!$B$17,参数!$B$17+SQRT(N358-参数!$B$17)*参数!$B$18,N358)-MAX(H358,0)*参数!$B$10,0)/MAX(H358,0.4),0)</f>
        <v>9.8062430400804566</v>
      </c>
      <c r="Q358">
        <f>卡牌总表!AO358</f>
        <v>0</v>
      </c>
    </row>
    <row r="359" spans="1:17" x14ac:dyDescent="0.3">
      <c r="A359">
        <f t="shared" si="15"/>
        <v>358</v>
      </c>
      <c r="B359" t="str">
        <f>卡牌总表!B359</f>
        <v>necrobinder_graveblast</v>
      </c>
      <c r="C359" t="str">
        <f>卡牌总表!D359</f>
        <v>坟冢爆射</v>
      </c>
      <c r="D359" t="str">
        <f>卡牌总表!F359</f>
        <v>攻击</v>
      </c>
      <c r="E359">
        <f>卡牌总表!AL359</f>
        <v>0</v>
      </c>
      <c r="F359">
        <f>卡牌总表!AN359</f>
        <v>0</v>
      </c>
      <c r="G359">
        <f>卡牌总表!AP359</f>
        <v>1</v>
      </c>
      <c r="H359">
        <f>IF(ISNUMBER(卡牌总表!H359),IF(AND(卡牌总表!H359=0,卡牌总表!V359=0,卡牌总表!AK359="none"),0.4,IF(卡牌总表!AK359="exhaust",MAX(卡牌总表!H359-卡牌总表!V359,0.4),IF(卡牌总表!AK359="ethereal",MAX(卡牌总表!H359-卡牌总表!V359,0.4),MAX(卡牌总表!H359-卡牌总表!V359,0.4)))),IF(OR(卡牌总表!H359="X",卡牌总表!H359="∞"),0.4,0.4))</f>
        <v>1</v>
      </c>
      <c r="I359">
        <f>卡牌总表!M359*卡牌总表!O359*参数!$B$5*IF(AND(卡牌总表!F359="能力",卡牌总表!AL359="能力持续"),参数!$B$2,1)+卡牌总表!P359*参数!$B$6*IF(AND(卡牌总表!F359="能力",卡牌总表!AL359="能力持续"),参数!$B$2,1)+卡牌总表!R359*参数!$B$7*IF(AND(卡牌总表!F359="能力",卡牌总表!AL359="能力持续"),参数!$B$2,1)+卡牌总表!V359*参数!$B$8+IF(卡牌总表!X359&lt;0,卡牌总表!X359*参数!$B$13,卡牌总表!X359*参数!$B$39)+IF(卡牌总表!AE359&lt;0,卡牌总表!AE359*参数!$B$13,卡牌总表!AE359*参数!$B$12)*参数!$B$2+卡牌总表!AQ359*参数!$B$15+卡牌总表!AB359*参数!$B$11+卡牌总表!AF359*参数!$B$40*参数!$B$2+卡牌总表!AG359*参数!$B$44*参数!$B$2+卡牌总表!AH359*参数!$B$6*参数!$B$2+卡牌总表!AI359*参数!$B$39*参数!$B$2+卡牌总表!AJ359*参数!$B$6*参数!$B$2+卡牌总表!Z359*参数!$B$13-卡牌总表!T359*参数!$B$14-卡牌总表!AD359*参数!$B$13+IF(ISNUMBER(卡牌总表!AU359),卡牌总表!AU359*参数!$B$38,0)-卡牌总表!AV359*参数!$B$41-卡牌总表!AW359*参数!$B$14</f>
        <v>4.7</v>
      </c>
      <c r="J359">
        <f>IF(AND(卡牌总表!F359="能力",卡牌总表!AL359="能力持续"),(参数!$B$2-1)*参数!$B$3,0)</f>
        <v>0</v>
      </c>
      <c r="K359">
        <f t="shared" si="16"/>
        <v>4.7</v>
      </c>
      <c r="L359">
        <f>卡牌总表!N359*卡牌总表!O359*参数!$B$5*IF(AND(卡牌总表!F359="能力",卡牌总表!AL359="能力持续"),参数!$B$2,1)+卡牌总表!Q359*参数!$B$6*IF(AND(卡牌总表!F359="能力",卡牌总表!AL359="能力持续"),参数!$B$2,1)+卡牌总表!S359*参数!$B$7*IF(AND(卡牌总表!F359="能力",卡牌总表!AL359="能力持续"),参数!$B$2,1)+卡牌总表!W359*参数!$B$8+IF(卡牌总表!Y359&lt;0,卡牌总表!Y359*参数!$B$13,卡牌总表!Y359*参数!$B$39)+IF(卡牌总表!AE359&lt;0,卡牌总表!AE359*参数!$B$13,卡牌总表!AE359*参数!$B$12)*参数!$B$2+卡牌总表!AR359*参数!$B$15+卡牌总表!AC359*参数!$B$11+卡牌总表!AF359*参数!$B$40*参数!$B$2+卡牌总表!AG359*参数!$B$44*参数!$B$2+卡牌总表!AH359*参数!$B$6*参数!$B$2+卡牌总表!AI359*参数!$B$39*参数!$B$2+卡牌总表!AJ359*参数!$B$6*参数!$B$2+卡牌总表!AA359*参数!$B$13-卡牌总表!U359*参数!$B$14-卡牌总表!AD359*参数!$B$13+IF(ISNUMBER(卡牌总表!AU359),卡牌总表!AU359*参数!$B$38,0)-卡牌总表!AV359*参数!$B$41-卡牌总表!AW359*参数!$B$14</f>
        <v>6.7</v>
      </c>
      <c r="M359">
        <f>IF(AND(卡牌总表!F359="能力",卡牌总表!AL359="能力持续"),参数!$B$2*参数!$B$3,0)</f>
        <v>0</v>
      </c>
      <c r="N359">
        <f t="shared" si="17"/>
        <v>6.7</v>
      </c>
      <c r="O359">
        <f>IFERROR(MAX(IF(K359 &gt; 参数!$B$17,参数!$B$17+SQRT(K359-参数!$B$17)*参数!$B$18,K359)-MAX(G359,0)*参数!$B$10,0)/MAX(G359,0.4),0)</f>
        <v>1.7000000000000002</v>
      </c>
      <c r="P359">
        <f>IFERROR(MAX(IF(N359 &gt; 参数!$B$17,参数!$B$17+SQRT(N359-参数!$B$17)*参数!$B$18,N359)-MAX(H359,0)*参数!$B$10,0)/MAX(H359,0.4),0)</f>
        <v>3.7</v>
      </c>
      <c r="Q359">
        <f>卡牌总表!AO359</f>
        <v>0</v>
      </c>
    </row>
    <row r="360" spans="1:17" x14ac:dyDescent="0.3">
      <c r="A360">
        <f t="shared" si="15"/>
        <v>359</v>
      </c>
      <c r="B360" t="str">
        <f>卡牌总表!B360</f>
        <v>necrobinder_hang</v>
      </c>
      <c r="C360" t="str">
        <f>卡牌总表!D360</f>
        <v>绞杀</v>
      </c>
      <c r="D360" t="str">
        <f>卡牌总表!F360</f>
        <v>攻击</v>
      </c>
      <c r="E360">
        <f>卡牌总表!AL360</f>
        <v>0</v>
      </c>
      <c r="F360">
        <f>卡牌总表!AN360</f>
        <v>0</v>
      </c>
      <c r="G360">
        <f>卡牌总表!AP360</f>
        <v>1</v>
      </c>
      <c r="H360">
        <f>IF(ISNUMBER(卡牌总表!H360),IF(AND(卡牌总表!H360=0,卡牌总表!V360=0,卡牌总表!AK360="none"),0.4,IF(卡牌总表!AK360="exhaust",MAX(卡牌总表!H360-卡牌总表!V360,0.4),IF(卡牌总表!AK360="ethereal",MAX(卡牌总表!H360-卡牌总表!V360,0.4),MAX(卡牌总表!H360-卡牌总表!V360,0.4)))),IF(OR(卡牌总表!H360="X",卡牌总表!H360="∞"),0.4,0.4))</f>
        <v>1</v>
      </c>
      <c r="I360">
        <f>卡牌总表!M360*卡牌总表!O360*参数!$B$5*IF(AND(卡牌总表!F360="能力",卡牌总表!AL360="能力持续"),参数!$B$2,1)+卡牌总表!P360*参数!$B$6*IF(AND(卡牌总表!F360="能力",卡牌总表!AL360="能力持续"),参数!$B$2,1)+卡牌总表!R360*参数!$B$7*IF(AND(卡牌总表!F360="能力",卡牌总表!AL360="能力持续"),参数!$B$2,1)+卡牌总表!V360*参数!$B$8+IF(卡牌总表!X360&lt;0,卡牌总表!X360*参数!$B$13,卡牌总表!X360*参数!$B$39)+IF(卡牌总表!AE360&lt;0,卡牌总表!AE360*参数!$B$13,卡牌总表!AE360*参数!$B$12)*参数!$B$2+卡牌总表!AQ360*参数!$B$15+卡牌总表!AB360*参数!$B$11+卡牌总表!AF360*参数!$B$40*参数!$B$2+卡牌总表!AG360*参数!$B$44*参数!$B$2+卡牌总表!AH360*参数!$B$6*参数!$B$2+卡牌总表!AI360*参数!$B$39*参数!$B$2+卡牌总表!AJ360*参数!$B$6*参数!$B$2+卡牌总表!Z360*参数!$B$13-卡牌总表!T360*参数!$B$14-卡牌总表!AD360*参数!$B$13+IF(ISNUMBER(卡牌总表!AU360),卡牌总表!AU360*参数!$B$38,0)-卡牌总表!AV360*参数!$B$41-卡牌总表!AW360*参数!$B$14</f>
        <v>20</v>
      </c>
      <c r="J360">
        <f>IF(AND(卡牌总表!F360="能力",卡牌总表!AL360="能力持续"),(参数!$B$2-1)*参数!$B$3,0)</f>
        <v>0</v>
      </c>
      <c r="K360">
        <f t="shared" si="16"/>
        <v>20</v>
      </c>
      <c r="L360">
        <f>卡牌总表!N360*卡牌总表!O360*参数!$B$5*IF(AND(卡牌总表!F360="能力",卡牌总表!AL360="能力持续"),参数!$B$2,1)+卡牌总表!Q360*参数!$B$6*IF(AND(卡牌总表!F360="能力",卡牌总表!AL360="能力持续"),参数!$B$2,1)+卡牌总表!S360*参数!$B$7*IF(AND(卡牌总表!F360="能力",卡牌总表!AL360="能力持续"),参数!$B$2,1)+卡牌总表!W360*参数!$B$8+IF(卡牌总表!Y360&lt;0,卡牌总表!Y360*参数!$B$13,卡牌总表!Y360*参数!$B$39)+IF(卡牌总表!AE360&lt;0,卡牌总表!AE360*参数!$B$13,卡牌总表!AE360*参数!$B$12)*参数!$B$2+卡牌总表!AR360*参数!$B$15+卡牌总表!AC360*参数!$B$11+卡牌总表!AF360*参数!$B$40*参数!$B$2+卡牌总表!AG360*参数!$B$44*参数!$B$2+卡牌总表!AH360*参数!$B$6*参数!$B$2+卡牌总表!AI360*参数!$B$39*参数!$B$2+卡牌总表!AJ360*参数!$B$6*参数!$B$2+卡牌总表!AA360*参数!$B$13-卡牌总表!U360*参数!$B$14-卡牌总表!AD360*参数!$B$13+IF(ISNUMBER(卡牌总表!AU360),卡牌总表!AU360*参数!$B$38,0)-卡牌总表!AV360*参数!$B$41-卡牌总表!AW360*参数!$B$14</f>
        <v>26</v>
      </c>
      <c r="M360">
        <f>IF(AND(卡牌总表!F360="能力",卡牌总表!AL360="能力持续"),参数!$B$2*参数!$B$3,0)</f>
        <v>0</v>
      </c>
      <c r="N360">
        <f t="shared" si="17"/>
        <v>26</v>
      </c>
      <c r="O360">
        <f>IFERROR(MAX(IF(K360 &gt; 参数!$B$17,参数!$B$17+SQRT(K360-参数!$B$17)*参数!$B$18,K360)-MAX(G360,0)*参数!$B$10,0)/MAX(G360,0.4),0)</f>
        <v>11.743416490252569</v>
      </c>
      <c r="P360">
        <f>IFERROR(MAX(IF(N360 &gt; 参数!$B$17,参数!$B$17+SQRT(N360-参数!$B$17)*参数!$B$18,N360)-MAX(H360,0)*参数!$B$10,0)/MAX(H360,0.4),0)</f>
        <v>13</v>
      </c>
      <c r="Q360">
        <f>卡牌总表!AO360</f>
        <v>0</v>
      </c>
    </row>
    <row r="361" spans="1:17" x14ac:dyDescent="0.3">
      <c r="A361">
        <f t="shared" si="15"/>
        <v>360</v>
      </c>
      <c r="B361" t="str">
        <f>卡牌总表!B361</f>
        <v>necrobinder_haunt</v>
      </c>
      <c r="C361" t="str">
        <f>卡牌总表!D361</f>
        <v>纠缠</v>
      </c>
      <c r="D361" t="str">
        <f>卡牌总表!F361</f>
        <v>能力</v>
      </c>
      <c r="E361" t="str">
        <f>卡牌总表!AL361</f>
        <v>能力持续</v>
      </c>
      <c r="F361" t="str">
        <f>卡牌总表!AN361</f>
        <v>能力</v>
      </c>
      <c r="G361">
        <f>卡牌总表!AP361</f>
        <v>1</v>
      </c>
      <c r="H361">
        <f>IF(ISNUMBER(卡牌总表!H361),IF(AND(卡牌总表!H361=0,卡牌总表!V361=0,卡牌总表!AK361="none"),0.4,IF(卡牌总表!AK361="exhaust",MAX(卡牌总表!H361-卡牌总表!V361,0.4),IF(卡牌总表!AK361="ethereal",MAX(卡牌总表!H361-卡牌总表!V361,0.4),MAX(卡牌总表!H361-卡牌总表!V361,0.4)))),IF(OR(卡牌总表!H361="X",卡牌总表!H361="∞"),0.4,0.4))</f>
        <v>1</v>
      </c>
      <c r="I361">
        <f>卡牌总表!M361*卡牌总表!O361*参数!$B$5*IF(AND(卡牌总表!F361="能力",卡牌总表!AL361="能力持续"),参数!$B$2,1)+卡牌总表!P361*参数!$B$6*IF(AND(卡牌总表!F361="能力",卡牌总表!AL361="能力持续"),参数!$B$2,1)+卡牌总表!R361*参数!$B$7*IF(AND(卡牌总表!F361="能力",卡牌总表!AL361="能力持续"),参数!$B$2,1)+卡牌总表!V361*参数!$B$8+IF(卡牌总表!X361&lt;0,卡牌总表!X361*参数!$B$13,卡牌总表!X361*参数!$B$39)+IF(卡牌总表!AE361&lt;0,卡牌总表!AE361*参数!$B$13,卡牌总表!AE361*参数!$B$12)*参数!$B$2+卡牌总表!AQ361*参数!$B$15+卡牌总表!AB361*参数!$B$11+卡牌总表!AF361*参数!$B$40*参数!$B$2+卡牌总表!AG361*参数!$B$44*参数!$B$2+卡牌总表!AH361*参数!$B$6*参数!$B$2+卡牌总表!AI361*参数!$B$39*参数!$B$2+卡牌总表!AJ361*参数!$B$6*参数!$B$2+卡牌总表!Z361*参数!$B$13-卡牌总表!T361*参数!$B$14-卡牌总表!AD361*参数!$B$13+IF(ISNUMBER(卡牌总表!AU361),卡牌总表!AU361*参数!$B$38,0)-卡牌总表!AV361*参数!$B$41-卡牌总表!AW361*参数!$B$14</f>
        <v>0</v>
      </c>
      <c r="J361">
        <f>IF(AND(卡牌总表!F361="能力",卡牌总表!AL361="能力持续"),(参数!$B$2-1)*参数!$B$3,0)</f>
        <v>3.5999999999999996</v>
      </c>
      <c r="K361">
        <f t="shared" si="16"/>
        <v>3.5999999999999996</v>
      </c>
      <c r="L361">
        <f>卡牌总表!N361*卡牌总表!O361*参数!$B$5*IF(AND(卡牌总表!F361="能力",卡牌总表!AL361="能力持续"),参数!$B$2,1)+卡牌总表!Q361*参数!$B$6*IF(AND(卡牌总表!F361="能力",卡牌总表!AL361="能力持续"),参数!$B$2,1)+卡牌总表!S361*参数!$B$7*IF(AND(卡牌总表!F361="能力",卡牌总表!AL361="能力持续"),参数!$B$2,1)+卡牌总表!W361*参数!$B$8+IF(卡牌总表!Y361&lt;0,卡牌总表!Y361*参数!$B$13,卡牌总表!Y361*参数!$B$39)+IF(卡牌总表!AE361&lt;0,卡牌总表!AE361*参数!$B$13,卡牌总表!AE361*参数!$B$12)*参数!$B$2+卡牌总表!AR361*参数!$B$15+卡牌总表!AC361*参数!$B$11+卡牌总表!AF361*参数!$B$40*参数!$B$2+卡牌总表!AG361*参数!$B$44*参数!$B$2+卡牌总表!AH361*参数!$B$6*参数!$B$2+卡牌总表!AI361*参数!$B$39*参数!$B$2+卡牌总表!AJ361*参数!$B$6*参数!$B$2+卡牌总表!AA361*参数!$B$13-卡牌总表!U361*参数!$B$14-卡牌总表!AD361*参数!$B$13+IF(ISNUMBER(卡牌总表!AU361),卡牌总表!AU361*参数!$B$38,0)-卡牌总表!AV361*参数!$B$41-卡牌总表!AW361*参数!$B$14</f>
        <v>0</v>
      </c>
      <c r="M361">
        <f>IF(AND(卡牌总表!F361="能力",卡牌总表!AL361="能力持续"),参数!$B$2*参数!$B$3,0)</f>
        <v>4.8</v>
      </c>
      <c r="N361">
        <f t="shared" si="17"/>
        <v>4.8</v>
      </c>
      <c r="O361">
        <f>IFERROR(MAX(IF(K361 &gt; 参数!$B$17,参数!$B$17+SQRT(K361-参数!$B$17)*参数!$B$18,K361)-MAX(G361,0)*参数!$B$10,0)/MAX(G361,0.4),0)</f>
        <v>0.59999999999999964</v>
      </c>
      <c r="P361">
        <f>IFERROR(MAX(IF(N361 &gt; 参数!$B$17,参数!$B$17+SQRT(N361-参数!$B$17)*参数!$B$18,N361)-MAX(H361,0)*参数!$B$10,0)/MAX(H361,0.4),0)</f>
        <v>1.7999999999999998</v>
      </c>
      <c r="Q361">
        <f>卡牌总表!AO361</f>
        <v>0</v>
      </c>
    </row>
    <row r="362" spans="1:17" x14ac:dyDescent="0.3">
      <c r="A362">
        <f t="shared" si="15"/>
        <v>361</v>
      </c>
      <c r="B362" t="str">
        <f>卡牌总表!B362</f>
        <v>necrobinder_high_five</v>
      </c>
      <c r="C362" t="str">
        <f>卡牌总表!D362</f>
        <v>击掌</v>
      </c>
      <c r="D362" t="str">
        <f>卡牌总表!F362</f>
        <v>攻击</v>
      </c>
      <c r="E362">
        <f>卡牌总表!AL362</f>
        <v>0</v>
      </c>
      <c r="F362" t="str">
        <f>卡牌总表!AN362</f>
        <v>群体攻击</v>
      </c>
      <c r="G362">
        <f>卡牌总表!AP362</f>
        <v>2</v>
      </c>
      <c r="H362">
        <f>IF(ISNUMBER(卡牌总表!H362),IF(AND(卡牌总表!H362=0,卡牌总表!V362=0,卡牌总表!AK362="none"),0.4,IF(卡牌总表!AK362="exhaust",MAX(卡牌总表!H362-卡牌总表!V362,0.4),IF(卡牌总表!AK362="ethereal",MAX(卡牌总表!H362-卡牌总表!V362,0.4),MAX(卡牌总表!H362-卡牌总表!V362,0.4)))),IF(OR(卡牌总表!H362="X",卡牌总表!H362="∞"),0.4,0.4))</f>
        <v>2</v>
      </c>
      <c r="I362">
        <f>卡牌总表!M362*卡牌总表!O362*参数!$B$5*IF(AND(卡牌总表!F362="能力",卡牌总表!AL362="能力持续"),参数!$B$2,1)+卡牌总表!P362*参数!$B$6*IF(AND(卡牌总表!F362="能力",卡牌总表!AL362="能力持续"),参数!$B$2,1)+卡牌总表!R362*参数!$B$7*IF(AND(卡牌总表!F362="能力",卡牌总表!AL362="能力持续"),参数!$B$2,1)+卡牌总表!V362*参数!$B$8+IF(卡牌总表!X362&lt;0,卡牌总表!X362*参数!$B$13,卡牌总表!X362*参数!$B$39)+IF(卡牌总表!AE362&lt;0,卡牌总表!AE362*参数!$B$13,卡牌总表!AE362*参数!$B$12)*参数!$B$2+卡牌总表!AQ362*参数!$B$15+卡牌总表!AB362*参数!$B$11+卡牌总表!AF362*参数!$B$40*参数!$B$2+卡牌总表!AG362*参数!$B$44*参数!$B$2+卡牌总表!AH362*参数!$B$6*参数!$B$2+卡牌总表!AI362*参数!$B$39*参数!$B$2+卡牌总表!AJ362*参数!$B$6*参数!$B$2+卡牌总表!Z362*参数!$B$13-卡牌总表!T362*参数!$B$14-卡牌总表!AD362*参数!$B$13+IF(ISNUMBER(卡牌总表!AU362),卡牌总表!AU362*参数!$B$38,0)-卡牌总表!AV362*参数!$B$41-卡牌总表!AW362*参数!$B$14</f>
        <v>13.6</v>
      </c>
      <c r="J362">
        <f>IF(AND(卡牌总表!F362="能力",卡牌总表!AL362="能力持续"),(参数!$B$2-1)*参数!$B$3,0)</f>
        <v>0</v>
      </c>
      <c r="K362">
        <f t="shared" si="16"/>
        <v>13.6</v>
      </c>
      <c r="L362">
        <f>卡牌总表!N362*卡牌总表!O362*参数!$B$5*IF(AND(卡牌总表!F362="能力",卡牌总表!AL362="能力持续"),参数!$B$2,1)+卡牌总表!Q362*参数!$B$6*IF(AND(卡牌总表!F362="能力",卡牌总表!AL362="能力持续"),参数!$B$2,1)+卡牌总表!S362*参数!$B$7*IF(AND(卡牌总表!F362="能力",卡牌总表!AL362="能力持续"),参数!$B$2,1)+卡牌总表!W362*参数!$B$8+IF(卡牌总表!Y362&lt;0,卡牌总表!Y362*参数!$B$13,卡牌总表!Y362*参数!$B$39)+IF(卡牌总表!AE362&lt;0,卡牌总表!AE362*参数!$B$13,卡牌总表!AE362*参数!$B$12)*参数!$B$2+卡牌总表!AR362*参数!$B$15+卡牌总表!AC362*参数!$B$11+卡牌总表!AF362*参数!$B$40*参数!$B$2+卡牌总表!AG362*参数!$B$44*参数!$B$2+卡牌总表!AH362*参数!$B$6*参数!$B$2+卡牌总表!AI362*参数!$B$39*参数!$B$2+卡牌总表!AJ362*参数!$B$6*参数!$B$2+卡牌总表!AA362*参数!$B$13-卡牌总表!U362*参数!$B$14-卡牌总表!AD362*参数!$B$13+IF(ISNUMBER(卡牌总表!AU362),卡牌总表!AU362*参数!$B$38,0)-卡牌总表!AV362*参数!$B$41-卡牌总表!AW362*参数!$B$14</f>
        <v>15.6</v>
      </c>
      <c r="M362">
        <f>IF(AND(卡牌总表!F362="能力",卡牌总表!AL362="能力持续"),参数!$B$2*参数!$B$3,0)</f>
        <v>0</v>
      </c>
      <c r="N362">
        <f t="shared" si="17"/>
        <v>15.6</v>
      </c>
      <c r="O362">
        <f>IFERROR(MAX(IF(K362 &gt; 参数!$B$17,参数!$B$17+SQRT(K362-参数!$B$17)*参数!$B$18,K362)-MAX(G362,0)*参数!$B$10,0)/MAX(G362,0.4),0)</f>
        <v>3.4230249470757705</v>
      </c>
      <c r="P362">
        <f>IFERROR(MAX(IF(N362 &gt; 参数!$B$17,参数!$B$17+SQRT(N362-参数!$B$17)*参数!$B$18,N362)-MAX(H362,0)*参数!$B$10,0)/MAX(H362,0.4),0)</f>
        <v>3.7748239349298842</v>
      </c>
      <c r="Q362">
        <f>卡牌总表!AO362</f>
        <v>0</v>
      </c>
    </row>
    <row r="363" spans="1:17" x14ac:dyDescent="0.3">
      <c r="A363">
        <f t="shared" si="15"/>
        <v>362</v>
      </c>
      <c r="B363" t="str">
        <f>卡牌总表!B363</f>
        <v>necrobinder_invoke</v>
      </c>
      <c r="C363" t="str">
        <f>卡牌总表!D363</f>
        <v>唤起</v>
      </c>
      <c r="D363" t="str">
        <f>卡牌总表!F363</f>
        <v>技能</v>
      </c>
      <c r="E363">
        <f>卡牌总表!AL363</f>
        <v>0</v>
      </c>
      <c r="F363">
        <f>卡牌总表!AN363</f>
        <v>0</v>
      </c>
      <c r="G363">
        <f>卡牌总表!AP363</f>
        <v>0.4</v>
      </c>
      <c r="H363">
        <f>IF(ISNUMBER(卡牌总表!H363),IF(AND(卡牌总表!H363=0,卡牌总表!V363=0,卡牌总表!AK363="none"),0.4,IF(卡牌总表!AK363="exhaust",MAX(卡牌总表!H363-卡牌总表!V363,0.4),IF(卡牌总表!AK363="ethereal",MAX(卡牌总表!H363-卡牌总表!V363,0.4),MAX(卡牌总表!H363-卡牌总表!V363,0.4)))),IF(OR(卡牌总表!H363="X",卡牌总表!H363="∞"),0.4,0.4))</f>
        <v>0.4</v>
      </c>
      <c r="I363">
        <f>卡牌总表!M363*卡牌总表!O363*参数!$B$5*IF(AND(卡牌总表!F363="能力",卡牌总表!AL363="能力持续"),参数!$B$2,1)+卡牌总表!P363*参数!$B$6*IF(AND(卡牌总表!F363="能力",卡牌总表!AL363="能力持续"),参数!$B$2,1)+卡牌总表!R363*参数!$B$7*IF(AND(卡牌总表!F363="能力",卡牌总表!AL363="能力持续"),参数!$B$2,1)+卡牌总表!V363*参数!$B$8+IF(卡牌总表!X363&lt;0,卡牌总表!X363*参数!$B$13,卡牌总表!X363*参数!$B$39)+IF(卡牌总表!AE363&lt;0,卡牌总表!AE363*参数!$B$13,卡牌总表!AE363*参数!$B$12)*参数!$B$2+卡牌总表!AQ363*参数!$B$15+卡牌总表!AB363*参数!$B$11+卡牌总表!AF363*参数!$B$40*参数!$B$2+卡牌总表!AG363*参数!$B$44*参数!$B$2+卡牌总表!AH363*参数!$B$6*参数!$B$2+卡牌总表!AI363*参数!$B$39*参数!$B$2+卡牌总表!AJ363*参数!$B$6*参数!$B$2+卡牌总表!Z363*参数!$B$13-卡牌总表!T363*参数!$B$14-卡牌总表!AD363*参数!$B$13+IF(ISNUMBER(卡牌总表!AU363),卡牌总表!AU363*参数!$B$38,0)-卡牌总表!AV363*参数!$B$41-卡牌总表!AW363*参数!$B$14</f>
        <v>8</v>
      </c>
      <c r="J363">
        <f>IF(AND(卡牌总表!F363="能力",卡牌总表!AL363="能力持续"),(参数!$B$2-1)*参数!$B$3,0)</f>
        <v>0</v>
      </c>
      <c r="K363">
        <f t="shared" si="16"/>
        <v>8</v>
      </c>
      <c r="L363">
        <f>卡牌总表!N363*卡牌总表!O363*参数!$B$5*IF(AND(卡牌总表!F363="能力",卡牌总表!AL363="能力持续"),参数!$B$2,1)+卡牌总表!Q363*参数!$B$6*IF(AND(卡牌总表!F363="能力",卡牌总表!AL363="能力持续"),参数!$B$2,1)+卡牌总表!S363*参数!$B$7*IF(AND(卡牌总表!F363="能力",卡牌总表!AL363="能力持续"),参数!$B$2,1)+卡牌总表!W363*参数!$B$8+IF(卡牌总表!Y363&lt;0,卡牌总表!Y363*参数!$B$13,卡牌总表!Y363*参数!$B$39)+IF(卡牌总表!AE363&lt;0,卡牌总表!AE363*参数!$B$13,卡牌总表!AE363*参数!$B$12)*参数!$B$2+卡牌总表!AR363*参数!$B$15+卡牌总表!AC363*参数!$B$11+卡牌总表!AF363*参数!$B$40*参数!$B$2+卡牌总表!AG363*参数!$B$44*参数!$B$2+卡牌总表!AH363*参数!$B$6*参数!$B$2+卡牌总表!AI363*参数!$B$39*参数!$B$2+卡牌总表!AJ363*参数!$B$6*参数!$B$2+卡牌总表!AA363*参数!$B$13-卡牌总表!U363*参数!$B$14-卡牌总表!AD363*参数!$B$13+IF(ISNUMBER(卡牌总表!AU363),卡牌总表!AU363*参数!$B$38,0)-卡牌总表!AV363*参数!$B$41-卡牌总表!AW363*参数!$B$14</f>
        <v>11</v>
      </c>
      <c r="M363">
        <f>IF(AND(卡牌总表!F363="能力",卡牌总表!AL363="能力持续"),参数!$B$2*参数!$B$3,0)</f>
        <v>0</v>
      </c>
      <c r="N363">
        <f t="shared" si="17"/>
        <v>11</v>
      </c>
      <c r="O363">
        <f>IFERROR(MAX(IF(K363 &gt; 参数!$B$17,参数!$B$17+SQRT(K363-参数!$B$17)*参数!$B$18,K363)-MAX(G363,0)*参数!$B$10,0)/MAX(G363,0.4),0)</f>
        <v>17</v>
      </c>
      <c r="P363">
        <f>IFERROR(MAX(IF(N363 &gt; 参数!$B$17,参数!$B$17+SQRT(N363-参数!$B$17)*参数!$B$18,N363)-MAX(H363,0)*参数!$B$10,0)/MAX(H363,0.4),0)</f>
        <v>25.75</v>
      </c>
      <c r="Q363">
        <f>卡牌总表!AO363</f>
        <v>0</v>
      </c>
    </row>
    <row r="364" spans="1:17" x14ac:dyDescent="0.3">
      <c r="A364">
        <f t="shared" si="15"/>
        <v>363</v>
      </c>
      <c r="B364" t="str">
        <f>卡牌总表!B364</f>
        <v>necrobinder_legion_of_bone</v>
      </c>
      <c r="C364" t="str">
        <f>卡牌总表!D364</f>
        <v>骸骨军团</v>
      </c>
      <c r="D364" t="str">
        <f>卡牌总表!F364</f>
        <v>技能</v>
      </c>
      <c r="E364">
        <f>卡牌总表!AL364</f>
        <v>0</v>
      </c>
      <c r="F364">
        <f>卡牌总表!AN364</f>
        <v>0</v>
      </c>
      <c r="G364">
        <f>卡牌总表!AP364</f>
        <v>2</v>
      </c>
      <c r="H364">
        <f>IF(ISNUMBER(卡牌总表!H364),IF(AND(卡牌总表!H364=0,卡牌总表!V364=0,卡牌总表!AK364="none"),0.4,IF(卡牌总表!AK364="exhaust",MAX(卡牌总表!H364-卡牌总表!V364,0.4),IF(卡牌总表!AK364="ethereal",MAX(卡牌总表!H364-卡牌总表!V364,0.4),MAX(卡牌总表!H364-卡牌总表!V364,0.4)))),IF(OR(卡牌总表!H364="X",卡牌总表!H364="∞"),0.4,0.4))</f>
        <v>2</v>
      </c>
      <c r="I364">
        <f>卡牌总表!M364*卡牌总表!O364*参数!$B$5*IF(AND(卡牌总表!F364="能力",卡牌总表!AL364="能力持续"),参数!$B$2,1)+卡牌总表!P364*参数!$B$6*IF(AND(卡牌总表!F364="能力",卡牌总表!AL364="能力持续"),参数!$B$2,1)+卡牌总表!R364*参数!$B$7*IF(AND(卡牌总表!F364="能力",卡牌总表!AL364="能力持续"),参数!$B$2,1)+卡牌总表!V364*参数!$B$8+IF(卡牌总表!X364&lt;0,卡牌总表!X364*参数!$B$13,卡牌总表!X364*参数!$B$39)+IF(卡牌总表!AE364&lt;0,卡牌总表!AE364*参数!$B$13,卡牌总表!AE364*参数!$B$12)*参数!$B$2+卡牌总表!AQ364*参数!$B$15+卡牌总表!AB364*参数!$B$11+卡牌总表!AF364*参数!$B$40*参数!$B$2+卡牌总表!AG364*参数!$B$44*参数!$B$2+卡牌总表!AH364*参数!$B$6*参数!$B$2+卡牌总表!AI364*参数!$B$39*参数!$B$2+卡牌总表!AJ364*参数!$B$6*参数!$B$2+卡牌总表!Z364*参数!$B$13-卡牌总表!T364*参数!$B$14-卡牌总表!AD364*参数!$B$13+IF(ISNUMBER(卡牌总表!AU364),卡牌总表!AU364*参数!$B$38,0)-卡牌总表!AV364*参数!$B$41-卡牌总表!AW364*参数!$B$14</f>
        <v>6</v>
      </c>
      <c r="J364">
        <f>IF(AND(卡牌总表!F364="能力",卡牌总表!AL364="能力持续"),(参数!$B$2-1)*参数!$B$3,0)</f>
        <v>0</v>
      </c>
      <c r="K364">
        <f t="shared" si="16"/>
        <v>6</v>
      </c>
      <c r="L364">
        <f>卡牌总表!N364*卡牌总表!O364*参数!$B$5*IF(AND(卡牌总表!F364="能力",卡牌总表!AL364="能力持续"),参数!$B$2,1)+卡牌总表!Q364*参数!$B$6*IF(AND(卡牌总表!F364="能力",卡牌总表!AL364="能力持续"),参数!$B$2,1)+卡牌总表!S364*参数!$B$7*IF(AND(卡牌总表!F364="能力",卡牌总表!AL364="能力持续"),参数!$B$2,1)+卡牌总表!W364*参数!$B$8+IF(卡牌总表!Y364&lt;0,卡牌总表!Y364*参数!$B$13,卡牌总表!Y364*参数!$B$39)+IF(卡牌总表!AE364&lt;0,卡牌总表!AE364*参数!$B$13,卡牌总表!AE364*参数!$B$12)*参数!$B$2+卡牌总表!AR364*参数!$B$15+卡牌总表!AC364*参数!$B$11+卡牌总表!AF364*参数!$B$40*参数!$B$2+卡牌总表!AG364*参数!$B$44*参数!$B$2+卡牌总表!AH364*参数!$B$6*参数!$B$2+卡牌总表!AI364*参数!$B$39*参数!$B$2+卡牌总表!AJ364*参数!$B$6*参数!$B$2+卡牌总表!AA364*参数!$B$13-卡牌总表!U364*参数!$B$14-卡牌总表!AD364*参数!$B$13+IF(ISNUMBER(卡牌总表!AU364),卡牌总表!AU364*参数!$B$38,0)-卡牌总表!AV364*参数!$B$41-卡牌总表!AW364*参数!$B$14</f>
        <v>6</v>
      </c>
      <c r="M364">
        <f>IF(AND(卡牌总表!F364="能力",卡牌总表!AL364="能力持续"),参数!$B$2*参数!$B$3,0)</f>
        <v>0</v>
      </c>
      <c r="N364">
        <f t="shared" si="17"/>
        <v>6</v>
      </c>
      <c r="O364">
        <f>IFERROR(MAX(IF(K364 &gt; 参数!$B$17,参数!$B$17+SQRT(K364-参数!$B$17)*参数!$B$18,K364)-MAX(G364,0)*参数!$B$10,0)/MAX(G364,0.4),0)</f>
        <v>0</v>
      </c>
      <c r="P364">
        <f>IFERROR(MAX(IF(N364 &gt; 参数!$B$17,参数!$B$17+SQRT(N364-参数!$B$17)*参数!$B$18,N364)-MAX(H364,0)*参数!$B$10,0)/MAX(H364,0.4),0)</f>
        <v>0</v>
      </c>
      <c r="Q364">
        <f>卡牌总表!AO364</f>
        <v>0</v>
      </c>
    </row>
    <row r="365" spans="1:17" x14ac:dyDescent="0.3">
      <c r="A365">
        <f t="shared" si="15"/>
        <v>364</v>
      </c>
      <c r="B365" t="str">
        <f>卡牌总表!B365</f>
        <v>necrobinder_lethality</v>
      </c>
      <c r="C365" t="str">
        <f>卡牌总表!D365</f>
        <v>致死性</v>
      </c>
      <c r="D365" t="str">
        <f>卡牌总表!F365</f>
        <v>能力</v>
      </c>
      <c r="E365" t="str">
        <f>卡牌总表!AL365</f>
        <v>能力持续</v>
      </c>
      <c r="F365" t="str">
        <f>卡牌总表!AN365</f>
        <v>能力</v>
      </c>
      <c r="G365">
        <f>卡牌总表!AP365</f>
        <v>1</v>
      </c>
      <c r="H365">
        <f>IF(ISNUMBER(卡牌总表!H365),IF(AND(卡牌总表!H365=0,卡牌总表!V365=0,卡牌总表!AK365="none"),0.4,IF(卡牌总表!AK365="exhaust",MAX(卡牌总表!H365-卡牌总表!V365,0.4),IF(卡牌总表!AK365="ethereal",MAX(卡牌总表!H365-卡牌总表!V365,0.4),MAX(卡牌总表!H365-卡牌总表!V365,0.4)))),IF(OR(卡牌总表!H365="X",卡牌总表!H365="∞"),0.4,0.4))</f>
        <v>1</v>
      </c>
      <c r="I365">
        <f>卡牌总表!M365*卡牌总表!O365*参数!$B$5*IF(AND(卡牌总表!F365="能力",卡牌总表!AL365="能力持续"),参数!$B$2,1)+卡牌总表!P365*参数!$B$6*IF(AND(卡牌总表!F365="能力",卡牌总表!AL365="能力持续"),参数!$B$2,1)+卡牌总表!R365*参数!$B$7*IF(AND(卡牌总表!F365="能力",卡牌总表!AL365="能力持续"),参数!$B$2,1)+卡牌总表!V365*参数!$B$8+IF(卡牌总表!X365&lt;0,卡牌总表!X365*参数!$B$13,卡牌总表!X365*参数!$B$39)+IF(卡牌总表!AE365&lt;0,卡牌总表!AE365*参数!$B$13,卡牌总表!AE365*参数!$B$12)*参数!$B$2+卡牌总表!AQ365*参数!$B$15+卡牌总表!AB365*参数!$B$11+卡牌总表!AF365*参数!$B$40*参数!$B$2+卡牌总表!AG365*参数!$B$44*参数!$B$2+卡牌总表!AH365*参数!$B$6*参数!$B$2+卡牌总表!AI365*参数!$B$39*参数!$B$2+卡牌总表!AJ365*参数!$B$6*参数!$B$2+卡牌总表!Z365*参数!$B$13-卡牌总表!T365*参数!$B$14-卡牌总表!AD365*参数!$B$13+IF(ISNUMBER(卡牌总表!AU365),卡牌总表!AU365*参数!$B$38,0)-卡牌总表!AV365*参数!$B$41-卡牌总表!AW365*参数!$B$14</f>
        <v>15</v>
      </c>
      <c r="J365">
        <f>IF(AND(卡牌总表!F365="能力",卡牌总表!AL365="能力持续"),(参数!$B$2-1)*参数!$B$3,0)</f>
        <v>3.5999999999999996</v>
      </c>
      <c r="K365">
        <f t="shared" si="16"/>
        <v>18.600000000000001</v>
      </c>
      <c r="L365">
        <f>卡牌总表!N365*卡牌总表!O365*参数!$B$5*IF(AND(卡牌总表!F365="能力",卡牌总表!AL365="能力持续"),参数!$B$2,1)+卡牌总表!Q365*参数!$B$6*IF(AND(卡牌总表!F365="能力",卡牌总表!AL365="能力持续"),参数!$B$2,1)+卡牌总表!S365*参数!$B$7*IF(AND(卡牌总表!F365="能力",卡牌总表!AL365="能力持续"),参数!$B$2,1)+卡牌总表!W365*参数!$B$8+IF(卡牌总表!Y365&lt;0,卡牌总表!Y365*参数!$B$13,卡牌总表!Y365*参数!$B$39)+IF(卡牌总表!AE365&lt;0,卡牌总表!AE365*参数!$B$13,卡牌总表!AE365*参数!$B$12)*参数!$B$2+卡牌总表!AR365*参数!$B$15+卡牌总表!AC365*参数!$B$11+卡牌总表!AF365*参数!$B$40*参数!$B$2+卡牌总表!AG365*参数!$B$44*参数!$B$2+卡牌总表!AH365*参数!$B$6*参数!$B$2+卡牌总表!AI365*参数!$B$39*参数!$B$2+卡牌总表!AJ365*参数!$B$6*参数!$B$2+卡牌总表!AA365*参数!$B$13-卡牌总表!U365*参数!$B$14-卡牌总表!AD365*参数!$B$13+IF(ISNUMBER(卡牌总表!AU365),卡牌总表!AU365*参数!$B$38,0)-卡牌总表!AV365*参数!$B$41-卡牌总表!AW365*参数!$B$14</f>
        <v>0</v>
      </c>
      <c r="M365">
        <f>IF(AND(卡牌总表!F365="能力",卡牌总表!AL365="能力持续"),参数!$B$2*参数!$B$3,0)</f>
        <v>4.8</v>
      </c>
      <c r="N365">
        <f t="shared" si="17"/>
        <v>4.8</v>
      </c>
      <c r="O365">
        <f>IFERROR(MAX(IF(K365 &gt; 参数!$B$17,参数!$B$17+SQRT(K365-参数!$B$17)*参数!$B$18,K365)-MAX(G365,0)*参数!$B$10,0)/MAX(G365,0.4),0)</f>
        <v>11.398863489584555</v>
      </c>
      <c r="P365">
        <f>IFERROR(MAX(IF(N365 &gt; 参数!$B$17,参数!$B$17+SQRT(N365-参数!$B$17)*参数!$B$18,N365)-MAX(H365,0)*参数!$B$10,0)/MAX(H365,0.4),0)</f>
        <v>1.7999999999999998</v>
      </c>
      <c r="Q365">
        <f>卡牌总表!AO365</f>
        <v>0</v>
      </c>
    </row>
    <row r="366" spans="1:17" x14ac:dyDescent="0.3">
      <c r="A366">
        <f t="shared" si="15"/>
        <v>365</v>
      </c>
      <c r="B366" t="str">
        <f>卡牌总表!B366</f>
        <v>necrobinder_melancholy</v>
      </c>
      <c r="C366" t="str">
        <f>卡牌总表!D366</f>
        <v>忧郁</v>
      </c>
      <c r="D366" t="str">
        <f>卡牌总表!F366</f>
        <v>技能</v>
      </c>
      <c r="E366">
        <f>卡牌总表!AL366</f>
        <v>0</v>
      </c>
      <c r="F366">
        <f>卡牌总表!AN366</f>
        <v>0</v>
      </c>
      <c r="G366">
        <f>卡牌总表!AP366</f>
        <v>3</v>
      </c>
      <c r="H366">
        <f>IF(ISNUMBER(卡牌总表!H366),IF(AND(卡牌总表!H366=0,卡牌总表!V366=0,卡牌总表!AK366="none"),0.4,IF(卡牌总表!AK366="exhaust",MAX(卡牌总表!H366-卡牌总表!V366,0.4),IF(卡牌总表!AK366="ethereal",MAX(卡牌总表!H366-卡牌总表!V366,0.4),MAX(卡牌总表!H366-卡牌总表!V366,0.4)))),IF(OR(卡牌总表!H366="X",卡牌总表!H366="∞"),0.4,0.4))</f>
        <v>3</v>
      </c>
      <c r="I366">
        <f>卡牌总表!M366*卡牌总表!O366*参数!$B$5*IF(AND(卡牌总表!F366="能力",卡牌总表!AL366="能力持续"),参数!$B$2,1)+卡牌总表!P366*参数!$B$6*IF(AND(卡牌总表!F366="能力",卡牌总表!AL366="能力持续"),参数!$B$2,1)+卡牌总表!R366*参数!$B$7*IF(AND(卡牌总表!F366="能力",卡牌总表!AL366="能力持续"),参数!$B$2,1)+卡牌总表!V366*参数!$B$8+IF(卡牌总表!X366&lt;0,卡牌总表!X366*参数!$B$13,卡牌总表!X366*参数!$B$39)+IF(卡牌总表!AE366&lt;0,卡牌总表!AE366*参数!$B$13,卡牌总表!AE366*参数!$B$12)*参数!$B$2+卡牌总表!AQ366*参数!$B$15+卡牌总表!AB366*参数!$B$11+卡牌总表!AF366*参数!$B$40*参数!$B$2+卡牌总表!AG366*参数!$B$44*参数!$B$2+卡牌总表!AH366*参数!$B$6*参数!$B$2+卡牌总表!AI366*参数!$B$39*参数!$B$2+卡牌总表!AJ366*参数!$B$6*参数!$B$2+卡牌总表!Z366*参数!$B$13-卡牌总表!T366*参数!$B$14-卡牌总表!AD366*参数!$B$13+IF(ISNUMBER(卡牌总表!AU366),卡牌总表!AU366*参数!$B$38,0)-卡牌总表!AV366*参数!$B$41-卡牌总表!AW366*参数!$B$14</f>
        <v>14.3</v>
      </c>
      <c r="J366">
        <f>IF(AND(卡牌总表!F366="能力",卡牌总表!AL366="能力持续"),(参数!$B$2-1)*参数!$B$3,0)</f>
        <v>0</v>
      </c>
      <c r="K366">
        <f t="shared" si="16"/>
        <v>14.3</v>
      </c>
      <c r="L366">
        <f>卡牌总表!N366*卡牌总表!O366*参数!$B$5*IF(AND(卡牌总表!F366="能力",卡牌总表!AL366="能力持续"),参数!$B$2,1)+卡牌总表!Q366*参数!$B$6*IF(AND(卡牌总表!F366="能力",卡牌总表!AL366="能力持续"),参数!$B$2,1)+卡牌总表!S366*参数!$B$7*IF(AND(卡牌总表!F366="能力",卡牌总表!AL366="能力持续"),参数!$B$2,1)+卡牌总表!W366*参数!$B$8+IF(卡牌总表!Y366&lt;0,卡牌总表!Y366*参数!$B$13,卡牌总表!Y366*参数!$B$39)+IF(卡牌总表!AE366&lt;0,卡牌总表!AE366*参数!$B$13,卡牌总表!AE366*参数!$B$12)*参数!$B$2+卡牌总表!AR366*参数!$B$15+卡牌总表!AC366*参数!$B$11+卡牌总表!AF366*参数!$B$40*参数!$B$2+卡牌总表!AG366*参数!$B$44*参数!$B$2+卡牌总表!AH366*参数!$B$6*参数!$B$2+卡牌总表!AI366*参数!$B$39*参数!$B$2+卡牌总表!AJ366*参数!$B$6*参数!$B$2+卡牌总表!AA366*参数!$B$13-卡牌总表!U366*参数!$B$14-卡牌总表!AD366*参数!$B$13+IF(ISNUMBER(卡牌总表!AU366),卡牌总表!AU366*参数!$B$38,0)-卡牌总表!AV366*参数!$B$41-卡牌总表!AW366*参数!$B$14</f>
        <v>18.700000000000003</v>
      </c>
      <c r="M366">
        <f>IF(AND(卡牌总表!F366="能力",卡牌总表!AL366="能力持续"),参数!$B$2*参数!$B$3,0)</f>
        <v>0</v>
      </c>
      <c r="N366">
        <f t="shared" si="17"/>
        <v>18.700000000000003</v>
      </c>
      <c r="O366">
        <f>IFERROR(MAX(IF(K366 &gt; 参数!$B$17,参数!$B$17+SQRT(K366-参数!$B$17)*参数!$B$18,K366)-MAX(G366,0)*参数!$B$10,0)/MAX(G366,0.4),0)</f>
        <v>1.3701554009997199</v>
      </c>
      <c r="P366">
        <f>IFERROR(MAX(IF(N366 &gt; 参数!$B$17,参数!$B$17+SQRT(N366-参数!$B$17)*参数!$B$18,N366)-MAX(H366,0)*参数!$B$10,0)/MAX(H366,0.4),0)</f>
        <v>1.8081214537085966</v>
      </c>
      <c r="Q366">
        <f>卡牌总表!AO366</f>
        <v>0</v>
      </c>
    </row>
    <row r="367" spans="1:17" x14ac:dyDescent="0.3">
      <c r="A367">
        <f t="shared" si="15"/>
        <v>366</v>
      </c>
      <c r="B367" t="str">
        <f>卡牌总表!B367</f>
        <v>necrobinder_misery</v>
      </c>
      <c r="C367" t="str">
        <f>卡牌总表!D367</f>
        <v>苦难</v>
      </c>
      <c r="D367" t="str">
        <f>卡牌总表!F367</f>
        <v>攻击</v>
      </c>
      <c r="E367">
        <f>卡牌总表!AL367</f>
        <v>0</v>
      </c>
      <c r="F367">
        <f>卡牌总表!AN367</f>
        <v>0</v>
      </c>
      <c r="G367">
        <f>卡牌总表!AP367</f>
        <v>0.4</v>
      </c>
      <c r="H367">
        <f>IF(ISNUMBER(卡牌总表!H367),IF(AND(卡牌总表!H367=0,卡牌总表!V367=0,卡牌总表!AK367="none"),0.4,IF(卡牌总表!AK367="exhaust",MAX(卡牌总表!H367-卡牌总表!V367,0.4),IF(卡牌总表!AK367="ethereal",MAX(卡牌总表!H367-卡牌总表!V367,0.4),MAX(卡牌总表!H367-卡牌总表!V367,0.4)))),IF(OR(卡牌总表!H367="X",卡牌总表!H367="∞"),0.4,0.4))</f>
        <v>0.4</v>
      </c>
      <c r="I367">
        <f>卡牌总表!M367*卡牌总表!O367*参数!$B$5*IF(AND(卡牌总表!F367="能力",卡牌总表!AL367="能力持续"),参数!$B$2,1)+卡牌总表!P367*参数!$B$6*IF(AND(卡牌总表!F367="能力",卡牌总表!AL367="能力持续"),参数!$B$2,1)+卡牌总表!R367*参数!$B$7*IF(AND(卡牌总表!F367="能力",卡牌总表!AL367="能力持续"),参数!$B$2,1)+卡牌总表!V367*参数!$B$8+IF(卡牌总表!X367&lt;0,卡牌总表!X367*参数!$B$13,卡牌总表!X367*参数!$B$39)+IF(卡牌总表!AE367&lt;0,卡牌总表!AE367*参数!$B$13,卡牌总表!AE367*参数!$B$12)*参数!$B$2+卡牌总表!AQ367*参数!$B$15+卡牌总表!AB367*参数!$B$11+卡牌总表!AF367*参数!$B$40*参数!$B$2+卡牌总表!AG367*参数!$B$44*参数!$B$2+卡牌总表!AH367*参数!$B$6*参数!$B$2+卡牌总表!AI367*参数!$B$39*参数!$B$2+卡牌总表!AJ367*参数!$B$6*参数!$B$2+卡牌总表!Z367*参数!$B$13-卡牌总表!T367*参数!$B$14-卡牌总表!AD367*参数!$B$13+IF(ISNUMBER(卡牌总表!AU367),卡牌总表!AU367*参数!$B$38,0)-卡牌总表!AV367*参数!$B$41-卡牌总表!AW367*参数!$B$14</f>
        <v>7</v>
      </c>
      <c r="J367">
        <f>IF(AND(卡牌总表!F367="能力",卡牌总表!AL367="能力持续"),(参数!$B$2-1)*参数!$B$3,0)</f>
        <v>0</v>
      </c>
      <c r="K367">
        <f t="shared" si="16"/>
        <v>7</v>
      </c>
      <c r="L367">
        <f>卡牌总表!N367*卡牌总表!O367*参数!$B$5*IF(AND(卡牌总表!F367="能力",卡牌总表!AL367="能力持续"),参数!$B$2,1)+卡牌总表!Q367*参数!$B$6*IF(AND(卡牌总表!F367="能力",卡牌总表!AL367="能力持续"),参数!$B$2,1)+卡牌总表!S367*参数!$B$7*IF(AND(卡牌总表!F367="能力",卡牌总表!AL367="能力持续"),参数!$B$2,1)+卡牌总表!W367*参数!$B$8+IF(卡牌总表!Y367&lt;0,卡牌总表!Y367*参数!$B$13,卡牌总表!Y367*参数!$B$39)+IF(卡牌总表!AE367&lt;0,卡牌总表!AE367*参数!$B$13,卡牌总表!AE367*参数!$B$12)*参数!$B$2+卡牌总表!AR367*参数!$B$15+卡牌总表!AC367*参数!$B$11+卡牌总表!AF367*参数!$B$40*参数!$B$2+卡牌总表!AG367*参数!$B$44*参数!$B$2+卡牌总表!AH367*参数!$B$6*参数!$B$2+卡牌总表!AI367*参数!$B$39*参数!$B$2+卡牌总表!AJ367*参数!$B$6*参数!$B$2+卡牌总表!AA367*参数!$B$13-卡牌总表!U367*参数!$B$14-卡牌总表!AD367*参数!$B$13+IF(ISNUMBER(卡牌总表!AU367),卡牌总表!AU367*参数!$B$38,0)-卡牌总表!AV367*参数!$B$41-卡牌总表!AW367*参数!$B$14</f>
        <v>9</v>
      </c>
      <c r="M367">
        <f>IF(AND(卡牌总表!F367="能力",卡牌总表!AL367="能力持续"),参数!$B$2*参数!$B$3,0)</f>
        <v>0</v>
      </c>
      <c r="N367">
        <f t="shared" si="17"/>
        <v>9</v>
      </c>
      <c r="O367">
        <f>IFERROR(MAX(IF(K367 &gt; 参数!$B$17,参数!$B$17+SQRT(K367-参数!$B$17)*参数!$B$18,K367)-MAX(G367,0)*参数!$B$10,0)/MAX(G367,0.4),0)</f>
        <v>14.499999999999998</v>
      </c>
      <c r="P367">
        <f>IFERROR(MAX(IF(N367 &gt; 参数!$B$17,参数!$B$17+SQRT(N367-参数!$B$17)*参数!$B$18,N367)-MAX(H367,0)*参数!$B$10,0)/MAX(H367,0.4),0)</f>
        <v>19.5</v>
      </c>
      <c r="Q367">
        <f>卡牌总表!AO367</f>
        <v>0</v>
      </c>
    </row>
    <row r="368" spans="1:17" x14ac:dyDescent="0.3">
      <c r="A368">
        <f t="shared" si="15"/>
        <v>367</v>
      </c>
      <c r="B368" t="str">
        <f>卡牌总表!B368</f>
        <v>necrobinder_necro_mastery</v>
      </c>
      <c r="C368" t="str">
        <f>卡牌总表!D368</f>
        <v>亡灵精通</v>
      </c>
      <c r="D368" t="str">
        <f>卡牌总表!F368</f>
        <v>能力</v>
      </c>
      <c r="E368">
        <f>卡牌总表!AL368</f>
        <v>0</v>
      </c>
      <c r="F368" t="str">
        <f>卡牌总表!AN368</f>
        <v>群体攻击，能力</v>
      </c>
      <c r="G368">
        <f>卡牌总表!AP368</f>
        <v>2</v>
      </c>
      <c r="H368">
        <f>IF(ISNUMBER(卡牌总表!H368),IF(AND(卡牌总表!H368=0,卡牌总表!V368=0,卡牌总表!AK368="none"),0.4,IF(卡牌总表!AK368="exhaust",MAX(卡牌总表!H368-卡牌总表!V368,0.4),IF(卡牌总表!AK368="ethereal",MAX(卡牌总表!H368-卡牌总表!V368,0.4),MAX(卡牌总表!H368-卡牌总表!V368,0.4)))),IF(OR(卡牌总表!H368="X",卡牌总表!H368="∞"),0.4,0.4))</f>
        <v>2</v>
      </c>
      <c r="I368">
        <f>卡牌总表!M368*卡牌总表!O368*参数!$B$5*IF(AND(卡牌总表!F368="能力",卡牌总表!AL368="能力持续"),参数!$B$2,1)+卡牌总表!P368*参数!$B$6*IF(AND(卡牌总表!F368="能力",卡牌总表!AL368="能力持续"),参数!$B$2,1)+卡牌总表!R368*参数!$B$7*IF(AND(卡牌总表!F368="能力",卡牌总表!AL368="能力持续"),参数!$B$2,1)+卡牌总表!V368*参数!$B$8+IF(卡牌总表!X368&lt;0,卡牌总表!X368*参数!$B$13,卡牌总表!X368*参数!$B$39)+IF(卡牌总表!AE368&lt;0,卡牌总表!AE368*参数!$B$13,卡牌总表!AE368*参数!$B$12)*参数!$B$2+卡牌总表!AQ368*参数!$B$15+卡牌总表!AB368*参数!$B$11+卡牌总表!AF368*参数!$B$40*参数!$B$2+卡牌总表!AG368*参数!$B$44*参数!$B$2+卡牌总表!AH368*参数!$B$6*参数!$B$2+卡牌总表!AI368*参数!$B$39*参数!$B$2+卡牌总表!AJ368*参数!$B$6*参数!$B$2+卡牌总表!Z368*参数!$B$13-卡牌总表!T368*参数!$B$14-卡牌总表!AD368*参数!$B$13+IF(ISNUMBER(卡牌总表!AU368),卡牌总表!AU368*参数!$B$38,0)-卡牌总表!AV368*参数!$B$41-卡牌总表!AW368*参数!$B$14</f>
        <v>5</v>
      </c>
      <c r="J368">
        <f>IF(AND(卡牌总表!F368="能力",卡牌总表!AL368="能力持续"),(参数!$B$2-1)*参数!$B$3,0)</f>
        <v>0</v>
      </c>
      <c r="K368">
        <f t="shared" si="16"/>
        <v>5</v>
      </c>
      <c r="L368">
        <f>卡牌总表!N368*卡牌总表!O368*参数!$B$5*IF(AND(卡牌总表!F368="能力",卡牌总表!AL368="能力持续"),参数!$B$2,1)+卡牌总表!Q368*参数!$B$6*IF(AND(卡牌总表!F368="能力",卡牌总表!AL368="能力持续"),参数!$B$2,1)+卡牌总表!S368*参数!$B$7*IF(AND(卡牌总表!F368="能力",卡牌总表!AL368="能力持续"),参数!$B$2,1)+卡牌总表!W368*参数!$B$8+IF(卡牌总表!Y368&lt;0,卡牌总表!Y368*参数!$B$13,卡牌总表!Y368*参数!$B$39)+IF(卡牌总表!AE368&lt;0,卡牌总表!AE368*参数!$B$13,卡牌总表!AE368*参数!$B$12)*参数!$B$2+卡牌总表!AR368*参数!$B$15+卡牌总表!AC368*参数!$B$11+卡牌总表!AF368*参数!$B$40*参数!$B$2+卡牌总表!AG368*参数!$B$44*参数!$B$2+卡牌总表!AH368*参数!$B$6*参数!$B$2+卡牌总表!AI368*参数!$B$39*参数!$B$2+卡牌总表!AJ368*参数!$B$6*参数!$B$2+卡牌总表!AA368*参数!$B$13-卡牌总表!U368*参数!$B$14-卡牌总表!AD368*参数!$B$13+IF(ISNUMBER(卡牌总表!AU368),卡牌总表!AU368*参数!$B$38,0)-卡牌总表!AV368*参数!$B$41-卡牌总表!AW368*参数!$B$14</f>
        <v>5</v>
      </c>
      <c r="M368">
        <f>IF(AND(卡牌总表!F368="能力",卡牌总表!AL368="能力持续"),参数!$B$2*参数!$B$3,0)</f>
        <v>0</v>
      </c>
      <c r="N368">
        <f t="shared" si="17"/>
        <v>5</v>
      </c>
      <c r="O368">
        <f>IFERROR(MAX(IF(K368 &gt; 参数!$B$17,参数!$B$17+SQRT(K368-参数!$B$17)*参数!$B$18,K368)-MAX(G368,0)*参数!$B$10,0)/MAX(G368,0.4),0)</f>
        <v>0</v>
      </c>
      <c r="P368">
        <f>IFERROR(MAX(IF(N368 &gt; 参数!$B$17,参数!$B$17+SQRT(N368-参数!$B$17)*参数!$B$18,N368)-MAX(H368,0)*参数!$B$10,0)/MAX(H368,0.4),0)</f>
        <v>0</v>
      </c>
      <c r="Q368">
        <f>卡牌总表!AO368</f>
        <v>0</v>
      </c>
    </row>
    <row r="369" spans="1:17" x14ac:dyDescent="0.3">
      <c r="A369">
        <f t="shared" si="15"/>
        <v>368</v>
      </c>
      <c r="B369" t="str">
        <f>卡牌总表!B369</f>
        <v>necrobinder_negative_pulse</v>
      </c>
      <c r="C369" t="str">
        <f>卡牌总表!D369</f>
        <v>负面脉冲</v>
      </c>
      <c r="D369" t="str">
        <f>卡牌总表!F369</f>
        <v>技能</v>
      </c>
      <c r="E369">
        <f>卡牌总表!AL369</f>
        <v>0</v>
      </c>
      <c r="F369" t="str">
        <f>卡牌总表!AN369</f>
        <v>群体攻击</v>
      </c>
      <c r="G369">
        <f>卡牌总表!AP369</f>
        <v>1</v>
      </c>
      <c r="H369">
        <f>IF(ISNUMBER(卡牌总表!H369),IF(AND(卡牌总表!H369=0,卡牌总表!V369=0,卡牌总表!AK369="none"),0.4,IF(卡牌总表!AK369="exhaust",MAX(卡牌总表!H369-卡牌总表!V369,0.4),IF(卡牌总表!AK369="ethereal",MAX(卡牌总表!H369-卡牌总表!V369,0.4),MAX(卡牌总表!H369-卡牌总表!V369,0.4)))),IF(OR(卡牌总表!H369="X",卡牌总表!H369="∞"),0.4,0.4))</f>
        <v>1</v>
      </c>
      <c r="I369">
        <f>卡牌总表!M369*卡牌总表!O369*参数!$B$5*IF(AND(卡牌总表!F369="能力",卡牌总表!AL369="能力持续"),参数!$B$2,1)+卡牌总表!P369*参数!$B$6*IF(AND(卡牌总表!F369="能力",卡牌总表!AL369="能力持续"),参数!$B$2,1)+卡牌总表!R369*参数!$B$7*IF(AND(卡牌总表!F369="能力",卡牌总表!AL369="能力持续"),参数!$B$2,1)+卡牌总表!V369*参数!$B$8+IF(卡牌总表!X369&lt;0,卡牌总表!X369*参数!$B$13,卡牌总表!X369*参数!$B$39)+IF(卡牌总表!AE369&lt;0,卡牌总表!AE369*参数!$B$13,卡牌总表!AE369*参数!$B$12)*参数!$B$2+卡牌总表!AQ369*参数!$B$15+卡牌总表!AB369*参数!$B$11+卡牌总表!AF369*参数!$B$40*参数!$B$2+卡牌总表!AG369*参数!$B$44*参数!$B$2+卡牌总表!AH369*参数!$B$6*参数!$B$2+卡牌总表!AI369*参数!$B$39*参数!$B$2+卡牌总表!AJ369*参数!$B$6*参数!$B$2+卡牌总表!Z369*参数!$B$13-卡牌总表!T369*参数!$B$14-卡牌总表!AD369*参数!$B$13+IF(ISNUMBER(卡牌总表!AU369),卡牌总表!AU369*参数!$B$38,0)-卡牌总表!AV369*参数!$B$41-卡牌总表!AW369*参数!$B$14</f>
        <v>25.099999999999998</v>
      </c>
      <c r="J369">
        <f>IF(AND(卡牌总表!F369="能力",卡牌总表!AL369="能力持续"),(参数!$B$2-1)*参数!$B$3,0)</f>
        <v>0</v>
      </c>
      <c r="K369">
        <f t="shared" si="16"/>
        <v>25.099999999999998</v>
      </c>
      <c r="L369">
        <f>卡牌总表!N369*卡牌总表!O369*参数!$B$5*IF(AND(卡牌总表!F369="能力",卡牌总表!AL369="能力持续"),参数!$B$2,1)+卡牌总表!Q369*参数!$B$6*IF(AND(卡牌总表!F369="能力",卡牌总表!AL369="能力持续"),参数!$B$2,1)+卡牌总表!S369*参数!$B$7*IF(AND(卡牌总表!F369="能力",卡牌总表!AL369="能力持续"),参数!$B$2,1)+卡牌总表!W369*参数!$B$8+IF(卡牌总表!Y369&lt;0,卡牌总表!Y369*参数!$B$13,卡牌总表!Y369*参数!$B$39)+IF(卡牌总表!AE369&lt;0,卡牌总表!AE369*参数!$B$13,卡牌总表!AE369*参数!$B$12)*参数!$B$2+卡牌总表!AR369*参数!$B$15+卡牌总表!AC369*参数!$B$11+卡牌总表!AF369*参数!$B$40*参数!$B$2+卡牌总表!AG369*参数!$B$44*参数!$B$2+卡牌总表!AH369*参数!$B$6*参数!$B$2+卡牌总表!AI369*参数!$B$39*参数!$B$2+卡牌总表!AJ369*参数!$B$6*参数!$B$2+卡牌总表!AA369*参数!$B$13-卡牌总表!U369*参数!$B$14-卡牌总表!AD369*参数!$B$13+IF(ISNUMBER(卡牌总表!AU369),卡牌总表!AU369*参数!$B$38,0)-卡牌总表!AV369*参数!$B$41-卡牌总表!AW369*参数!$B$14</f>
        <v>26.2</v>
      </c>
      <c r="M369">
        <f>IF(AND(卡牌总表!F369="能力",卡牌总表!AL369="能力持续"),参数!$B$2*参数!$B$3,0)</f>
        <v>0</v>
      </c>
      <c r="N369">
        <f t="shared" si="17"/>
        <v>26.2</v>
      </c>
      <c r="O369">
        <f>IFERROR(MAX(IF(K369 &gt; 参数!$B$17,参数!$B$17+SQRT(K369-参数!$B$17)*参数!$B$18,K369)-MAX(G369,0)*参数!$B$10,0)/MAX(G369,0.4),0)</f>
        <v>12.828807768317635</v>
      </c>
      <c r="P369">
        <f>IFERROR(MAX(IF(N369 &gt; 参数!$B$17,参数!$B$17+SQRT(N369-参数!$B$17)*参数!$B$18,N369)-MAX(H369,0)*参数!$B$10,0)/MAX(H369,0.4),0)</f>
        <v>13.037383539249433</v>
      </c>
      <c r="Q369">
        <f>卡牌总表!AO369</f>
        <v>0</v>
      </c>
    </row>
    <row r="370" spans="1:17" x14ac:dyDescent="0.3">
      <c r="A370">
        <f t="shared" si="15"/>
        <v>369</v>
      </c>
      <c r="B370" t="str">
        <f>卡牌总表!B370</f>
        <v>necrobinder_neurosurge</v>
      </c>
      <c r="C370" t="str">
        <f>卡牌总表!D370</f>
        <v>神经涌动</v>
      </c>
      <c r="D370" t="str">
        <f>卡牌总表!F370</f>
        <v>能力</v>
      </c>
      <c r="E370" t="str">
        <f>卡牌总表!AL370</f>
        <v>能力持续</v>
      </c>
      <c r="F370" t="str">
        <f>卡牌总表!AN370</f>
        <v>能力</v>
      </c>
      <c r="G370">
        <f>卡牌总表!AP370</f>
        <v>0.4</v>
      </c>
      <c r="H370">
        <f>IF(ISNUMBER(卡牌总表!H370),IF(AND(卡牌总表!H370=0,卡牌总表!V370=0,卡牌总表!AK370="none"),0.4,IF(卡牌总表!AK370="exhaust",MAX(卡牌总表!H370-卡牌总表!V370,0.4),IF(卡牌总表!AK370="ethereal",MAX(卡牌总表!H370-卡牌总表!V370,0.4),MAX(卡牌总表!H370-卡牌总表!V370,0.4)))),IF(OR(卡牌总表!H370="X",卡牌总表!H370="∞"),0.4,0.4))</f>
        <v>0.4</v>
      </c>
      <c r="I370">
        <f>卡牌总表!M370*卡牌总表!O370*参数!$B$5*IF(AND(卡牌总表!F370="能力",卡牌总表!AL370="能力持续"),参数!$B$2,1)+卡牌总表!P370*参数!$B$6*IF(AND(卡牌总表!F370="能力",卡牌总表!AL370="能力持续"),参数!$B$2,1)+卡牌总表!R370*参数!$B$7*IF(AND(卡牌总表!F370="能力",卡牌总表!AL370="能力持续"),参数!$B$2,1)+卡牌总表!V370*参数!$B$8+IF(卡牌总表!X370&lt;0,卡牌总表!X370*参数!$B$13,卡牌总表!X370*参数!$B$39)+IF(卡牌总表!AE370&lt;0,卡牌总表!AE370*参数!$B$13,卡牌总表!AE370*参数!$B$12)*参数!$B$2+卡牌总表!AQ370*参数!$B$15+卡牌总表!AB370*参数!$B$11+卡牌总表!AF370*参数!$B$40*参数!$B$2+卡牌总表!AG370*参数!$B$44*参数!$B$2+卡牌总表!AH370*参数!$B$6*参数!$B$2+卡牌总表!AI370*参数!$B$39*参数!$B$2+卡牌总表!AJ370*参数!$B$6*参数!$B$2+卡牌总表!Z370*参数!$B$13-卡牌总表!T370*参数!$B$14-卡牌总表!AD370*参数!$B$13+IF(ISNUMBER(卡牌总表!AU370),卡牌总表!AU370*参数!$B$38,0)-卡牌总表!AV370*参数!$B$41-卡牌总表!AW370*参数!$B$14</f>
        <v>6.2000000000000011</v>
      </c>
      <c r="J370">
        <f>IF(AND(卡牌总表!F370="能力",卡牌总表!AL370="能力持续"),(参数!$B$2-1)*参数!$B$3,0)</f>
        <v>3.5999999999999996</v>
      </c>
      <c r="K370">
        <f t="shared" si="16"/>
        <v>9.8000000000000007</v>
      </c>
      <c r="L370">
        <f>卡牌总表!N370*卡牌总表!O370*参数!$B$5*IF(AND(卡牌总表!F370="能力",卡牌总表!AL370="能力持续"),参数!$B$2,1)+卡牌总表!Q370*参数!$B$6*IF(AND(卡牌总表!F370="能力",卡牌总表!AL370="能力持续"),参数!$B$2,1)+卡牌总表!S370*参数!$B$7*IF(AND(卡牌总表!F370="能力",卡牌总表!AL370="能力持续"),参数!$B$2,1)+卡牌总表!W370*参数!$B$8+IF(卡牌总表!Y370&lt;0,卡牌总表!Y370*参数!$B$13,卡牌总表!Y370*参数!$B$39)+IF(卡牌总表!AE370&lt;0,卡牌总表!AE370*参数!$B$13,卡牌总表!AE370*参数!$B$12)*参数!$B$2+卡牌总表!AR370*参数!$B$15+卡牌总表!AC370*参数!$B$11+卡牌总表!AF370*参数!$B$40*参数!$B$2+卡牌总表!AG370*参数!$B$44*参数!$B$2+卡牌总表!AH370*参数!$B$6*参数!$B$2+卡牌总表!AI370*参数!$B$39*参数!$B$2+卡牌总表!AJ370*参数!$B$6*参数!$B$2+卡牌总表!AA370*参数!$B$13-卡牌总表!U370*参数!$B$14-卡牌总表!AD370*参数!$B$13+IF(ISNUMBER(卡牌总表!AU370),卡牌总表!AU370*参数!$B$38,0)-卡牌总表!AV370*参数!$B$41-卡牌总表!AW370*参数!$B$14</f>
        <v>9.2000000000000028</v>
      </c>
      <c r="M370">
        <f>IF(AND(卡牌总表!F370="能力",卡牌总表!AL370="能力持续"),参数!$B$2*参数!$B$3,0)</f>
        <v>4.8</v>
      </c>
      <c r="N370">
        <f t="shared" si="17"/>
        <v>14.000000000000004</v>
      </c>
      <c r="O370">
        <f>IFERROR(MAX(IF(K370 &gt; 参数!$B$17,参数!$B$17+SQRT(K370-参数!$B$17)*参数!$B$18,K370)-MAX(G370,0)*参数!$B$10,0)/MAX(G370,0.4),0)</f>
        <v>21.500000000000004</v>
      </c>
      <c r="P370">
        <f>IFERROR(MAX(IF(N370 &gt; 参数!$B$17,参数!$B$17+SQRT(N370-参数!$B$17)*参数!$B$18,N370)-MAX(H370,0)*参数!$B$10,0)/MAX(H370,0.4),0)</f>
        <v>29.5</v>
      </c>
      <c r="Q370" t="str">
        <f>卡牌总表!AO370</f>
        <v>Gain能量数值需核对</v>
      </c>
    </row>
    <row r="371" spans="1:17" x14ac:dyDescent="0.3">
      <c r="A371">
        <f t="shared" si="15"/>
        <v>370</v>
      </c>
      <c r="B371" t="str">
        <f>卡牌总表!B371</f>
        <v>necrobinder_no_escape</v>
      </c>
      <c r="C371" t="str">
        <f>卡牌总表!D371</f>
        <v>无处可逃</v>
      </c>
      <c r="D371" t="str">
        <f>卡牌总表!F371</f>
        <v>技能</v>
      </c>
      <c r="E371">
        <f>卡牌总表!AL371</f>
        <v>0</v>
      </c>
      <c r="F371">
        <f>卡牌总表!AN371</f>
        <v>0</v>
      </c>
      <c r="G371">
        <f>卡牌总表!AP371</f>
        <v>1</v>
      </c>
      <c r="H371">
        <f>IF(ISNUMBER(卡牌总表!H371),IF(AND(卡牌总表!H371=0,卡牌总表!V371=0,卡牌总表!AK371="none"),0.4,IF(卡牌总表!AK371="exhaust",MAX(卡牌总表!H371-卡牌总表!V371,0.4),IF(卡牌总表!AK371="ethereal",MAX(卡牌总表!H371-卡牌总表!V371,0.4),MAX(卡牌总表!H371-卡牌总表!V371,0.4)))),IF(OR(卡牌总表!H371="X",卡牌总表!H371="∞"),0.4,0.4))</f>
        <v>1</v>
      </c>
      <c r="I371">
        <f>卡牌总表!M371*卡牌总表!O371*参数!$B$5*IF(AND(卡牌总表!F371="能力",卡牌总表!AL371="能力持续"),参数!$B$2,1)+卡牌总表!P371*参数!$B$6*IF(AND(卡牌总表!F371="能力",卡牌总表!AL371="能力持续"),参数!$B$2,1)+卡牌总表!R371*参数!$B$7*IF(AND(卡牌总表!F371="能力",卡牌总表!AL371="能力持续"),参数!$B$2,1)+卡牌总表!V371*参数!$B$8+IF(卡牌总表!X371&lt;0,卡牌总表!X371*参数!$B$13,卡牌总表!X371*参数!$B$39)+IF(卡牌总表!AE371&lt;0,卡牌总表!AE371*参数!$B$13,卡牌总表!AE371*参数!$B$12)*参数!$B$2+卡牌总表!AQ371*参数!$B$15+卡牌总表!AB371*参数!$B$11+卡牌总表!AF371*参数!$B$40*参数!$B$2+卡牌总表!AG371*参数!$B$44*参数!$B$2+卡牌总表!AH371*参数!$B$6*参数!$B$2+卡牌总表!AI371*参数!$B$39*参数!$B$2+卡牌总表!AJ371*参数!$B$6*参数!$B$2+卡牌总表!Z371*参数!$B$13-卡牌总表!T371*参数!$B$14-卡牌总表!AD371*参数!$B$13+IF(ISNUMBER(卡牌总表!AU371),卡牌总表!AU371*参数!$B$38,0)-卡牌总表!AV371*参数!$B$41-卡牌总表!AW371*参数!$B$14</f>
        <v>62.999999999999993</v>
      </c>
      <c r="J371">
        <f>IF(AND(卡牌总表!F371="能力",卡牌总表!AL371="能力持续"),(参数!$B$2-1)*参数!$B$3,0)</f>
        <v>0</v>
      </c>
      <c r="K371">
        <f t="shared" si="16"/>
        <v>62.999999999999993</v>
      </c>
      <c r="L371">
        <f>卡牌总表!N371*卡牌总表!O371*参数!$B$5*IF(AND(卡牌总表!F371="能力",卡牌总表!AL371="能力持续"),参数!$B$2,1)+卡牌总表!Q371*参数!$B$6*IF(AND(卡牌总表!F371="能力",卡牌总表!AL371="能力持续"),参数!$B$2,1)+卡牌总表!S371*参数!$B$7*IF(AND(卡牌总表!F371="能力",卡牌总表!AL371="能力持续"),参数!$B$2,1)+卡牌总表!W371*参数!$B$8+IF(卡牌总表!Y371&lt;0,卡牌总表!Y371*参数!$B$13,卡牌总表!Y371*参数!$B$39)+IF(卡牌总表!AE371&lt;0,卡牌总表!AE371*参数!$B$13,卡牌总表!AE371*参数!$B$12)*参数!$B$2+卡牌总表!AR371*参数!$B$15+卡牌总表!AC371*参数!$B$11+卡牌总表!AF371*参数!$B$40*参数!$B$2+卡牌总表!AG371*参数!$B$44*参数!$B$2+卡牌总表!AH371*参数!$B$6*参数!$B$2+卡牌总表!AI371*参数!$B$39*参数!$B$2+卡牌总表!AJ371*参数!$B$6*参数!$B$2+卡牌总表!AA371*参数!$B$13-卡牌总表!U371*参数!$B$14-卡牌总表!AD371*参数!$B$13+IF(ISNUMBER(卡牌总表!AU371),卡牌总表!AU371*参数!$B$38,0)-卡牌总表!AV371*参数!$B$41-卡牌总表!AW371*参数!$B$14</f>
        <v>62.999999999999993</v>
      </c>
      <c r="M371">
        <f>IF(AND(卡牌总表!F371="能力",卡牌总表!AL371="能力持续"),参数!$B$2*参数!$B$3,0)</f>
        <v>0</v>
      </c>
      <c r="N371">
        <f t="shared" si="17"/>
        <v>62.999999999999993</v>
      </c>
      <c r="O371">
        <f>IFERROR(MAX(IF(K371 &gt; 参数!$B$17,参数!$B$17+SQRT(K371-参数!$B$17)*参数!$B$18,K371)-MAX(G371,0)*参数!$B$10,0)/MAX(G371,0.4),0)</f>
        <v>17.920164833920779</v>
      </c>
      <c r="P371">
        <f>IFERROR(MAX(IF(N371 &gt; 参数!$B$17,参数!$B$17+SQRT(N371-参数!$B$17)*参数!$B$18,N371)-MAX(H371,0)*参数!$B$10,0)/MAX(H371,0.4),0)</f>
        <v>17.920164833920779</v>
      </c>
      <c r="Q371">
        <f>卡牌总表!AO371</f>
        <v>0</v>
      </c>
    </row>
    <row r="372" spans="1:17" x14ac:dyDescent="0.3">
      <c r="A372">
        <f t="shared" si="15"/>
        <v>371</v>
      </c>
      <c r="B372" t="str">
        <f>卡牌总表!B372</f>
        <v>necrobinder_oblivion</v>
      </c>
      <c r="C372" t="str">
        <f>卡牌总表!D372</f>
        <v>湮灭</v>
      </c>
      <c r="D372" t="str">
        <f>卡牌总表!F372</f>
        <v>技能</v>
      </c>
      <c r="E372">
        <f>卡牌总表!AL372</f>
        <v>0</v>
      </c>
      <c r="F372" t="str">
        <f>卡牌总表!AN372</f>
        <v>本回合</v>
      </c>
      <c r="G372">
        <f>卡牌总表!AP372</f>
        <v>0.4</v>
      </c>
      <c r="H372">
        <f>IF(ISNUMBER(卡牌总表!H372),IF(AND(卡牌总表!H372=0,卡牌总表!V372=0,卡牌总表!AK372="none"),0.4,IF(卡牌总表!AK372="exhaust",MAX(卡牌总表!H372-卡牌总表!V372,0.4),IF(卡牌总表!AK372="ethereal",MAX(卡牌总表!H372-卡牌总表!V372,0.4),MAX(卡牌总表!H372-卡牌总表!V372,0.4)))),IF(OR(卡牌总表!H372="X",卡牌总表!H372="∞"),0.4,0.4))</f>
        <v>0.4</v>
      </c>
      <c r="I372">
        <f>卡牌总表!M372*卡牌总表!O372*参数!$B$5*IF(AND(卡牌总表!F372="能力",卡牌总表!AL372="能力持续"),参数!$B$2,1)+卡牌总表!P372*参数!$B$6*IF(AND(卡牌总表!F372="能力",卡牌总表!AL372="能力持续"),参数!$B$2,1)+卡牌总表!R372*参数!$B$7*IF(AND(卡牌总表!F372="能力",卡牌总表!AL372="能力持续"),参数!$B$2,1)+卡牌总表!V372*参数!$B$8+IF(卡牌总表!X372&lt;0,卡牌总表!X372*参数!$B$13,卡牌总表!X372*参数!$B$39)+IF(卡牌总表!AE372&lt;0,卡牌总表!AE372*参数!$B$13,卡牌总表!AE372*参数!$B$12)*参数!$B$2+卡牌总表!AQ372*参数!$B$15+卡牌总表!AB372*参数!$B$11+卡牌总表!AF372*参数!$B$40*参数!$B$2+卡牌总表!AG372*参数!$B$44*参数!$B$2+卡牌总表!AH372*参数!$B$6*参数!$B$2+卡牌总表!AI372*参数!$B$39*参数!$B$2+卡牌总表!AJ372*参数!$B$6*参数!$B$2+卡牌总表!Z372*参数!$B$13-卡牌总表!T372*参数!$B$14-卡牌总表!AD372*参数!$B$13+IF(ISNUMBER(卡牌总表!AU372),卡牌总表!AU372*参数!$B$38,0)-卡牌总表!AV372*参数!$B$41-卡牌总表!AW372*参数!$B$14</f>
        <v>29.4</v>
      </c>
      <c r="J372">
        <f>IF(AND(卡牌总表!F372="能力",卡牌总表!AL372="能力持续"),(参数!$B$2-1)*参数!$B$3,0)</f>
        <v>0</v>
      </c>
      <c r="K372">
        <f t="shared" si="16"/>
        <v>29.4</v>
      </c>
      <c r="L372">
        <f>卡牌总表!N372*卡牌总表!O372*参数!$B$5*IF(AND(卡牌总表!F372="能力",卡牌总表!AL372="能力持续"),参数!$B$2,1)+卡牌总表!Q372*参数!$B$6*IF(AND(卡牌总表!F372="能力",卡牌总表!AL372="能力持续"),参数!$B$2,1)+卡牌总表!S372*参数!$B$7*IF(AND(卡牌总表!F372="能力",卡牌总表!AL372="能力持续"),参数!$B$2,1)+卡牌总表!W372*参数!$B$8+IF(卡牌总表!Y372&lt;0,卡牌总表!Y372*参数!$B$13,卡牌总表!Y372*参数!$B$39)+IF(卡牌总表!AE372&lt;0,卡牌总表!AE372*参数!$B$13,卡牌总表!AE372*参数!$B$12)*参数!$B$2+卡牌总表!AR372*参数!$B$15+卡牌总表!AC372*参数!$B$11+卡牌总表!AF372*参数!$B$40*参数!$B$2+卡牌总表!AG372*参数!$B$44*参数!$B$2+卡牌总表!AH372*参数!$B$6*参数!$B$2+卡牌总表!AI372*参数!$B$39*参数!$B$2+卡牌总表!AJ372*参数!$B$6*参数!$B$2+卡牌总表!AA372*参数!$B$13-卡牌总表!U372*参数!$B$14-卡牌总表!AD372*参数!$B$13+IF(ISNUMBER(卡牌总表!AU372),卡牌总表!AU372*参数!$B$38,0)-卡牌总表!AV372*参数!$B$41-卡牌总表!AW372*参数!$B$14</f>
        <v>29.4</v>
      </c>
      <c r="M372">
        <f>IF(AND(卡牌总表!F372="能力",卡牌总表!AL372="能力持续"),参数!$B$2*参数!$B$3,0)</f>
        <v>0</v>
      </c>
      <c r="N372">
        <f t="shared" si="17"/>
        <v>29.4</v>
      </c>
      <c r="O372">
        <f>IFERROR(MAX(IF(K372 &gt; 参数!$B$17,参数!$B$17+SQRT(K372-参数!$B$17)*参数!$B$18,K372)-MAX(G372,0)*参数!$B$10,0)/MAX(G372,0.4),0)</f>
        <v>38.517036659158926</v>
      </c>
      <c r="P372">
        <f>IFERROR(MAX(IF(N372 &gt; 参数!$B$17,参数!$B$17+SQRT(N372-参数!$B$17)*参数!$B$18,N372)-MAX(H372,0)*参数!$B$10,0)/MAX(H372,0.4),0)</f>
        <v>38.517036659158926</v>
      </c>
      <c r="Q372">
        <f>卡牌总表!AO372</f>
        <v>0</v>
      </c>
    </row>
    <row r="373" spans="1:17" x14ac:dyDescent="0.3">
      <c r="A373">
        <f t="shared" si="15"/>
        <v>372</v>
      </c>
      <c r="B373" t="str">
        <f>卡牌总表!B373</f>
        <v>necrobinder_pagestorm</v>
      </c>
      <c r="C373" t="str">
        <f>卡牌总表!D373</f>
        <v>书页风暴</v>
      </c>
      <c r="D373" t="str">
        <f>卡牌总表!F373</f>
        <v>能力</v>
      </c>
      <c r="E373" t="str">
        <f>卡牌总表!AL373</f>
        <v>能力持续</v>
      </c>
      <c r="F373" t="str">
        <f>卡牌总表!AN373</f>
        <v>能力</v>
      </c>
      <c r="G373">
        <f>卡牌总表!AP373</f>
        <v>1</v>
      </c>
      <c r="H373">
        <f>IF(ISNUMBER(卡牌总表!H373),IF(AND(卡牌总表!H373=0,卡牌总表!V373=0,卡牌总表!AK373="none"),0.4,IF(卡牌总表!AK373="exhaust",MAX(卡牌总表!H373-卡牌总表!V373,0.4),IF(卡牌总表!AK373="ethereal",MAX(卡牌总表!H373-卡牌总表!V373,0.4),MAX(卡牌总表!H373-卡牌总表!V373,0.4)))),IF(OR(卡牌总表!H373="X",卡牌总表!H373="∞"),0.4,0.4))</f>
        <v>1</v>
      </c>
      <c r="I373">
        <f>卡牌总表!M373*卡牌总表!O373*参数!$B$5*IF(AND(卡牌总表!F373="能力",卡牌总表!AL373="能力持续"),参数!$B$2,1)+卡牌总表!P373*参数!$B$6*IF(AND(卡牌总表!F373="能力",卡牌总表!AL373="能力持续"),参数!$B$2,1)+卡牌总表!R373*参数!$B$7*IF(AND(卡牌总表!F373="能力",卡牌总表!AL373="能力持续"),参数!$B$2,1)+卡牌总表!V373*参数!$B$8+IF(卡牌总表!X373&lt;0,卡牌总表!X373*参数!$B$13,卡牌总表!X373*参数!$B$39)+IF(卡牌总表!AE373&lt;0,卡牌总表!AE373*参数!$B$13,卡牌总表!AE373*参数!$B$12)*参数!$B$2+卡牌总表!AQ373*参数!$B$15+卡牌总表!AB373*参数!$B$11+卡牌总表!AF373*参数!$B$40*参数!$B$2+卡牌总表!AG373*参数!$B$44*参数!$B$2+卡牌总表!AH373*参数!$B$6*参数!$B$2+卡牌总表!AI373*参数!$B$39*参数!$B$2+卡牌总表!AJ373*参数!$B$6*参数!$B$2+卡牌总表!Z373*参数!$B$13-卡牌总表!T373*参数!$B$14-卡牌总表!AD373*参数!$B$13+IF(ISNUMBER(卡牌总表!AU373),卡牌总表!AU373*参数!$B$38,0)-卡牌总表!AV373*参数!$B$41-卡牌总表!AW373*参数!$B$14</f>
        <v>4.1999999999999993</v>
      </c>
      <c r="J373">
        <f>IF(AND(卡牌总表!F373="能力",卡牌总表!AL373="能力持续"),(参数!$B$2-1)*参数!$B$3,0)</f>
        <v>3.5999999999999996</v>
      </c>
      <c r="K373">
        <f t="shared" si="16"/>
        <v>7.7999999999999989</v>
      </c>
      <c r="L373">
        <f>卡牌总表!N373*卡牌总表!O373*参数!$B$5*IF(AND(卡牌总表!F373="能力",卡牌总表!AL373="能力持续"),参数!$B$2,1)+卡牌总表!Q373*参数!$B$6*IF(AND(卡牌总表!F373="能力",卡牌总表!AL373="能力持续"),参数!$B$2,1)+卡牌总表!S373*参数!$B$7*IF(AND(卡牌总表!F373="能力",卡牌总表!AL373="能力持续"),参数!$B$2,1)+卡牌总表!W373*参数!$B$8+IF(卡牌总表!Y373&lt;0,卡牌总表!Y373*参数!$B$13,卡牌总表!Y373*参数!$B$39)+IF(卡牌总表!AE373&lt;0,卡牌总表!AE373*参数!$B$13,卡牌总表!AE373*参数!$B$12)*参数!$B$2+卡牌总表!AR373*参数!$B$15+卡牌总表!AC373*参数!$B$11+卡牌总表!AF373*参数!$B$40*参数!$B$2+卡牌总表!AG373*参数!$B$44*参数!$B$2+卡牌总表!AH373*参数!$B$6*参数!$B$2+卡牌总表!AI373*参数!$B$39*参数!$B$2+卡牌总表!AJ373*参数!$B$6*参数!$B$2+卡牌总表!AA373*参数!$B$13-卡牌总表!U373*参数!$B$14-卡牌总表!AD373*参数!$B$13+IF(ISNUMBER(卡牌总表!AU373),卡牌总表!AU373*参数!$B$38,0)-卡牌总表!AV373*参数!$B$41-卡牌总表!AW373*参数!$B$14</f>
        <v>4.1999999999999993</v>
      </c>
      <c r="M373">
        <f>IF(AND(卡牌总表!F373="能力",卡牌总表!AL373="能力持续"),参数!$B$2*参数!$B$3,0)</f>
        <v>4.8</v>
      </c>
      <c r="N373">
        <f t="shared" si="17"/>
        <v>9</v>
      </c>
      <c r="O373">
        <f>IFERROR(MAX(IF(K373 &gt; 参数!$B$17,参数!$B$17+SQRT(K373-参数!$B$17)*参数!$B$18,K373)-MAX(G373,0)*参数!$B$10,0)/MAX(G373,0.4),0)</f>
        <v>4.7999999999999989</v>
      </c>
      <c r="P373">
        <f>IFERROR(MAX(IF(N373 &gt; 参数!$B$17,参数!$B$17+SQRT(N373-参数!$B$17)*参数!$B$18,N373)-MAX(H373,0)*参数!$B$10,0)/MAX(H373,0.4),0)</f>
        <v>6</v>
      </c>
      <c r="Q373">
        <f>卡牌总表!AO373</f>
        <v>0</v>
      </c>
    </row>
    <row r="374" spans="1:17" x14ac:dyDescent="0.3">
      <c r="A374">
        <f t="shared" si="15"/>
        <v>373</v>
      </c>
      <c r="B374" t="str">
        <f>卡牌总表!B374</f>
        <v>necrobinder_parse</v>
      </c>
      <c r="C374" t="str">
        <f>卡牌总表!D374</f>
        <v>领会</v>
      </c>
      <c r="D374" t="str">
        <f>卡牌总表!F374</f>
        <v>技能</v>
      </c>
      <c r="E374">
        <f>卡牌总表!AL374</f>
        <v>0</v>
      </c>
      <c r="F374">
        <f>卡牌总表!AN374</f>
        <v>0</v>
      </c>
      <c r="G374">
        <f>卡牌总表!AP374</f>
        <v>1</v>
      </c>
      <c r="H374">
        <f>IF(ISNUMBER(卡牌总表!H374),IF(AND(卡牌总表!H374=0,卡牌总表!V374=0,卡牌总表!AK374="none"),0.4,IF(卡牌总表!AK374="exhaust",MAX(卡牌总表!H374-卡牌总表!V374,0.4),IF(卡牌总表!AK374="ethereal",MAX(卡牌总表!H374-卡牌总表!V374,0.4),MAX(卡牌总表!H374-卡牌总表!V374,0.4)))),IF(OR(卡牌总表!H374="X",卡牌总表!H374="∞"),0.4,0.4))</f>
        <v>1</v>
      </c>
      <c r="I374">
        <f>卡牌总表!M374*卡牌总表!O374*参数!$B$5*IF(AND(卡牌总表!F374="能力",卡牌总表!AL374="能力持续"),参数!$B$2,1)+卡牌总表!P374*参数!$B$6*IF(AND(卡牌总表!F374="能力",卡牌总表!AL374="能力持续"),参数!$B$2,1)+卡牌总表!R374*参数!$B$7*IF(AND(卡牌总表!F374="能力",卡牌总表!AL374="能力持续"),参数!$B$2,1)+卡牌总表!V374*参数!$B$8+IF(卡牌总表!X374&lt;0,卡牌总表!X374*参数!$B$13,卡牌总表!X374*参数!$B$39)+IF(卡牌总表!AE374&lt;0,卡牌总表!AE374*参数!$B$13,卡牌总表!AE374*参数!$B$12)*参数!$B$2+卡牌总表!AQ374*参数!$B$15+卡牌总表!AB374*参数!$B$11+卡牌总表!AF374*参数!$B$40*参数!$B$2+卡牌总表!AG374*参数!$B$44*参数!$B$2+卡牌总表!AH374*参数!$B$6*参数!$B$2+卡牌总表!AI374*参数!$B$39*参数!$B$2+卡牌总表!AJ374*参数!$B$6*参数!$B$2+卡牌总表!Z374*参数!$B$13-卡牌总表!T374*参数!$B$14-卡牌总表!AD374*参数!$B$13+IF(ISNUMBER(卡牌总表!AU374),卡牌总表!AU374*参数!$B$38,0)-卡牌总表!AV374*参数!$B$41-卡牌总表!AW374*参数!$B$14</f>
        <v>2.0999999999999996</v>
      </c>
      <c r="J374">
        <f>IF(AND(卡牌总表!F374="能力",卡牌总表!AL374="能力持续"),(参数!$B$2-1)*参数!$B$3,0)</f>
        <v>0</v>
      </c>
      <c r="K374">
        <f t="shared" si="16"/>
        <v>2.0999999999999996</v>
      </c>
      <c r="L374">
        <f>卡牌总表!N374*卡牌总表!O374*参数!$B$5*IF(AND(卡牌总表!F374="能力",卡牌总表!AL374="能力持续"),参数!$B$2,1)+卡牌总表!Q374*参数!$B$6*IF(AND(卡牌总表!F374="能力",卡牌总表!AL374="能力持续"),参数!$B$2,1)+卡牌总表!S374*参数!$B$7*IF(AND(卡牌总表!F374="能力",卡牌总表!AL374="能力持续"),参数!$B$2,1)+卡牌总表!W374*参数!$B$8+IF(卡牌总表!Y374&lt;0,卡牌总表!Y374*参数!$B$13,卡牌总表!Y374*参数!$B$39)+IF(卡牌总表!AE374&lt;0,卡牌总表!AE374*参数!$B$13,卡牌总表!AE374*参数!$B$12)*参数!$B$2+卡牌总表!AR374*参数!$B$15+卡牌总表!AC374*参数!$B$11+卡牌总表!AF374*参数!$B$40*参数!$B$2+卡牌总表!AG374*参数!$B$44*参数!$B$2+卡牌总表!AH374*参数!$B$6*参数!$B$2+卡牌总表!AI374*参数!$B$39*参数!$B$2+卡牌总表!AJ374*参数!$B$6*参数!$B$2+卡牌总表!AA374*参数!$B$13-卡牌总表!U374*参数!$B$14-卡牌总表!AD374*参数!$B$13+IF(ISNUMBER(卡牌总表!AU374),卡牌总表!AU374*参数!$B$38,0)-卡牌总表!AV374*参数!$B$41-卡牌总表!AW374*参数!$B$14</f>
        <v>2.8</v>
      </c>
      <c r="M374">
        <f>IF(AND(卡牌总表!F374="能力",卡牌总表!AL374="能力持续"),参数!$B$2*参数!$B$3,0)</f>
        <v>0</v>
      </c>
      <c r="N374">
        <f t="shared" si="17"/>
        <v>2.8</v>
      </c>
      <c r="O374">
        <f>IFERROR(MAX(IF(K374 &gt; 参数!$B$17,参数!$B$17+SQRT(K374-参数!$B$17)*参数!$B$18,K374)-MAX(G374,0)*参数!$B$10,0)/MAX(G374,0.4),0)</f>
        <v>0</v>
      </c>
      <c r="P374">
        <f>IFERROR(MAX(IF(N374 &gt; 参数!$B$17,参数!$B$17+SQRT(N374-参数!$B$17)*参数!$B$18,N374)-MAX(H374,0)*参数!$B$10,0)/MAX(H374,0.4),0)</f>
        <v>0</v>
      </c>
      <c r="Q374">
        <f>卡牌总表!AO374</f>
        <v>0</v>
      </c>
    </row>
    <row r="375" spans="1:17" x14ac:dyDescent="0.3">
      <c r="A375">
        <f t="shared" si="15"/>
        <v>374</v>
      </c>
      <c r="B375" t="str">
        <f>卡牌总表!B375</f>
        <v>necrobinder_poke</v>
      </c>
      <c r="C375" t="str">
        <f>卡牌总表!D375</f>
        <v>戳击</v>
      </c>
      <c r="D375" t="str">
        <f>卡牌总表!F375</f>
        <v>攻击</v>
      </c>
      <c r="E375">
        <f>卡牌总表!AL375</f>
        <v>0</v>
      </c>
      <c r="F375">
        <f>卡牌总表!AN375</f>
        <v>0</v>
      </c>
      <c r="G375">
        <f>卡牌总表!AP375</f>
        <v>0.4</v>
      </c>
      <c r="H375">
        <f>IF(ISNUMBER(卡牌总表!H375),IF(AND(卡牌总表!H375=0,卡牌总表!V375=0,卡牌总表!AK375="none"),0.4,IF(卡牌总表!AK375="exhaust",MAX(卡牌总表!H375-卡牌总表!V375,0.4),IF(卡牌总表!AK375="ethereal",MAX(卡牌总表!H375-卡牌总表!V375,0.4),MAX(卡牌总表!H375-卡牌总表!V375,0.4)))),IF(OR(卡牌总表!H375="X",卡牌总表!H375="∞"),0.4,0.4))</f>
        <v>0.4</v>
      </c>
      <c r="I375">
        <f>卡牌总表!M375*卡牌总表!O375*参数!$B$5*IF(AND(卡牌总表!F375="能力",卡牌总表!AL375="能力持续"),参数!$B$2,1)+卡牌总表!P375*参数!$B$6*IF(AND(卡牌总表!F375="能力",卡牌总表!AL375="能力持续"),参数!$B$2,1)+卡牌总表!R375*参数!$B$7*IF(AND(卡牌总表!F375="能力",卡牌总表!AL375="能力持续"),参数!$B$2,1)+卡牌总表!V375*参数!$B$8+IF(卡牌总表!X375&lt;0,卡牌总表!X375*参数!$B$13,卡牌总表!X375*参数!$B$39)+IF(卡牌总表!AE375&lt;0,卡牌总表!AE375*参数!$B$13,卡牌总表!AE375*参数!$B$12)*参数!$B$2+卡牌总表!AQ375*参数!$B$15+卡牌总表!AB375*参数!$B$11+卡牌总表!AF375*参数!$B$40*参数!$B$2+卡牌总表!AG375*参数!$B$44*参数!$B$2+卡牌总表!AH375*参数!$B$6*参数!$B$2+卡牌总表!AI375*参数!$B$39*参数!$B$2+卡牌总表!AJ375*参数!$B$6*参数!$B$2+卡牌总表!Z375*参数!$B$13-卡牌总表!T375*参数!$B$14-卡牌总表!AD375*参数!$B$13+IF(ISNUMBER(卡牌总表!AU375),卡牌总表!AU375*参数!$B$38,0)-卡牌总表!AV375*参数!$B$41-卡牌总表!AW375*参数!$B$14</f>
        <v>6</v>
      </c>
      <c r="J375">
        <f>IF(AND(卡牌总表!F375="能力",卡牌总表!AL375="能力持续"),(参数!$B$2-1)*参数!$B$3,0)</f>
        <v>0</v>
      </c>
      <c r="K375">
        <f t="shared" si="16"/>
        <v>6</v>
      </c>
      <c r="L375">
        <f>卡牌总表!N375*卡牌总表!O375*参数!$B$5*IF(AND(卡牌总表!F375="能力",卡牌总表!AL375="能力持续"),参数!$B$2,1)+卡牌总表!Q375*参数!$B$6*IF(AND(卡牌总表!F375="能力",卡牌总表!AL375="能力持续"),参数!$B$2,1)+卡牌总表!S375*参数!$B$7*IF(AND(卡牌总表!F375="能力",卡牌总表!AL375="能力持续"),参数!$B$2,1)+卡牌总表!W375*参数!$B$8+IF(卡牌总表!Y375&lt;0,卡牌总表!Y375*参数!$B$13,卡牌总表!Y375*参数!$B$39)+IF(卡牌总表!AE375&lt;0,卡牌总表!AE375*参数!$B$13,卡牌总表!AE375*参数!$B$12)*参数!$B$2+卡牌总表!AR375*参数!$B$15+卡牌总表!AC375*参数!$B$11+卡牌总表!AF375*参数!$B$40*参数!$B$2+卡牌总表!AG375*参数!$B$44*参数!$B$2+卡牌总表!AH375*参数!$B$6*参数!$B$2+卡牌总表!AI375*参数!$B$39*参数!$B$2+卡牌总表!AJ375*参数!$B$6*参数!$B$2+卡牌总表!AA375*参数!$B$13-卡牌总表!U375*参数!$B$14-卡牌总表!AD375*参数!$B$13+IF(ISNUMBER(卡牌总表!AU375),卡牌总表!AU375*参数!$B$38,0)-卡牌总表!AV375*参数!$B$41-卡牌总表!AW375*参数!$B$14</f>
        <v>9</v>
      </c>
      <c r="M375">
        <f>IF(AND(卡牌总表!F375="能力",卡牌总表!AL375="能力持续"),参数!$B$2*参数!$B$3,0)</f>
        <v>0</v>
      </c>
      <c r="N375">
        <f t="shared" si="17"/>
        <v>9</v>
      </c>
      <c r="O375">
        <f>IFERROR(MAX(IF(K375 &gt; 参数!$B$17,参数!$B$17+SQRT(K375-参数!$B$17)*参数!$B$18,K375)-MAX(G375,0)*参数!$B$10,0)/MAX(G375,0.4),0)</f>
        <v>11.999999999999998</v>
      </c>
      <c r="P375">
        <f>IFERROR(MAX(IF(N375 &gt; 参数!$B$17,参数!$B$17+SQRT(N375-参数!$B$17)*参数!$B$18,N375)-MAX(H375,0)*参数!$B$10,0)/MAX(H375,0.4),0)</f>
        <v>19.5</v>
      </c>
      <c r="Q375">
        <f>卡牌总表!AO375</f>
        <v>0</v>
      </c>
    </row>
    <row r="376" spans="1:17" x14ac:dyDescent="0.3">
      <c r="A376">
        <f t="shared" si="15"/>
        <v>375</v>
      </c>
      <c r="B376" t="str">
        <f>卡牌总表!B376</f>
        <v>necrobinder_protector</v>
      </c>
      <c r="C376" t="str">
        <f>卡牌总表!D376</f>
        <v>守护者</v>
      </c>
      <c r="D376" t="str">
        <f>卡牌总表!F376</f>
        <v>攻击</v>
      </c>
      <c r="E376">
        <f>卡牌总表!AL376</f>
        <v>0</v>
      </c>
      <c r="F376">
        <f>卡牌总表!AN376</f>
        <v>0</v>
      </c>
      <c r="G376">
        <f>卡牌总表!AP376</f>
        <v>1</v>
      </c>
      <c r="H376">
        <f>IF(ISNUMBER(卡牌总表!H376),IF(AND(卡牌总表!H376=0,卡牌总表!V376=0,卡牌总表!AK376="none"),0.4,IF(卡牌总表!AK376="exhaust",MAX(卡牌总表!H376-卡牌总表!V376,0.4),IF(卡牌总表!AK376="ethereal",MAX(卡牌总表!H376-卡牌总表!V376,0.4),MAX(卡牌总表!H376-卡牌总表!V376,0.4)))),IF(OR(卡牌总表!H376="X",卡牌总表!H376="∞"),0.4,0.4))</f>
        <v>1</v>
      </c>
      <c r="I376">
        <f>卡牌总表!M376*卡牌总表!O376*参数!$B$5*IF(AND(卡牌总表!F376="能力",卡牌总表!AL376="能力持续"),参数!$B$2,1)+卡牌总表!P376*参数!$B$6*IF(AND(卡牌总表!F376="能力",卡牌总表!AL376="能力持续"),参数!$B$2,1)+卡牌总表!R376*参数!$B$7*IF(AND(卡牌总表!F376="能力",卡牌总表!AL376="能力持续"),参数!$B$2,1)+卡牌总表!V376*参数!$B$8+IF(卡牌总表!X376&lt;0,卡牌总表!X376*参数!$B$13,卡牌总表!X376*参数!$B$39)+IF(卡牌总表!AE376&lt;0,卡牌总表!AE376*参数!$B$13,卡牌总表!AE376*参数!$B$12)*参数!$B$2+卡牌总表!AQ376*参数!$B$15+卡牌总表!AB376*参数!$B$11+卡牌总表!AF376*参数!$B$40*参数!$B$2+卡牌总表!AG376*参数!$B$44*参数!$B$2+卡牌总表!AH376*参数!$B$6*参数!$B$2+卡牌总表!AI376*参数!$B$39*参数!$B$2+卡牌总表!AJ376*参数!$B$6*参数!$B$2+卡牌总表!Z376*参数!$B$13-卡牌总表!T376*参数!$B$14-卡牌总表!AD376*参数!$B$13+IF(ISNUMBER(卡牌总表!AU376),卡牌总表!AU376*参数!$B$38,0)-卡牌总表!AV376*参数!$B$41-卡牌总表!AW376*参数!$B$14</f>
        <v>25</v>
      </c>
      <c r="J376">
        <f>IF(AND(卡牌总表!F376="能力",卡牌总表!AL376="能力持续"),(参数!$B$2-1)*参数!$B$3,0)</f>
        <v>0</v>
      </c>
      <c r="K376">
        <f t="shared" si="16"/>
        <v>25</v>
      </c>
      <c r="L376">
        <f>卡牌总表!N376*卡牌总表!O376*参数!$B$5*IF(AND(卡牌总表!F376="能力",卡牌总表!AL376="能力持续"),参数!$B$2,1)+卡牌总表!Q376*参数!$B$6*IF(AND(卡牌总表!F376="能力",卡牌总表!AL376="能力持续"),参数!$B$2,1)+卡牌总表!S376*参数!$B$7*IF(AND(卡牌总表!F376="能力",卡牌总表!AL376="能力持续"),参数!$B$2,1)+卡牌总表!W376*参数!$B$8+IF(卡牌总表!Y376&lt;0,卡牌总表!Y376*参数!$B$13,卡牌总表!Y376*参数!$B$39)+IF(卡牌总表!AE376&lt;0,卡牌总表!AE376*参数!$B$13,卡牌总表!AE376*参数!$B$12)*参数!$B$2+卡牌总表!AR376*参数!$B$15+卡牌总表!AC376*参数!$B$11+卡牌总表!AF376*参数!$B$40*参数!$B$2+卡牌总表!AG376*参数!$B$44*参数!$B$2+卡牌总表!AH376*参数!$B$6*参数!$B$2+卡牌总表!AI376*参数!$B$39*参数!$B$2+卡牌总表!AJ376*参数!$B$6*参数!$B$2+卡牌总表!AA376*参数!$B$13-卡牌总表!U376*参数!$B$14-卡牌总表!AD376*参数!$B$13+IF(ISNUMBER(卡牌总表!AU376),卡牌总表!AU376*参数!$B$38,0)-卡牌总表!AV376*参数!$B$41-卡牌总表!AW376*参数!$B$14</f>
        <v>25</v>
      </c>
      <c r="M376">
        <f>IF(AND(卡牌总表!F376="能力",卡牌总表!AL376="能力持续"),参数!$B$2*参数!$B$3,0)</f>
        <v>0</v>
      </c>
      <c r="N376">
        <f t="shared" si="17"/>
        <v>25</v>
      </c>
      <c r="O376">
        <f>IFERROR(MAX(IF(K376 &gt; 参数!$B$17,参数!$B$17+SQRT(K376-参数!$B$17)*参数!$B$18,K376)-MAX(G376,0)*参数!$B$10,0)/MAX(G376,0.4),0)</f>
        <v>12.809475019311126</v>
      </c>
      <c r="P376">
        <f>IFERROR(MAX(IF(N376 &gt; 参数!$B$17,参数!$B$17+SQRT(N376-参数!$B$17)*参数!$B$18,N376)-MAX(H376,0)*参数!$B$10,0)/MAX(H376,0.4),0)</f>
        <v>12.809475019311126</v>
      </c>
      <c r="Q376">
        <f>卡牌总表!AO376</f>
        <v>0</v>
      </c>
    </row>
    <row r="377" spans="1:17" x14ac:dyDescent="0.3">
      <c r="A377">
        <f t="shared" si="15"/>
        <v>376</v>
      </c>
      <c r="B377" t="str">
        <f>卡牌总表!B377</f>
        <v>necrobinder_pull_aggro</v>
      </c>
      <c r="C377" t="str">
        <f>卡牌总表!D377</f>
        <v>吸引仇恨</v>
      </c>
      <c r="D377" t="str">
        <f>卡牌总表!F377</f>
        <v>技能</v>
      </c>
      <c r="E377">
        <f>卡牌总表!AL377</f>
        <v>0</v>
      </c>
      <c r="F377">
        <f>卡牌总表!AN377</f>
        <v>0</v>
      </c>
      <c r="G377">
        <f>卡牌总表!AP377</f>
        <v>2</v>
      </c>
      <c r="H377">
        <f>IF(ISNUMBER(卡牌总表!H377),IF(AND(卡牌总表!H377=0,卡牌总表!V377=0,卡牌总表!AK377="none"),0.4,IF(卡牌总表!AK377="exhaust",MAX(卡牌总表!H377-卡牌总表!V377,0.4),IF(卡牌总表!AK377="ethereal",MAX(卡牌总表!H377-卡牌总表!V377,0.4),MAX(卡牌总表!H377-卡牌总表!V377,0.4)))),IF(OR(卡牌总表!H377="X",卡牌总表!H377="∞"),0.4,0.4))</f>
        <v>2</v>
      </c>
      <c r="I377">
        <f>卡牌总表!M377*卡牌总表!O377*参数!$B$5*IF(AND(卡牌总表!F377="能力",卡牌总表!AL377="能力持续"),参数!$B$2,1)+卡牌总表!P377*参数!$B$6*IF(AND(卡牌总表!F377="能力",卡牌总表!AL377="能力持续"),参数!$B$2,1)+卡牌总表!R377*参数!$B$7*IF(AND(卡牌总表!F377="能力",卡牌总表!AL377="能力持续"),参数!$B$2,1)+卡牌总表!V377*参数!$B$8+IF(卡牌总表!X377&lt;0,卡牌总表!X377*参数!$B$13,卡牌总表!X377*参数!$B$39)+IF(卡牌总表!AE377&lt;0,卡牌总表!AE377*参数!$B$13,卡牌总表!AE377*参数!$B$12)*参数!$B$2+卡牌总表!AQ377*参数!$B$15+卡牌总表!AB377*参数!$B$11+卡牌总表!AF377*参数!$B$40*参数!$B$2+卡牌总表!AG377*参数!$B$44*参数!$B$2+卡牌总表!AH377*参数!$B$6*参数!$B$2+卡牌总表!AI377*参数!$B$39*参数!$B$2+卡牌总表!AJ377*参数!$B$6*参数!$B$2+卡牌总表!Z377*参数!$B$13-卡牌总表!T377*参数!$B$14-卡牌总表!AD377*参数!$B$13+IF(ISNUMBER(卡牌总表!AU377),卡牌总表!AU377*参数!$B$38,0)-卡牌总表!AV377*参数!$B$41-卡牌总表!AW377*参数!$B$14</f>
        <v>11.700000000000001</v>
      </c>
      <c r="J377">
        <f>IF(AND(卡牌总表!F377="能力",卡牌总表!AL377="能力持续"),(参数!$B$2-1)*参数!$B$3,0)</f>
        <v>0</v>
      </c>
      <c r="K377">
        <f t="shared" si="16"/>
        <v>11.700000000000001</v>
      </c>
      <c r="L377">
        <f>卡牌总表!N377*卡牌总表!O377*参数!$B$5*IF(AND(卡牌总表!F377="能力",卡牌总表!AL377="能力持续"),参数!$B$2,1)+卡牌总表!Q377*参数!$B$6*IF(AND(卡牌总表!F377="能力",卡牌总表!AL377="能力持续"),参数!$B$2,1)+卡牌总表!S377*参数!$B$7*IF(AND(卡牌总表!F377="能力",卡牌总表!AL377="能力持续"),参数!$B$2,1)+卡牌总表!W377*参数!$B$8+IF(卡牌总表!Y377&lt;0,卡牌总表!Y377*参数!$B$13,卡牌总表!Y377*参数!$B$39)+IF(卡牌总表!AE377&lt;0,卡牌总表!AE377*参数!$B$13,卡牌总表!AE377*参数!$B$12)*参数!$B$2+卡牌总表!AR377*参数!$B$15+卡牌总表!AC377*参数!$B$11+卡牌总表!AF377*参数!$B$40*参数!$B$2+卡牌总表!AG377*参数!$B$44*参数!$B$2+卡牌总表!AH377*参数!$B$6*参数!$B$2+卡牌总表!AI377*参数!$B$39*参数!$B$2+卡牌总表!AJ377*参数!$B$6*参数!$B$2+卡牌总表!AA377*参数!$B$13-卡牌总表!U377*参数!$B$14-卡牌总表!AD377*参数!$B$13+IF(ISNUMBER(卡牌总表!AU377),卡牌总表!AU377*参数!$B$38,0)-卡牌总表!AV377*参数!$B$41-卡牌总表!AW377*参数!$B$14</f>
        <v>13.9</v>
      </c>
      <c r="M377">
        <f>IF(AND(卡牌总表!F377="能力",卡牌总表!AL377="能力持续"),参数!$B$2*参数!$B$3,0)</f>
        <v>0</v>
      </c>
      <c r="N377">
        <f t="shared" si="17"/>
        <v>13.9</v>
      </c>
      <c r="O377">
        <f>IFERROR(MAX(IF(K377 &gt; 参数!$B$17,参数!$B$17+SQRT(K377-参数!$B$17)*参数!$B$18,K377)-MAX(G377,0)*参数!$B$10,0)/MAX(G377,0.4),0)</f>
        <v>2.9778803607803974</v>
      </c>
      <c r="P377">
        <f>IFERROR(MAX(IF(N377 &gt; 参数!$B$17,参数!$B$17+SQRT(N377-参数!$B$17)*参数!$B$18,N377)-MAX(H377,0)*参数!$B$10,0)/MAX(H377,0.4),0)</f>
        <v>3.4811313243598629</v>
      </c>
      <c r="Q377">
        <f>卡牌总表!AO377</f>
        <v>0</v>
      </c>
    </row>
    <row r="378" spans="1:17" x14ac:dyDescent="0.3">
      <c r="A378">
        <f t="shared" si="15"/>
        <v>377</v>
      </c>
      <c r="B378" t="str">
        <f>卡牌总表!B378</f>
        <v>necrobinder_pull_from_below</v>
      </c>
      <c r="C378" t="str">
        <f>卡牌总表!D378</f>
        <v>亡魂牵引</v>
      </c>
      <c r="D378" t="str">
        <f>卡牌总表!F378</f>
        <v>攻击</v>
      </c>
      <c r="E378">
        <f>卡牌总表!AL378</f>
        <v>0</v>
      </c>
      <c r="F378">
        <f>卡牌总表!AN378</f>
        <v>0</v>
      </c>
      <c r="G378">
        <f>卡牌总表!AP378</f>
        <v>1</v>
      </c>
      <c r="H378">
        <f>IF(ISNUMBER(卡牌总表!H378),IF(AND(卡牌总表!H378=0,卡牌总表!V378=0,卡牌总表!AK378="none"),0.4,IF(卡牌总表!AK378="exhaust",MAX(卡牌总表!H378-卡牌总表!V378,0.4),IF(卡牌总表!AK378="ethereal",MAX(卡牌总表!H378-卡牌总表!V378,0.4),MAX(卡牌总表!H378-卡牌总表!V378,0.4)))),IF(OR(卡牌总表!H378="X",卡牌总表!H378="∞"),0.4,0.4))</f>
        <v>1</v>
      </c>
      <c r="I378">
        <f>卡牌总表!M378*卡牌总表!O378*参数!$B$5*IF(AND(卡牌总表!F378="能力",卡牌总表!AL378="能力持续"),参数!$B$2,1)+卡牌总表!P378*参数!$B$6*IF(AND(卡牌总表!F378="能力",卡牌总表!AL378="能力持续"),参数!$B$2,1)+卡牌总表!R378*参数!$B$7*IF(AND(卡牌总表!F378="能力",卡牌总表!AL378="能力持续"),参数!$B$2,1)+卡牌总表!V378*参数!$B$8+IF(卡牌总表!X378&lt;0,卡牌总表!X378*参数!$B$13,卡牌总表!X378*参数!$B$39)+IF(卡牌总表!AE378&lt;0,卡牌总表!AE378*参数!$B$13,卡牌总表!AE378*参数!$B$12)*参数!$B$2+卡牌总表!AQ378*参数!$B$15+卡牌总表!AB378*参数!$B$11+卡牌总表!AF378*参数!$B$40*参数!$B$2+卡牌总表!AG378*参数!$B$44*参数!$B$2+卡牌总表!AH378*参数!$B$6*参数!$B$2+卡牌总表!AI378*参数!$B$39*参数!$B$2+卡牌总表!AJ378*参数!$B$6*参数!$B$2+卡牌总表!Z378*参数!$B$13-卡牌总表!T378*参数!$B$14-卡牌总表!AD378*参数!$B$13+IF(ISNUMBER(卡牌总表!AU378),卡牌总表!AU378*参数!$B$38,0)-卡牌总表!AV378*参数!$B$41-卡牌总表!AW378*参数!$B$14</f>
        <v>7.5</v>
      </c>
      <c r="J378">
        <f>IF(AND(卡牌总表!F378="能力",卡牌总表!AL378="能力持续"),(参数!$B$2-1)*参数!$B$3,0)</f>
        <v>0</v>
      </c>
      <c r="K378">
        <f t="shared" si="16"/>
        <v>7.5</v>
      </c>
      <c r="L378">
        <f>卡牌总表!N378*卡牌总表!O378*参数!$B$5*IF(AND(卡牌总表!F378="能力",卡牌总表!AL378="能力持续"),参数!$B$2,1)+卡牌总表!Q378*参数!$B$6*IF(AND(卡牌总表!F378="能力",卡牌总表!AL378="能力持续"),参数!$B$2,1)+卡牌总表!S378*参数!$B$7*IF(AND(卡牌总表!F378="能力",卡牌总表!AL378="能力持续"),参数!$B$2,1)+卡牌总表!W378*参数!$B$8+IF(卡牌总表!Y378&lt;0,卡牌总表!Y378*参数!$B$13,卡牌总表!Y378*参数!$B$39)+IF(卡牌总表!AE378&lt;0,卡牌总表!AE378*参数!$B$13,卡牌总表!AE378*参数!$B$12)*参数!$B$2+卡牌总表!AR378*参数!$B$15+卡牌总表!AC378*参数!$B$11+卡牌总表!AF378*参数!$B$40*参数!$B$2+卡牌总表!AG378*参数!$B$44*参数!$B$2+卡牌总表!AH378*参数!$B$6*参数!$B$2+卡牌总表!AI378*参数!$B$39*参数!$B$2+卡牌总表!AJ378*参数!$B$6*参数!$B$2+卡牌总表!AA378*参数!$B$13-卡牌总表!U378*参数!$B$14-卡牌总表!AD378*参数!$B$13+IF(ISNUMBER(卡牌总表!AU378),卡牌总表!AU378*参数!$B$38,0)-卡牌总表!AV378*参数!$B$41-卡牌总表!AW378*参数!$B$14</f>
        <v>10.5</v>
      </c>
      <c r="M378">
        <f>IF(AND(卡牌总表!F378="能力",卡牌总表!AL378="能力持续"),参数!$B$2*参数!$B$3,0)</f>
        <v>0</v>
      </c>
      <c r="N378">
        <f t="shared" si="17"/>
        <v>10.5</v>
      </c>
      <c r="O378">
        <f>IFERROR(MAX(IF(K378 &gt; 参数!$B$17,参数!$B$17+SQRT(K378-参数!$B$17)*参数!$B$18,K378)-MAX(G378,0)*参数!$B$10,0)/MAX(G378,0.4),0)</f>
        <v>4.5</v>
      </c>
      <c r="P378">
        <f>IFERROR(MAX(IF(N378 &gt; 参数!$B$17,参数!$B$17+SQRT(N378-参数!$B$17)*参数!$B$18,N378)-MAX(H378,0)*参数!$B$10,0)/MAX(H378,0.4),0)</f>
        <v>8.060660171779821</v>
      </c>
      <c r="Q378">
        <f>卡牌总表!AO378</f>
        <v>0</v>
      </c>
    </row>
    <row r="379" spans="1:17" x14ac:dyDescent="0.3">
      <c r="A379">
        <f t="shared" si="15"/>
        <v>378</v>
      </c>
      <c r="B379" t="str">
        <f>卡牌总表!B379</f>
        <v>necrobinder_putrefy</v>
      </c>
      <c r="C379" t="str">
        <f>卡牌总表!D379</f>
        <v>腐败</v>
      </c>
      <c r="D379" t="str">
        <f>卡牌总表!F379</f>
        <v>技能</v>
      </c>
      <c r="E379">
        <f>卡牌总表!AL379</f>
        <v>0</v>
      </c>
      <c r="F379">
        <f>卡牌总表!AN379</f>
        <v>0</v>
      </c>
      <c r="G379">
        <f>卡牌总表!AP379</f>
        <v>1</v>
      </c>
      <c r="H379">
        <f>IF(ISNUMBER(卡牌总表!H379),IF(AND(卡牌总表!H379=0,卡牌总表!V379=0,卡牌总表!AK379="none"),0.4,IF(卡牌总表!AK379="exhaust",MAX(卡牌总表!H379-卡牌总表!V379,0.4),IF(卡牌总表!AK379="ethereal",MAX(卡牌总表!H379-卡牌总表!V379,0.4),MAX(卡牌总表!H379-卡牌总表!V379,0.4)))),IF(OR(卡牌总表!H379="X",卡牌总表!H379="∞"),0.4,0.4))</f>
        <v>1</v>
      </c>
      <c r="I379">
        <f>卡牌总表!M379*卡牌总表!O379*参数!$B$5*IF(AND(卡牌总表!F379="能力",卡牌总表!AL379="能力持续"),参数!$B$2,1)+卡牌总表!P379*参数!$B$6*IF(AND(卡牌总表!F379="能力",卡牌总表!AL379="能力持续"),参数!$B$2,1)+卡牌总表!R379*参数!$B$7*IF(AND(卡牌总表!F379="能力",卡牌总表!AL379="能力持续"),参数!$B$2,1)+卡牌总表!V379*参数!$B$8+IF(卡牌总表!X379&lt;0,卡牌总表!X379*参数!$B$13,卡牌总表!X379*参数!$B$39)+IF(卡牌总表!AE379&lt;0,卡牌总表!AE379*参数!$B$13,卡牌总表!AE379*参数!$B$12)*参数!$B$2+卡牌总表!AQ379*参数!$B$15+卡牌总表!AB379*参数!$B$11+卡牌总表!AF379*参数!$B$40*参数!$B$2+卡牌总表!AG379*参数!$B$44*参数!$B$2+卡牌总表!AH379*参数!$B$6*参数!$B$2+卡牌总表!AI379*参数!$B$39*参数!$B$2+卡牌总表!AJ379*参数!$B$6*参数!$B$2+卡牌总表!Z379*参数!$B$13-卡牌总表!T379*参数!$B$14-卡牌总表!AD379*参数!$B$13+IF(ISNUMBER(卡牌总表!AU379),卡牌总表!AU379*参数!$B$38,0)-卡牌总表!AV379*参数!$B$41-卡牌总表!AW379*参数!$B$14</f>
        <v>5.6</v>
      </c>
      <c r="J379">
        <f>IF(AND(卡牌总表!F379="能力",卡牌总表!AL379="能力持续"),(参数!$B$2-1)*参数!$B$3,0)</f>
        <v>0</v>
      </c>
      <c r="K379">
        <f t="shared" si="16"/>
        <v>5.6</v>
      </c>
      <c r="L379">
        <f>卡牌总表!N379*卡牌总表!O379*参数!$B$5*IF(AND(卡牌总表!F379="能力",卡牌总表!AL379="能力持续"),参数!$B$2,1)+卡牌总表!Q379*参数!$B$6*IF(AND(卡牌总表!F379="能力",卡牌总表!AL379="能力持续"),参数!$B$2,1)+卡牌总表!S379*参数!$B$7*IF(AND(卡牌总表!F379="能力",卡牌总表!AL379="能力持续"),参数!$B$2,1)+卡牌总表!W379*参数!$B$8+IF(卡牌总表!Y379&lt;0,卡牌总表!Y379*参数!$B$13,卡牌总表!Y379*参数!$B$39)+IF(卡牌总表!AE379&lt;0,卡牌总表!AE379*参数!$B$13,卡牌总表!AE379*参数!$B$12)*参数!$B$2+卡牌总表!AR379*参数!$B$15+卡牌总表!AC379*参数!$B$11+卡牌总表!AF379*参数!$B$40*参数!$B$2+卡牌总表!AG379*参数!$B$44*参数!$B$2+卡牌总表!AH379*参数!$B$6*参数!$B$2+卡牌总表!AI379*参数!$B$39*参数!$B$2+卡牌总表!AJ379*参数!$B$6*参数!$B$2+卡牌总表!AA379*参数!$B$13-卡牌总表!U379*参数!$B$14-卡牌总表!AD379*参数!$B$13+IF(ISNUMBER(卡牌总表!AU379),卡牌总表!AU379*参数!$B$38,0)-卡牌总表!AV379*参数!$B$41-卡牌总表!AW379*参数!$B$14</f>
        <v>8.4</v>
      </c>
      <c r="M379">
        <f>IF(AND(卡牌总表!F379="能力",卡牌总表!AL379="能力持续"),参数!$B$2*参数!$B$3,0)</f>
        <v>0</v>
      </c>
      <c r="N379">
        <f t="shared" si="17"/>
        <v>8.4</v>
      </c>
      <c r="O379">
        <f>IFERROR(MAX(IF(K379 &gt; 参数!$B$17,参数!$B$17+SQRT(K379-参数!$B$17)*参数!$B$18,K379)-MAX(G379,0)*参数!$B$10,0)/MAX(G379,0.4),0)</f>
        <v>2.5999999999999996</v>
      </c>
      <c r="P379">
        <f>IFERROR(MAX(IF(N379 &gt; 参数!$B$17,参数!$B$17+SQRT(N379-参数!$B$17)*参数!$B$18,N379)-MAX(H379,0)*参数!$B$10,0)/MAX(H379,0.4),0)</f>
        <v>5.4</v>
      </c>
      <c r="Q379">
        <f>卡牌总表!AO379</f>
        <v>0</v>
      </c>
    </row>
    <row r="380" spans="1:17" x14ac:dyDescent="0.3">
      <c r="A380">
        <f t="shared" si="15"/>
        <v>379</v>
      </c>
      <c r="B380" t="str">
        <f>卡牌总表!B380</f>
        <v>necrobinder_rattle</v>
      </c>
      <c r="C380" t="str">
        <f>卡牌总表!D380</f>
        <v>猛晃</v>
      </c>
      <c r="D380" t="str">
        <f>卡牌总表!F380</f>
        <v>攻击</v>
      </c>
      <c r="E380">
        <f>卡牌总表!AL380</f>
        <v>0</v>
      </c>
      <c r="F380" t="str">
        <f>卡牌总表!AN380</f>
        <v>本回合</v>
      </c>
      <c r="G380">
        <f>卡牌总表!AP380</f>
        <v>1</v>
      </c>
      <c r="H380">
        <f>IF(ISNUMBER(卡牌总表!H380),IF(AND(卡牌总表!H380=0,卡牌总表!V380=0,卡牌总表!AK380="none"),0.4,IF(卡牌总表!AK380="exhaust",MAX(卡牌总表!H380-卡牌总表!V380,0.4),IF(卡牌总表!AK380="ethereal",MAX(卡牌总表!H380-卡牌总表!V380,0.4),MAX(卡牌总表!H380-卡牌总表!V380,0.4)))),IF(OR(卡牌总表!H380="X",卡牌总表!H380="∞"),0.4,0.4))</f>
        <v>1</v>
      </c>
      <c r="I380">
        <f>卡牌总表!M380*卡牌总表!O380*参数!$B$5*IF(AND(卡牌总表!F380="能力",卡牌总表!AL380="能力持续"),参数!$B$2,1)+卡牌总表!P380*参数!$B$6*IF(AND(卡牌总表!F380="能力",卡牌总表!AL380="能力持续"),参数!$B$2,1)+卡牌总表!R380*参数!$B$7*IF(AND(卡牌总表!F380="能力",卡牌总表!AL380="能力持续"),参数!$B$2,1)+卡牌总表!V380*参数!$B$8+IF(卡牌总表!X380&lt;0,卡牌总表!X380*参数!$B$13,卡牌总表!X380*参数!$B$39)+IF(卡牌总表!AE380&lt;0,卡牌总表!AE380*参数!$B$13,卡牌总表!AE380*参数!$B$12)*参数!$B$2+卡牌总表!AQ380*参数!$B$15+卡牌总表!AB380*参数!$B$11+卡牌总表!AF380*参数!$B$40*参数!$B$2+卡牌总表!AG380*参数!$B$44*参数!$B$2+卡牌总表!AH380*参数!$B$6*参数!$B$2+卡牌总表!AI380*参数!$B$39*参数!$B$2+卡牌总表!AJ380*参数!$B$6*参数!$B$2+卡牌总表!Z380*参数!$B$13-卡牌总表!T380*参数!$B$14-卡牌总表!AD380*参数!$B$13+IF(ISNUMBER(卡牌总表!AU380),卡牌总表!AU380*参数!$B$38,0)-卡牌总表!AV380*参数!$B$41-卡牌总表!AW380*参数!$B$14</f>
        <v>14</v>
      </c>
      <c r="J380">
        <f>IF(AND(卡牌总表!F380="能力",卡牌总表!AL380="能力持续"),(参数!$B$2-1)*参数!$B$3,0)</f>
        <v>0</v>
      </c>
      <c r="K380">
        <f t="shared" si="16"/>
        <v>14</v>
      </c>
      <c r="L380">
        <f>卡牌总表!N380*卡牌总表!O380*参数!$B$5*IF(AND(卡牌总表!F380="能力",卡牌总表!AL380="能力持续"),参数!$B$2,1)+卡牌总表!Q380*参数!$B$6*IF(AND(卡牌总表!F380="能力",卡牌总表!AL380="能力持续"),参数!$B$2,1)+卡牌总表!S380*参数!$B$7*IF(AND(卡牌总表!F380="能力",卡牌总表!AL380="能力持续"),参数!$B$2,1)+卡牌总表!W380*参数!$B$8+IF(卡牌总表!Y380&lt;0,卡牌总表!Y380*参数!$B$13,卡牌总表!Y380*参数!$B$39)+IF(卡牌总表!AE380&lt;0,卡牌总表!AE380*参数!$B$13,卡牌总表!AE380*参数!$B$12)*参数!$B$2+卡牌总表!AR380*参数!$B$15+卡牌总表!AC380*参数!$B$11+卡牌总表!AF380*参数!$B$40*参数!$B$2+卡牌总表!AG380*参数!$B$44*参数!$B$2+卡牌总表!AH380*参数!$B$6*参数!$B$2+卡牌总表!AI380*参数!$B$39*参数!$B$2+卡牌总表!AJ380*参数!$B$6*参数!$B$2+卡牌总表!AA380*参数!$B$13-卡牌总表!U380*参数!$B$14-卡牌总表!AD380*参数!$B$13+IF(ISNUMBER(卡牌总表!AU380),卡牌总表!AU380*参数!$B$38,0)-卡牌总表!AV380*参数!$B$41-卡牌总表!AW380*参数!$B$14</f>
        <v>18</v>
      </c>
      <c r="M380">
        <f>IF(AND(卡牌总表!F380="能力",卡牌总表!AL380="能力持续"),参数!$B$2*参数!$B$3,0)</f>
        <v>0</v>
      </c>
      <c r="N380">
        <f t="shared" si="17"/>
        <v>18</v>
      </c>
      <c r="O380">
        <f>IFERROR(MAX(IF(K380 &gt; 参数!$B$17,参数!$B$17+SQRT(K380-参数!$B$17)*参数!$B$18,K380)-MAX(G380,0)*参数!$B$10,0)/MAX(G380,0.4),0)</f>
        <v>10</v>
      </c>
      <c r="P380">
        <f>IFERROR(MAX(IF(N380 &gt; 参数!$B$17,参数!$B$17+SQRT(N380-参数!$B$17)*参数!$B$18,N380)-MAX(H380,0)*参数!$B$10,0)/MAX(H380,0.4),0)</f>
        <v>11.242640687119286</v>
      </c>
      <c r="Q380">
        <f>卡牌总表!AO380</f>
        <v>0</v>
      </c>
    </row>
    <row r="381" spans="1:17" x14ac:dyDescent="0.3">
      <c r="A381">
        <f t="shared" si="15"/>
        <v>380</v>
      </c>
      <c r="B381" t="str">
        <f>卡牌总表!B381</f>
        <v>necrobinder_reanimate</v>
      </c>
      <c r="C381" t="str">
        <f>卡牌总表!D381</f>
        <v>死者苏生</v>
      </c>
      <c r="D381" t="str">
        <f>卡牌总表!F381</f>
        <v>技能</v>
      </c>
      <c r="E381">
        <f>卡牌总表!AL381</f>
        <v>0</v>
      </c>
      <c r="F381">
        <f>卡牌总表!AN381</f>
        <v>0</v>
      </c>
      <c r="G381">
        <f>卡牌总表!AP381</f>
        <v>3</v>
      </c>
      <c r="H381">
        <f>IF(ISNUMBER(卡牌总表!H381),IF(AND(卡牌总表!H381=0,卡牌总表!V381=0,卡牌总表!AK381="none"),0.4,IF(卡牌总表!AK381="exhaust",MAX(卡牌总表!H381-卡牌总表!V381,0.4),IF(卡牌总表!AK381="ethereal",MAX(卡牌总表!H381-卡牌总表!V381,0.4),MAX(卡牌总表!H381-卡牌总表!V381,0.4)))),IF(OR(卡牌总表!H381="X",卡牌总表!H381="∞"),0.4,0.4))</f>
        <v>3</v>
      </c>
      <c r="I381">
        <f>卡牌总表!M381*卡牌总表!O381*参数!$B$5*IF(AND(卡牌总表!F381="能力",卡牌总表!AL381="能力持续"),参数!$B$2,1)+卡牌总表!P381*参数!$B$6*IF(AND(卡牌总表!F381="能力",卡牌总表!AL381="能力持续"),参数!$B$2,1)+卡牌总表!R381*参数!$B$7*IF(AND(卡牌总表!F381="能力",卡牌总表!AL381="能力持续"),参数!$B$2,1)+卡牌总表!V381*参数!$B$8+IF(卡牌总表!X381&lt;0,卡牌总表!X381*参数!$B$13,卡牌总表!X381*参数!$B$39)+IF(卡牌总表!AE381&lt;0,卡牌总表!AE381*参数!$B$13,卡牌总表!AE381*参数!$B$12)*参数!$B$2+卡牌总表!AQ381*参数!$B$15+卡牌总表!AB381*参数!$B$11+卡牌总表!AF381*参数!$B$40*参数!$B$2+卡牌总表!AG381*参数!$B$44*参数!$B$2+卡牌总表!AH381*参数!$B$6*参数!$B$2+卡牌总表!AI381*参数!$B$39*参数!$B$2+卡牌总表!AJ381*参数!$B$6*参数!$B$2+卡牌总表!Z381*参数!$B$13-卡牌总表!T381*参数!$B$14-卡牌总表!AD381*参数!$B$13+IF(ISNUMBER(卡牌总表!AU381),卡牌总表!AU381*参数!$B$38,0)-卡牌总表!AV381*参数!$B$41-卡牌总表!AW381*参数!$B$14</f>
        <v>20</v>
      </c>
      <c r="J381">
        <f>IF(AND(卡牌总表!F381="能力",卡牌总表!AL381="能力持续"),(参数!$B$2-1)*参数!$B$3,0)</f>
        <v>0</v>
      </c>
      <c r="K381">
        <f t="shared" si="16"/>
        <v>20</v>
      </c>
      <c r="L381">
        <f>卡牌总表!N381*卡牌总表!O381*参数!$B$5*IF(AND(卡牌总表!F381="能力",卡牌总表!AL381="能力持续"),参数!$B$2,1)+卡牌总表!Q381*参数!$B$6*IF(AND(卡牌总表!F381="能力",卡牌总表!AL381="能力持续"),参数!$B$2,1)+卡牌总表!S381*参数!$B$7*IF(AND(卡牌总表!F381="能力",卡牌总表!AL381="能力持续"),参数!$B$2,1)+卡牌总表!W381*参数!$B$8+IF(卡牌总表!Y381&lt;0,卡牌总表!Y381*参数!$B$13,卡牌总表!Y381*参数!$B$39)+IF(卡牌总表!AE381&lt;0,卡牌总表!AE381*参数!$B$13,卡牌总表!AE381*参数!$B$12)*参数!$B$2+卡牌总表!AR381*参数!$B$15+卡牌总表!AC381*参数!$B$11+卡牌总表!AF381*参数!$B$40*参数!$B$2+卡牌总表!AG381*参数!$B$44*参数!$B$2+卡牌总表!AH381*参数!$B$6*参数!$B$2+卡牌总表!AI381*参数!$B$39*参数!$B$2+卡牌总表!AJ381*参数!$B$6*参数!$B$2+卡牌总表!AA381*参数!$B$13-卡牌总表!U381*参数!$B$14-卡牌总表!AD381*参数!$B$13+IF(ISNUMBER(卡牌总表!AU381),卡牌总表!AU381*参数!$B$38,0)-卡牌总表!AV381*参数!$B$41-卡牌总表!AW381*参数!$B$14</f>
        <v>20</v>
      </c>
      <c r="M381">
        <f>IF(AND(卡牌总表!F381="能力",卡牌总表!AL381="能力持续"),参数!$B$2*参数!$B$3,0)</f>
        <v>0</v>
      </c>
      <c r="N381">
        <f t="shared" si="17"/>
        <v>20</v>
      </c>
      <c r="O381">
        <f>IFERROR(MAX(IF(K381 &gt; 参数!$B$17,参数!$B$17+SQRT(K381-参数!$B$17)*参数!$B$18,K381)-MAX(G381,0)*参数!$B$10,0)/MAX(G381,0.4),0)</f>
        <v>1.914472163417523</v>
      </c>
      <c r="P381">
        <f>IFERROR(MAX(IF(N381 &gt; 参数!$B$17,参数!$B$17+SQRT(N381-参数!$B$17)*参数!$B$18,N381)-MAX(H381,0)*参数!$B$10,0)/MAX(H381,0.4),0)</f>
        <v>1.914472163417523</v>
      </c>
      <c r="Q381">
        <f>卡牌总表!AO381</f>
        <v>0</v>
      </c>
    </row>
    <row r="382" spans="1:17" x14ac:dyDescent="0.3">
      <c r="A382">
        <f t="shared" si="15"/>
        <v>381</v>
      </c>
      <c r="B382" t="str">
        <f>卡牌总表!B382</f>
        <v>necrobinder_reap</v>
      </c>
      <c r="C382" t="str">
        <f>卡牌总表!D382</f>
        <v>收割</v>
      </c>
      <c r="D382" t="str">
        <f>卡牌总表!F382</f>
        <v>攻击</v>
      </c>
      <c r="E382">
        <f>卡牌总表!AL382</f>
        <v>0</v>
      </c>
      <c r="F382">
        <f>卡牌总表!AN382</f>
        <v>0</v>
      </c>
      <c r="G382">
        <f>卡牌总表!AP382</f>
        <v>3</v>
      </c>
      <c r="H382">
        <f>IF(ISNUMBER(卡牌总表!H382),IF(AND(卡牌总表!H382=0,卡牌总表!V382=0,卡牌总表!AK382="none"),0.4,IF(卡牌总表!AK382="exhaust",MAX(卡牌总表!H382-卡牌总表!V382,0.4),IF(卡牌总表!AK382="ethereal",MAX(卡牌总表!H382-卡牌总表!V382,0.4),MAX(卡牌总表!H382-卡牌总表!V382,0.4)))),IF(OR(卡牌总表!H382="X",卡牌总表!H382="∞"),0.4,0.4))</f>
        <v>3</v>
      </c>
      <c r="I382">
        <f>卡牌总表!M382*卡牌总表!O382*参数!$B$5*IF(AND(卡牌总表!F382="能力",卡牌总表!AL382="能力持续"),参数!$B$2,1)+卡牌总表!P382*参数!$B$6*IF(AND(卡牌总表!F382="能力",卡牌总表!AL382="能力持续"),参数!$B$2,1)+卡牌总表!R382*参数!$B$7*IF(AND(卡牌总表!F382="能力",卡牌总表!AL382="能力持续"),参数!$B$2,1)+卡牌总表!V382*参数!$B$8+IF(卡牌总表!X382&lt;0,卡牌总表!X382*参数!$B$13,卡牌总表!X382*参数!$B$39)+IF(卡牌总表!AE382&lt;0,卡牌总表!AE382*参数!$B$13,卡牌总表!AE382*参数!$B$12)*参数!$B$2+卡牌总表!AQ382*参数!$B$15+卡牌总表!AB382*参数!$B$11+卡牌总表!AF382*参数!$B$40*参数!$B$2+卡牌总表!AG382*参数!$B$44*参数!$B$2+卡牌总表!AH382*参数!$B$6*参数!$B$2+卡牌总表!AI382*参数!$B$39*参数!$B$2+卡牌总表!AJ382*参数!$B$6*参数!$B$2+卡牌总表!Z382*参数!$B$13-卡牌总表!T382*参数!$B$14-卡牌总表!AD382*参数!$B$13+IF(ISNUMBER(卡牌总表!AU382),卡牌总表!AU382*参数!$B$38,0)-卡牌总表!AV382*参数!$B$41-卡牌总表!AW382*参数!$B$14</f>
        <v>27</v>
      </c>
      <c r="J382">
        <f>IF(AND(卡牌总表!F382="能力",卡牌总表!AL382="能力持续"),(参数!$B$2-1)*参数!$B$3,0)</f>
        <v>0</v>
      </c>
      <c r="K382">
        <f t="shared" si="16"/>
        <v>27</v>
      </c>
      <c r="L382">
        <f>卡牌总表!N382*卡牌总表!O382*参数!$B$5*IF(AND(卡牌总表!F382="能力",卡牌总表!AL382="能力持续"),参数!$B$2,1)+卡牌总表!Q382*参数!$B$6*IF(AND(卡牌总表!F382="能力",卡牌总表!AL382="能力持续"),参数!$B$2,1)+卡牌总表!S382*参数!$B$7*IF(AND(卡牌总表!F382="能力",卡牌总表!AL382="能力持续"),参数!$B$2,1)+卡牌总表!W382*参数!$B$8+IF(卡牌总表!Y382&lt;0,卡牌总表!Y382*参数!$B$13,卡牌总表!Y382*参数!$B$39)+IF(卡牌总表!AE382&lt;0,卡牌总表!AE382*参数!$B$13,卡牌总表!AE382*参数!$B$12)*参数!$B$2+卡牌总表!AR382*参数!$B$15+卡牌总表!AC382*参数!$B$11+卡牌总表!AF382*参数!$B$40*参数!$B$2+卡牌总表!AG382*参数!$B$44*参数!$B$2+卡牌总表!AH382*参数!$B$6*参数!$B$2+卡牌总表!AI382*参数!$B$39*参数!$B$2+卡牌总表!AJ382*参数!$B$6*参数!$B$2+卡牌总表!AA382*参数!$B$13-卡牌总表!U382*参数!$B$14-卡牌总表!AD382*参数!$B$13+IF(ISNUMBER(卡牌总表!AU382),卡牌总表!AU382*参数!$B$38,0)-卡牌总表!AV382*参数!$B$41-卡牌总表!AW382*参数!$B$14</f>
        <v>33</v>
      </c>
      <c r="M382">
        <f>IF(AND(卡牌总表!F382="能力",卡牌总表!AL382="能力持续"),参数!$B$2*参数!$B$3,0)</f>
        <v>0</v>
      </c>
      <c r="N382">
        <f t="shared" si="17"/>
        <v>33</v>
      </c>
      <c r="O382">
        <f>IFERROR(MAX(IF(K382 &gt; 参数!$B$17,参数!$B$17+SQRT(K382-参数!$B$17)*参数!$B$18,K382)-MAX(G382,0)*参数!$B$10,0)/MAX(G382,0.4),0)</f>
        <v>2.3948861461421629</v>
      </c>
      <c r="P382">
        <f>IFERROR(MAX(IF(N382 &gt; 参数!$B$17,参数!$B$17+SQRT(N382-参数!$B$17)*参数!$B$18,N382)-MAX(H382,0)*参数!$B$10,0)/MAX(H382,0.4),0)</f>
        <v>2.7312490949896926</v>
      </c>
      <c r="Q382">
        <f>卡牌总表!AO382</f>
        <v>0</v>
      </c>
    </row>
    <row r="383" spans="1:17" x14ac:dyDescent="0.3">
      <c r="A383">
        <f t="shared" si="15"/>
        <v>382</v>
      </c>
      <c r="B383" t="str">
        <f>卡牌总表!B383</f>
        <v>necrobinder_reaper_form</v>
      </c>
      <c r="C383" t="str">
        <f>卡牌总表!D383</f>
        <v>死神形态</v>
      </c>
      <c r="D383" t="str">
        <f>卡牌总表!F383</f>
        <v>能力</v>
      </c>
      <c r="E383" t="str">
        <f>卡牌总表!AL383</f>
        <v>能力持续</v>
      </c>
      <c r="F383" t="str">
        <f>卡牌总表!AN383</f>
        <v>能力</v>
      </c>
      <c r="G383">
        <f>卡牌总表!AP383</f>
        <v>3</v>
      </c>
      <c r="H383">
        <f>IF(ISNUMBER(卡牌总表!H383),IF(AND(卡牌总表!H383=0,卡牌总表!V383=0,卡牌总表!AK383="none"),0.4,IF(卡牌总表!AK383="exhaust",MAX(卡牌总表!H383-卡牌总表!V383,0.4),IF(卡牌总表!AK383="ethereal",MAX(卡牌总表!H383-卡牌总表!V383,0.4),MAX(卡牌总表!H383-卡牌总表!V383,0.4)))),IF(OR(卡牌总表!H383="X",卡牌总表!H383="∞"),0.4,0.4))</f>
        <v>3</v>
      </c>
      <c r="I383">
        <f>卡牌总表!M383*卡牌总表!O383*参数!$B$5*IF(AND(卡牌总表!F383="能力",卡牌总表!AL383="能力持续"),参数!$B$2,1)+卡牌总表!P383*参数!$B$6*IF(AND(卡牌总表!F383="能力",卡牌总表!AL383="能力持续"),参数!$B$2,1)+卡牌总表!R383*参数!$B$7*IF(AND(卡牌总表!F383="能力",卡牌总表!AL383="能力持续"),参数!$B$2,1)+卡牌总表!V383*参数!$B$8+IF(卡牌总表!X383&lt;0,卡牌总表!X383*参数!$B$13,卡牌总表!X383*参数!$B$39)+IF(卡牌总表!AE383&lt;0,卡牌总表!AE383*参数!$B$13,卡牌总表!AE383*参数!$B$12)*参数!$B$2+卡牌总表!AQ383*参数!$B$15+卡牌总表!AB383*参数!$B$11+卡牌总表!AF383*参数!$B$40*参数!$B$2+卡牌总表!AG383*参数!$B$44*参数!$B$2+卡牌总表!AH383*参数!$B$6*参数!$B$2+卡牌总表!AI383*参数!$B$39*参数!$B$2+卡牌总表!AJ383*参数!$B$6*参数!$B$2+卡牌总表!Z383*参数!$B$13-卡牌总表!T383*参数!$B$14-卡牌总表!AD383*参数!$B$13+IF(ISNUMBER(卡牌总表!AU383),卡牌总表!AU383*参数!$B$38,0)-卡牌总表!AV383*参数!$B$41-卡牌总表!AW383*参数!$B$14</f>
        <v>8.3999999999999986</v>
      </c>
      <c r="J383">
        <f>IF(AND(卡牌总表!F383="能力",卡牌总表!AL383="能力持续"),(参数!$B$2-1)*参数!$B$3,0)</f>
        <v>3.5999999999999996</v>
      </c>
      <c r="K383">
        <f t="shared" si="16"/>
        <v>11.999999999999998</v>
      </c>
      <c r="L383">
        <f>卡牌总表!N383*卡牌总表!O383*参数!$B$5*IF(AND(卡牌总表!F383="能力",卡牌总表!AL383="能力持续"),参数!$B$2,1)+卡牌总表!Q383*参数!$B$6*IF(AND(卡牌总表!F383="能力",卡牌总表!AL383="能力持续"),参数!$B$2,1)+卡牌总表!S383*参数!$B$7*IF(AND(卡牌总表!F383="能力",卡牌总表!AL383="能力持续"),参数!$B$2,1)+卡牌总表!W383*参数!$B$8+IF(卡牌总表!Y383&lt;0,卡牌总表!Y383*参数!$B$13,卡牌总表!Y383*参数!$B$39)+IF(卡牌总表!AE383&lt;0,卡牌总表!AE383*参数!$B$13,卡牌总表!AE383*参数!$B$12)*参数!$B$2+卡牌总表!AR383*参数!$B$15+卡牌总表!AC383*参数!$B$11+卡牌总表!AF383*参数!$B$40*参数!$B$2+卡牌总表!AG383*参数!$B$44*参数!$B$2+卡牌总表!AH383*参数!$B$6*参数!$B$2+卡牌总表!AI383*参数!$B$39*参数!$B$2+卡牌总表!AJ383*参数!$B$6*参数!$B$2+卡牌总表!AA383*参数!$B$13-卡牌总表!U383*参数!$B$14-卡牌总表!AD383*参数!$B$13+IF(ISNUMBER(卡牌总表!AU383),卡牌总表!AU383*参数!$B$38,0)-卡牌总表!AV383*参数!$B$41-卡牌总表!AW383*参数!$B$14</f>
        <v>8.3999999999999986</v>
      </c>
      <c r="M383">
        <f>IF(AND(卡牌总表!F383="能力",卡牌总表!AL383="能力持续"),参数!$B$2*参数!$B$3,0)</f>
        <v>4.8</v>
      </c>
      <c r="N383">
        <f t="shared" si="17"/>
        <v>13.2</v>
      </c>
      <c r="O383">
        <f>IFERROR(MAX(IF(K383 &gt; 参数!$B$17,参数!$B$17+SQRT(K383-参数!$B$17)*参数!$B$18,K383)-MAX(G383,0)*参数!$B$10,0)/MAX(G383,0.4),0)</f>
        <v>1.0404401145198807</v>
      </c>
      <c r="P383">
        <f>IFERROR(MAX(IF(N383 &gt; 参数!$B$17,参数!$B$17+SQRT(N383-参数!$B$17)*参数!$B$18,N383)-MAX(H383,0)*参数!$B$10,0)/MAX(H383,0.4),0)</f>
        <v>1.2277605243332488</v>
      </c>
      <c r="Q383">
        <f>卡牌总表!AO383</f>
        <v>0</v>
      </c>
    </row>
    <row r="384" spans="1:17" x14ac:dyDescent="0.3">
      <c r="A384">
        <f t="shared" si="15"/>
        <v>383</v>
      </c>
      <c r="B384" t="str">
        <f>卡牌总表!B384</f>
        <v>necrobinder_reave</v>
      </c>
      <c r="C384" t="str">
        <f>卡牌总表!D384</f>
        <v>剥夺</v>
      </c>
      <c r="D384" t="str">
        <f>卡牌总表!F384</f>
        <v>攻击</v>
      </c>
      <c r="E384">
        <f>卡牌总表!AL384</f>
        <v>0</v>
      </c>
      <c r="F384">
        <f>卡牌总表!AN384</f>
        <v>0</v>
      </c>
      <c r="G384">
        <f>卡牌总表!AP384</f>
        <v>1</v>
      </c>
      <c r="H384">
        <f>IF(ISNUMBER(卡牌总表!H384),IF(AND(卡牌总表!H384=0,卡牌总表!V384=0,卡牌总表!AK384="none"),0.4,IF(卡牌总表!AK384="exhaust",MAX(卡牌总表!H384-卡牌总表!V384,0.4),IF(卡牌总表!AK384="ethereal",MAX(卡牌总表!H384-卡牌总表!V384,0.4),MAX(卡牌总表!H384-卡牌总表!V384,0.4)))),IF(OR(卡牌总表!H384="X",卡牌总表!H384="∞"),0.4,0.4))</f>
        <v>1</v>
      </c>
      <c r="I384">
        <f>卡牌总表!M384*卡牌总表!O384*参数!$B$5*IF(AND(卡牌总表!F384="能力",卡牌总表!AL384="能力持续"),参数!$B$2,1)+卡牌总表!P384*参数!$B$6*IF(AND(卡牌总表!F384="能力",卡牌总表!AL384="能力持续"),参数!$B$2,1)+卡牌总表!R384*参数!$B$7*IF(AND(卡牌总表!F384="能力",卡牌总表!AL384="能力持续"),参数!$B$2,1)+卡牌总表!V384*参数!$B$8+IF(卡牌总表!X384&lt;0,卡牌总表!X384*参数!$B$13,卡牌总表!X384*参数!$B$39)+IF(卡牌总表!AE384&lt;0,卡牌总表!AE384*参数!$B$13,卡牌总表!AE384*参数!$B$12)*参数!$B$2+卡牌总表!AQ384*参数!$B$15+卡牌总表!AB384*参数!$B$11+卡牌总表!AF384*参数!$B$40*参数!$B$2+卡牌总表!AG384*参数!$B$44*参数!$B$2+卡牌总表!AH384*参数!$B$6*参数!$B$2+卡牌总表!AI384*参数!$B$39*参数!$B$2+卡牌总表!AJ384*参数!$B$6*参数!$B$2+卡牌总表!Z384*参数!$B$13-卡牌总表!T384*参数!$B$14-卡牌总表!AD384*参数!$B$13+IF(ISNUMBER(卡牌总表!AU384),卡牌总表!AU384*参数!$B$38,0)-卡牌总表!AV384*参数!$B$41-卡牌总表!AW384*参数!$B$14</f>
        <v>9.6999999999999993</v>
      </c>
      <c r="J384">
        <f>IF(AND(卡牌总表!F384="能力",卡牌总表!AL384="能力持续"),(参数!$B$2-1)*参数!$B$3,0)</f>
        <v>0</v>
      </c>
      <c r="K384">
        <f t="shared" si="16"/>
        <v>9.6999999999999993</v>
      </c>
      <c r="L384">
        <f>卡牌总表!N384*卡牌总表!O384*参数!$B$5*IF(AND(卡牌总表!F384="能力",卡牌总表!AL384="能力持续"),参数!$B$2,1)+卡牌总表!Q384*参数!$B$6*IF(AND(卡牌总表!F384="能力",卡牌总表!AL384="能力持续"),参数!$B$2,1)+卡牌总表!S384*参数!$B$7*IF(AND(卡牌总表!F384="能力",卡牌总表!AL384="能力持续"),参数!$B$2,1)+卡牌总表!W384*参数!$B$8+IF(卡牌总表!Y384&lt;0,卡牌总表!Y384*参数!$B$13,卡牌总表!Y384*参数!$B$39)+IF(卡牌总表!AE384&lt;0,卡牌总表!AE384*参数!$B$13,卡牌总表!AE384*参数!$B$12)*参数!$B$2+卡牌总表!AR384*参数!$B$15+卡牌总表!AC384*参数!$B$11+卡牌总表!AF384*参数!$B$40*参数!$B$2+卡牌总表!AG384*参数!$B$44*参数!$B$2+卡牌总表!AH384*参数!$B$6*参数!$B$2+卡牌总表!AI384*参数!$B$39*参数!$B$2+卡牌总表!AJ384*参数!$B$6*参数!$B$2+卡牌总表!AA384*参数!$B$13-卡牌总表!U384*参数!$B$14-卡牌总表!AD384*参数!$B$13+IF(ISNUMBER(卡牌总表!AU384),卡牌总表!AU384*参数!$B$38,0)-卡牌总表!AV384*参数!$B$41-卡牌总表!AW384*参数!$B$14</f>
        <v>14.4</v>
      </c>
      <c r="M384">
        <f>IF(AND(卡牌总表!F384="能力",卡牌总表!AL384="能力持续"),参数!$B$2*参数!$B$3,0)</f>
        <v>0</v>
      </c>
      <c r="N384">
        <f t="shared" si="17"/>
        <v>14.4</v>
      </c>
      <c r="O384">
        <f>IFERROR(MAX(IF(K384 &gt; 参数!$B$17,参数!$B$17+SQRT(K384-参数!$B$17)*参数!$B$18,K384)-MAX(G384,0)*参数!$B$10,0)/MAX(G384,0.4),0)</f>
        <v>6.6999999999999993</v>
      </c>
      <c r="P384">
        <f>IFERROR(MAX(IF(N384 &gt; 参数!$B$17,参数!$B$17+SQRT(N384-参数!$B$17)*参数!$B$18,N384)-MAX(H384,0)*参数!$B$10,0)/MAX(H384,0.4),0)</f>
        <v>10.146426544510454</v>
      </c>
      <c r="Q384">
        <f>卡牌总表!AO384</f>
        <v>0</v>
      </c>
    </row>
    <row r="385" spans="1:17" x14ac:dyDescent="0.3">
      <c r="A385">
        <f t="shared" si="15"/>
        <v>384</v>
      </c>
      <c r="B385" t="str">
        <f>卡牌总表!B385</f>
        <v>necrobinder_right_hand_hand</v>
      </c>
      <c r="C385" t="str">
        <f>卡牌总表!D385</f>
        <v>得力助手</v>
      </c>
      <c r="D385" t="str">
        <f>卡牌总表!F385</f>
        <v>攻击</v>
      </c>
      <c r="E385">
        <f>卡牌总表!AL385</f>
        <v>0</v>
      </c>
      <c r="F385">
        <f>卡牌总表!AN385</f>
        <v>0</v>
      </c>
      <c r="G385">
        <f>卡牌总表!AP385</f>
        <v>0.4</v>
      </c>
      <c r="H385">
        <f>IF(ISNUMBER(卡牌总表!H385),IF(AND(卡牌总表!H385=0,卡牌总表!V385=0,卡牌总表!AK385="none"),0.4,IF(卡牌总表!AK385="exhaust",MAX(卡牌总表!H385-卡牌总表!V385,0.4),IF(卡牌总表!AK385="ethereal",MAX(卡牌总表!H385-卡牌总表!V385,0.4),MAX(卡牌总表!H385-卡牌总表!V385,0.4)))),IF(OR(卡牌总表!H385="X",卡牌总表!H385="∞"),0.4,0.4))</f>
        <v>0.4</v>
      </c>
      <c r="I385">
        <f>卡牌总表!M385*卡牌总表!O385*参数!$B$5*IF(AND(卡牌总表!F385="能力",卡牌总表!AL385="能力持续"),参数!$B$2,1)+卡牌总表!P385*参数!$B$6*IF(AND(卡牌总表!F385="能力",卡牌总表!AL385="能力持续"),参数!$B$2,1)+卡牌总表!R385*参数!$B$7*IF(AND(卡牌总表!F385="能力",卡牌总表!AL385="能力持续"),参数!$B$2,1)+卡牌总表!V385*参数!$B$8+IF(卡牌总表!X385&lt;0,卡牌总表!X385*参数!$B$13,卡牌总表!X385*参数!$B$39)+IF(卡牌总表!AE385&lt;0,卡牌总表!AE385*参数!$B$13,卡牌总表!AE385*参数!$B$12)*参数!$B$2+卡牌总表!AQ385*参数!$B$15+卡牌总表!AB385*参数!$B$11+卡牌总表!AF385*参数!$B$40*参数!$B$2+卡牌总表!AG385*参数!$B$44*参数!$B$2+卡牌总表!AH385*参数!$B$6*参数!$B$2+卡牌总表!AI385*参数!$B$39*参数!$B$2+卡牌总表!AJ385*参数!$B$6*参数!$B$2+卡牌总表!Z385*参数!$B$13-卡牌总表!T385*参数!$B$14-卡牌总表!AD385*参数!$B$13+IF(ISNUMBER(卡牌总表!AU385),卡牌总表!AU385*参数!$B$38,0)-卡牌总表!AV385*参数!$B$41-卡牌总表!AW385*参数!$B$14</f>
        <v>6</v>
      </c>
      <c r="J385">
        <f>IF(AND(卡牌总表!F385="能力",卡牌总表!AL385="能力持续"),(参数!$B$2-1)*参数!$B$3,0)</f>
        <v>0</v>
      </c>
      <c r="K385">
        <f t="shared" si="16"/>
        <v>6</v>
      </c>
      <c r="L385">
        <f>卡牌总表!N385*卡牌总表!O385*参数!$B$5*IF(AND(卡牌总表!F385="能力",卡牌总表!AL385="能力持续"),参数!$B$2,1)+卡牌总表!Q385*参数!$B$6*IF(AND(卡牌总表!F385="能力",卡牌总表!AL385="能力持续"),参数!$B$2,1)+卡牌总表!S385*参数!$B$7*IF(AND(卡牌总表!F385="能力",卡牌总表!AL385="能力持续"),参数!$B$2,1)+卡牌总表!W385*参数!$B$8+IF(卡牌总表!Y385&lt;0,卡牌总表!Y385*参数!$B$13,卡牌总表!Y385*参数!$B$39)+IF(卡牌总表!AE385&lt;0,卡牌总表!AE385*参数!$B$13,卡牌总表!AE385*参数!$B$12)*参数!$B$2+卡牌总表!AR385*参数!$B$15+卡牌总表!AC385*参数!$B$11+卡牌总表!AF385*参数!$B$40*参数!$B$2+卡牌总表!AG385*参数!$B$44*参数!$B$2+卡牌总表!AH385*参数!$B$6*参数!$B$2+卡牌总表!AI385*参数!$B$39*参数!$B$2+卡牌总表!AJ385*参数!$B$6*参数!$B$2+卡牌总表!AA385*参数!$B$13-卡牌总表!U385*参数!$B$14-卡牌总表!AD385*参数!$B$13+IF(ISNUMBER(卡牌总表!AU385),卡牌总表!AU385*参数!$B$38,0)-卡牌总表!AV385*参数!$B$41-卡牌总表!AW385*参数!$B$14</f>
        <v>9</v>
      </c>
      <c r="M385">
        <f>IF(AND(卡牌总表!F385="能力",卡牌总表!AL385="能力持续"),参数!$B$2*参数!$B$3,0)</f>
        <v>0</v>
      </c>
      <c r="N385">
        <f t="shared" si="17"/>
        <v>9</v>
      </c>
      <c r="O385">
        <f>IFERROR(MAX(IF(K385 &gt; 参数!$B$17,参数!$B$17+SQRT(K385-参数!$B$17)*参数!$B$18,K385)-MAX(G385,0)*参数!$B$10,0)/MAX(G385,0.4),0)</f>
        <v>11.999999999999998</v>
      </c>
      <c r="P385">
        <f>IFERROR(MAX(IF(N385 &gt; 参数!$B$17,参数!$B$17+SQRT(N385-参数!$B$17)*参数!$B$18,N385)-MAX(H385,0)*参数!$B$10,0)/MAX(H385,0.4),0)</f>
        <v>19.5</v>
      </c>
      <c r="Q385">
        <f>卡牌总表!AO385</f>
        <v>0</v>
      </c>
    </row>
    <row r="386" spans="1:17" x14ac:dyDescent="0.3">
      <c r="A386">
        <f t="shared" ref="A386:A401" si="18">ROW()-1</f>
        <v>385</v>
      </c>
      <c r="B386" t="str">
        <f>卡牌总表!B386</f>
        <v>necrobinder_sacrifice</v>
      </c>
      <c r="C386" t="str">
        <f>卡牌总表!D386</f>
        <v>牺牲</v>
      </c>
      <c r="D386" t="str">
        <f>卡牌总表!F386</f>
        <v>技能</v>
      </c>
      <c r="E386">
        <f>卡牌总表!AL386</f>
        <v>0</v>
      </c>
      <c r="F386">
        <f>卡牌总表!AN386</f>
        <v>0</v>
      </c>
      <c r="G386">
        <f>卡牌总表!AP386</f>
        <v>1</v>
      </c>
      <c r="H386">
        <f>IF(ISNUMBER(卡牌总表!H386),IF(AND(卡牌总表!H386=0,卡牌总表!V386=0,卡牌总表!AK386="none"),0.4,IF(卡牌总表!AK386="exhaust",MAX(卡牌总表!H386-卡牌总表!V386,0.4),IF(卡牌总表!AK386="ethereal",MAX(卡牌总表!H386-卡牌总表!V386,0.4),MAX(卡牌总表!H386-卡牌总表!V386,0.4)))),IF(OR(卡牌总表!H386="X",卡牌总表!H386="∞"),0.4,0.4))</f>
        <v>1</v>
      </c>
      <c r="I386">
        <f>卡牌总表!M386*卡牌总表!O386*参数!$B$5*IF(AND(卡牌总表!F386="能力",卡牌总表!AL386="能力持续"),参数!$B$2,1)+卡牌总表!P386*参数!$B$6*IF(AND(卡牌总表!F386="能力",卡牌总表!AL386="能力持续"),参数!$B$2,1)+卡牌总表!R386*参数!$B$7*IF(AND(卡牌总表!F386="能力",卡牌总表!AL386="能力持续"),参数!$B$2,1)+卡牌总表!V386*参数!$B$8+IF(卡牌总表!X386&lt;0,卡牌总表!X386*参数!$B$13,卡牌总表!X386*参数!$B$39)+IF(卡牌总表!AE386&lt;0,卡牌总表!AE386*参数!$B$13,卡牌总表!AE386*参数!$B$12)*参数!$B$2+卡牌总表!AQ386*参数!$B$15+卡牌总表!AB386*参数!$B$11+卡牌总表!AF386*参数!$B$40*参数!$B$2+卡牌总表!AG386*参数!$B$44*参数!$B$2+卡牌总表!AH386*参数!$B$6*参数!$B$2+卡牌总表!AI386*参数!$B$39*参数!$B$2+卡牌总表!AJ386*参数!$B$6*参数!$B$2+卡牌总表!Z386*参数!$B$13-卡牌总表!T386*参数!$B$14-卡牌总表!AD386*参数!$B$13+IF(ISNUMBER(卡牌总表!AU386),卡牌总表!AU386*参数!$B$38,0)-卡牌总表!AV386*参数!$B$41-卡牌总表!AW386*参数!$B$14</f>
        <v>33</v>
      </c>
      <c r="J386">
        <f>IF(AND(卡牌总表!F386="能力",卡牌总表!AL386="能力持续"),(参数!$B$2-1)*参数!$B$3,0)</f>
        <v>0</v>
      </c>
      <c r="K386">
        <f t="shared" ref="K386:K401" si="19">I386+J386</f>
        <v>33</v>
      </c>
      <c r="L386">
        <f>卡牌总表!N386*卡牌总表!O386*参数!$B$5*IF(AND(卡牌总表!F386="能力",卡牌总表!AL386="能力持续"),参数!$B$2,1)+卡牌总表!Q386*参数!$B$6*IF(AND(卡牌总表!F386="能力",卡牌总表!AL386="能力持续"),参数!$B$2,1)+卡牌总表!S386*参数!$B$7*IF(AND(卡牌总表!F386="能力",卡牌总表!AL386="能力持续"),参数!$B$2,1)+卡牌总表!W386*参数!$B$8+IF(卡牌总表!Y386&lt;0,卡牌总表!Y386*参数!$B$13,卡牌总表!Y386*参数!$B$39)+IF(卡牌总表!AE386&lt;0,卡牌总表!AE386*参数!$B$13,卡牌总表!AE386*参数!$B$12)*参数!$B$2+卡牌总表!AR386*参数!$B$15+卡牌总表!AC386*参数!$B$11+卡牌总表!AF386*参数!$B$40*参数!$B$2+卡牌总表!AG386*参数!$B$44*参数!$B$2+卡牌总表!AH386*参数!$B$6*参数!$B$2+卡牌总表!AI386*参数!$B$39*参数!$B$2+卡牌总表!AJ386*参数!$B$6*参数!$B$2+卡牌总表!AA386*参数!$B$13-卡牌总表!U386*参数!$B$14-卡牌总表!AD386*参数!$B$13+IF(ISNUMBER(卡牌总表!AU386),卡牌总表!AU386*参数!$B$38,0)-卡牌总表!AV386*参数!$B$41-卡牌总表!AW386*参数!$B$14</f>
        <v>0</v>
      </c>
      <c r="M386">
        <f>IF(AND(卡牌总表!F386="能力",卡牌总表!AL386="能力持续"),参数!$B$2*参数!$B$3,0)</f>
        <v>0</v>
      </c>
      <c r="N386">
        <f t="shared" ref="N386:N401" si="20">L386+M386</f>
        <v>0</v>
      </c>
      <c r="O386">
        <f>IFERROR(MAX(IF(K386 &gt; 参数!$B$17,参数!$B$17+SQRT(K386-参数!$B$17)*参数!$B$18,K386)-MAX(G386,0)*参数!$B$10,0)/MAX(G386,0.4),0)</f>
        <v>14.193747284969078</v>
      </c>
      <c r="P386">
        <f>IFERROR(MAX(IF(N386 &gt; 参数!$B$17,参数!$B$17+SQRT(N386-参数!$B$17)*参数!$B$18,N386)-MAX(H386,0)*参数!$B$10,0)/MAX(H386,0.4),0)</f>
        <v>0</v>
      </c>
      <c r="Q386">
        <f>卡牌总表!AO386</f>
        <v>0</v>
      </c>
    </row>
    <row r="387" spans="1:17" x14ac:dyDescent="0.3">
      <c r="A387">
        <f t="shared" si="18"/>
        <v>386</v>
      </c>
      <c r="B387" t="str">
        <f>卡牌总表!B387</f>
        <v>necrobinder_scourge</v>
      </c>
      <c r="C387" t="str">
        <f>卡牌总表!D387</f>
        <v>鞭打</v>
      </c>
      <c r="D387" t="str">
        <f>卡牌总表!F387</f>
        <v>技能</v>
      </c>
      <c r="E387">
        <f>卡牌总表!AL387</f>
        <v>0</v>
      </c>
      <c r="F387">
        <f>卡牌总表!AN387</f>
        <v>0</v>
      </c>
      <c r="G387">
        <f>卡牌总表!AP387</f>
        <v>1</v>
      </c>
      <c r="H387">
        <f>IF(ISNUMBER(卡牌总表!H387),IF(AND(卡牌总表!H387=0,卡牌总表!V387=0,卡牌总表!AK387="none"),0.4,IF(卡牌总表!AK387="exhaust",MAX(卡牌总表!H387-卡牌总表!V387,0.4),IF(卡牌总表!AK387="ethereal",MAX(卡牌总表!H387-卡牌总表!V387,0.4),MAX(卡牌总表!H387-卡牌总表!V387,0.4)))),IF(OR(卡牌总表!H387="X",卡牌总表!H387="∞"),0.4,0.4))</f>
        <v>1</v>
      </c>
      <c r="I387">
        <f>卡牌总表!M387*卡牌总表!O387*参数!$B$5*IF(AND(卡牌总表!F387="能力",卡牌总表!AL387="能力持续"),参数!$B$2,1)+卡牌总表!P387*参数!$B$6*IF(AND(卡牌总表!F387="能力",卡牌总表!AL387="能力持续"),参数!$B$2,1)+卡牌总表!R387*参数!$B$7*IF(AND(卡牌总表!F387="能力",卡牌总表!AL387="能力持续"),参数!$B$2,1)+卡牌总表!V387*参数!$B$8+IF(卡牌总表!X387&lt;0,卡牌总表!X387*参数!$B$13,卡牌总表!X387*参数!$B$39)+IF(卡牌总表!AE387&lt;0,卡牌总表!AE387*参数!$B$13,卡牌总表!AE387*参数!$B$12)*参数!$B$2+卡牌总表!AQ387*参数!$B$15+卡牌总表!AB387*参数!$B$11+卡牌总表!AF387*参数!$B$40*参数!$B$2+卡牌总表!AG387*参数!$B$44*参数!$B$2+卡牌总表!AH387*参数!$B$6*参数!$B$2+卡牌总表!AI387*参数!$B$39*参数!$B$2+卡牌总表!AJ387*参数!$B$6*参数!$B$2+卡牌总表!Z387*参数!$B$13-卡牌总表!T387*参数!$B$14-卡牌总表!AD387*参数!$B$13+IF(ISNUMBER(卡牌总表!AU387),卡牌总表!AU387*参数!$B$38,0)-卡牌总表!AV387*参数!$B$41-卡牌总表!AW387*参数!$B$14</f>
        <v>37.1</v>
      </c>
      <c r="J387">
        <f>IF(AND(卡牌总表!F387="能力",卡牌总表!AL387="能力持续"),(参数!$B$2-1)*参数!$B$3,0)</f>
        <v>0</v>
      </c>
      <c r="K387">
        <f t="shared" si="19"/>
        <v>37.1</v>
      </c>
      <c r="L387">
        <f>卡牌总表!N387*卡牌总表!O387*参数!$B$5*IF(AND(卡牌总表!F387="能力",卡牌总表!AL387="能力持续"),参数!$B$2,1)+卡牌总表!Q387*参数!$B$6*IF(AND(卡牌总表!F387="能力",卡牌总表!AL387="能力持续"),参数!$B$2,1)+卡牌总表!S387*参数!$B$7*IF(AND(卡牌总表!F387="能力",卡牌总表!AL387="能力持续"),参数!$B$2,1)+卡牌总表!W387*参数!$B$8+IF(卡牌总表!Y387&lt;0,卡牌总表!Y387*参数!$B$13,卡牌总表!Y387*参数!$B$39)+IF(卡牌总表!AE387&lt;0,卡牌总表!AE387*参数!$B$13,卡牌总表!AE387*参数!$B$12)*参数!$B$2+卡牌总表!AR387*参数!$B$15+卡牌总表!AC387*参数!$B$11+卡牌总表!AF387*参数!$B$40*参数!$B$2+卡牌总表!AG387*参数!$B$44*参数!$B$2+卡牌总表!AH387*参数!$B$6*参数!$B$2+卡牌总表!AI387*参数!$B$39*参数!$B$2+卡牌总表!AJ387*参数!$B$6*参数!$B$2+卡牌总表!AA387*参数!$B$13-卡牌总表!U387*参数!$B$14-卡牌总表!AD387*参数!$B$13+IF(ISNUMBER(卡牌总表!AU387),卡牌总表!AU387*参数!$B$38,0)-卡牌总表!AV387*参数!$B$41-卡牌总表!AW387*参数!$B$14</f>
        <v>37.799999999999997</v>
      </c>
      <c r="M387">
        <f>IF(AND(卡牌总表!F387="能力",卡牌总表!AL387="能力持续"),参数!$B$2*参数!$B$3,0)</f>
        <v>0</v>
      </c>
      <c r="N387">
        <f t="shared" si="20"/>
        <v>37.799999999999997</v>
      </c>
      <c r="O387">
        <f>IFERROR(MAX(IF(K387 &gt; 参数!$B$17,参数!$B$17+SQRT(K387-参数!$B$17)*参数!$B$18,K387)-MAX(G387,0)*参数!$B$10,0)/MAX(G387,0.4),0)</f>
        <v>14.808649050892221</v>
      </c>
      <c r="P387">
        <f>IFERROR(MAX(IF(N387 &gt; 参数!$B$17,参数!$B$17+SQRT(N387-参数!$B$17)*参数!$B$18,N387)-MAX(H387,0)*参数!$B$10,0)/MAX(H387,0.4),0)</f>
        <v>14.908855795878441</v>
      </c>
      <c r="Q387">
        <f>卡牌总表!AO387</f>
        <v>0</v>
      </c>
    </row>
    <row r="388" spans="1:17" x14ac:dyDescent="0.3">
      <c r="A388">
        <f t="shared" si="18"/>
        <v>387</v>
      </c>
      <c r="B388" t="str">
        <f>卡牌总表!B388</f>
        <v>necrobinder_sculpting_strike</v>
      </c>
      <c r="C388" t="str">
        <f>卡牌总表!D388</f>
        <v>雕琢打击</v>
      </c>
      <c r="D388" t="str">
        <f>卡牌总表!F388</f>
        <v>攻击</v>
      </c>
      <c r="E388">
        <f>卡牌总表!AL388</f>
        <v>0</v>
      </c>
      <c r="F388">
        <f>卡牌总表!AN388</f>
        <v>0</v>
      </c>
      <c r="G388">
        <f>卡牌总表!AP388</f>
        <v>1</v>
      </c>
      <c r="H388">
        <f>IF(ISNUMBER(卡牌总表!H388),IF(AND(卡牌总表!H388=0,卡牌总表!V388=0,卡牌总表!AK388="none"),0.4,IF(卡牌总表!AK388="exhaust",MAX(卡牌总表!H388-卡牌总表!V388,0.4),IF(卡牌总表!AK388="ethereal",MAX(卡牌总表!H388-卡牌总表!V388,0.4),MAX(卡牌总表!H388-卡牌总表!V388,0.4)))),IF(OR(卡牌总表!H388="X",卡牌总表!H388="∞"),0.4,0.4))</f>
        <v>1</v>
      </c>
      <c r="I388">
        <f>卡牌总表!M388*卡牌总表!O388*参数!$B$5*IF(AND(卡牌总表!F388="能力",卡牌总表!AL388="能力持续"),参数!$B$2,1)+卡牌总表!P388*参数!$B$6*IF(AND(卡牌总表!F388="能力",卡牌总表!AL388="能力持续"),参数!$B$2,1)+卡牌总表!R388*参数!$B$7*IF(AND(卡牌总表!F388="能力",卡牌总表!AL388="能力持续"),参数!$B$2,1)+卡牌总表!V388*参数!$B$8+IF(卡牌总表!X388&lt;0,卡牌总表!X388*参数!$B$13,卡牌总表!X388*参数!$B$39)+IF(卡牌总表!AE388&lt;0,卡牌总表!AE388*参数!$B$13,卡牌总表!AE388*参数!$B$12)*参数!$B$2+卡牌总表!AQ388*参数!$B$15+卡牌总表!AB388*参数!$B$11+卡牌总表!AF388*参数!$B$40*参数!$B$2+卡牌总表!AG388*参数!$B$44*参数!$B$2+卡牌总表!AH388*参数!$B$6*参数!$B$2+卡牌总表!AI388*参数!$B$39*参数!$B$2+卡牌总表!AJ388*参数!$B$6*参数!$B$2+卡牌总表!Z388*参数!$B$13-卡牌总表!T388*参数!$B$14-卡牌总表!AD388*参数!$B$13+IF(ISNUMBER(卡牌总表!AU388),卡牌总表!AU388*参数!$B$38,0)-卡牌总表!AV388*参数!$B$41-卡牌总表!AW388*参数!$B$14</f>
        <v>9</v>
      </c>
      <c r="J388">
        <f>IF(AND(卡牌总表!F388="能力",卡牌总表!AL388="能力持续"),(参数!$B$2-1)*参数!$B$3,0)</f>
        <v>0</v>
      </c>
      <c r="K388">
        <f t="shared" si="19"/>
        <v>9</v>
      </c>
      <c r="L388">
        <f>卡牌总表!N388*卡牌总表!O388*参数!$B$5*IF(AND(卡牌总表!F388="能力",卡牌总表!AL388="能力持续"),参数!$B$2,1)+卡牌总表!Q388*参数!$B$6*IF(AND(卡牌总表!F388="能力",卡牌总表!AL388="能力持续"),参数!$B$2,1)+卡牌总表!S388*参数!$B$7*IF(AND(卡牌总表!F388="能力",卡牌总表!AL388="能力持续"),参数!$B$2,1)+卡牌总表!W388*参数!$B$8+IF(卡牌总表!Y388&lt;0,卡牌总表!Y388*参数!$B$13,卡牌总表!Y388*参数!$B$39)+IF(卡牌总表!AE388&lt;0,卡牌总表!AE388*参数!$B$13,卡牌总表!AE388*参数!$B$12)*参数!$B$2+卡牌总表!AR388*参数!$B$15+卡牌总表!AC388*参数!$B$11+卡牌总表!AF388*参数!$B$40*参数!$B$2+卡牌总表!AG388*参数!$B$44*参数!$B$2+卡牌总表!AH388*参数!$B$6*参数!$B$2+卡牌总表!AI388*参数!$B$39*参数!$B$2+卡牌总表!AJ388*参数!$B$6*参数!$B$2+卡牌总表!AA388*参数!$B$13-卡牌总表!U388*参数!$B$14-卡牌总表!AD388*参数!$B$13+IF(ISNUMBER(卡牌总表!AU388),卡牌总表!AU388*参数!$B$38,0)-卡牌总表!AV388*参数!$B$41-卡牌总表!AW388*参数!$B$14</f>
        <v>12</v>
      </c>
      <c r="M388">
        <f>IF(AND(卡牌总表!F388="能力",卡牌总表!AL388="能力持续"),参数!$B$2*参数!$B$3,0)</f>
        <v>0</v>
      </c>
      <c r="N388">
        <f t="shared" si="20"/>
        <v>12</v>
      </c>
      <c r="O388">
        <f>IFERROR(MAX(IF(K388 &gt; 参数!$B$17,参数!$B$17+SQRT(K388-参数!$B$17)*参数!$B$18,K388)-MAX(G388,0)*参数!$B$10,0)/MAX(G388,0.4),0)</f>
        <v>6</v>
      </c>
      <c r="P388">
        <f>IFERROR(MAX(IF(N388 &gt; 参数!$B$17,参数!$B$17+SQRT(N388-参数!$B$17)*参数!$B$18,N388)-MAX(H388,0)*参数!$B$10,0)/MAX(H388,0.4),0)</f>
        <v>9.1213203435596419</v>
      </c>
      <c r="Q388">
        <f>卡牌总表!AO388</f>
        <v>0</v>
      </c>
    </row>
    <row r="389" spans="1:17" x14ac:dyDescent="0.3">
      <c r="A389">
        <f t="shared" si="18"/>
        <v>388</v>
      </c>
      <c r="B389" t="str">
        <f>卡牌总表!B389</f>
        <v>necrobinder_seance</v>
      </c>
      <c r="C389" t="str">
        <f>卡牌总表!D389</f>
        <v>降灵</v>
      </c>
      <c r="D389" t="str">
        <f>卡牌总表!F389</f>
        <v>技能</v>
      </c>
      <c r="E389">
        <f>卡牌总表!AL389</f>
        <v>0</v>
      </c>
      <c r="F389">
        <f>卡牌总表!AN389</f>
        <v>0</v>
      </c>
      <c r="G389">
        <f>卡牌总表!AP389</f>
        <v>0.4</v>
      </c>
      <c r="H389">
        <f>IF(ISNUMBER(卡牌总表!H389),IF(AND(卡牌总表!H389=0,卡牌总表!V389=0,卡牌总表!AK389="none"),0.4,IF(卡牌总表!AK389="exhaust",MAX(卡牌总表!H389-卡牌总表!V389,0.4),IF(卡牌总表!AK389="ethereal",MAX(卡牌总表!H389-卡牌总表!V389,0.4),MAX(卡牌总表!H389-卡牌总表!V389,0.4)))),IF(OR(卡牌总表!H389="X",卡牌总表!H389="∞"),0.4,0.4))</f>
        <v>0.4</v>
      </c>
      <c r="I389">
        <f>卡牌总表!M389*卡牌总表!O389*参数!$B$5*IF(AND(卡牌总表!F389="能力",卡牌总表!AL389="能力持续"),参数!$B$2,1)+卡牌总表!P389*参数!$B$6*IF(AND(卡牌总表!F389="能力",卡牌总表!AL389="能力持续"),参数!$B$2,1)+卡牌总表!R389*参数!$B$7*IF(AND(卡牌总表!F389="能力",卡牌总表!AL389="能力持续"),参数!$B$2,1)+卡牌总表!V389*参数!$B$8+IF(卡牌总表!X389&lt;0,卡牌总表!X389*参数!$B$13,卡牌总表!X389*参数!$B$39)+IF(卡牌总表!AE389&lt;0,卡牌总表!AE389*参数!$B$13,卡牌总表!AE389*参数!$B$12)*参数!$B$2+卡牌总表!AQ389*参数!$B$15+卡牌总表!AB389*参数!$B$11+卡牌总表!AF389*参数!$B$40*参数!$B$2+卡牌总表!AG389*参数!$B$44*参数!$B$2+卡牌总表!AH389*参数!$B$6*参数!$B$2+卡牌总表!AI389*参数!$B$39*参数!$B$2+卡牌总表!AJ389*参数!$B$6*参数!$B$2+卡牌总表!Z389*参数!$B$13-卡牌总表!T389*参数!$B$14-卡牌总表!AD389*参数!$B$13+IF(ISNUMBER(卡牌总表!AU389),卡牌总表!AU389*参数!$B$38,0)-卡牌总表!AV389*参数!$B$41-卡牌总表!AW389*参数!$B$14</f>
        <v>0.7</v>
      </c>
      <c r="J389">
        <f>IF(AND(卡牌总表!F389="能力",卡牌总表!AL389="能力持续"),(参数!$B$2-1)*参数!$B$3,0)</f>
        <v>0</v>
      </c>
      <c r="K389">
        <f t="shared" si="19"/>
        <v>0.7</v>
      </c>
      <c r="L389">
        <f>卡牌总表!N389*卡牌总表!O389*参数!$B$5*IF(AND(卡牌总表!F389="能力",卡牌总表!AL389="能力持续"),参数!$B$2,1)+卡牌总表!Q389*参数!$B$6*IF(AND(卡牌总表!F389="能力",卡牌总表!AL389="能力持续"),参数!$B$2,1)+卡牌总表!S389*参数!$B$7*IF(AND(卡牌总表!F389="能力",卡牌总表!AL389="能力持续"),参数!$B$2,1)+卡牌总表!W389*参数!$B$8+IF(卡牌总表!Y389&lt;0,卡牌总表!Y389*参数!$B$13,卡牌总表!Y389*参数!$B$39)+IF(卡牌总表!AE389&lt;0,卡牌总表!AE389*参数!$B$13,卡牌总表!AE389*参数!$B$12)*参数!$B$2+卡牌总表!AR389*参数!$B$15+卡牌总表!AC389*参数!$B$11+卡牌总表!AF389*参数!$B$40*参数!$B$2+卡牌总表!AG389*参数!$B$44*参数!$B$2+卡牌总表!AH389*参数!$B$6*参数!$B$2+卡牌总表!AI389*参数!$B$39*参数!$B$2+卡牌总表!AJ389*参数!$B$6*参数!$B$2+卡牌总表!AA389*参数!$B$13-卡牌总表!U389*参数!$B$14-卡牌总表!AD389*参数!$B$13+IF(ISNUMBER(卡牌总表!AU389),卡牌总表!AU389*参数!$B$38,0)-卡牌总表!AV389*参数!$B$41-卡牌总表!AW389*参数!$B$14</f>
        <v>1.4</v>
      </c>
      <c r="M389">
        <f>IF(AND(卡牌总表!F389="能力",卡牌总表!AL389="能力持续"),参数!$B$2*参数!$B$3,0)</f>
        <v>0</v>
      </c>
      <c r="N389">
        <f t="shared" si="20"/>
        <v>1.4</v>
      </c>
      <c r="O389">
        <f>IFERROR(MAX(IF(K389 &gt; 参数!$B$17,参数!$B$17+SQRT(K389-参数!$B$17)*参数!$B$18,K389)-MAX(G389,0)*参数!$B$10,0)/MAX(G389,0.4),0)</f>
        <v>0</v>
      </c>
      <c r="P389">
        <f>IFERROR(MAX(IF(N389 &gt; 参数!$B$17,参数!$B$17+SQRT(N389-参数!$B$17)*参数!$B$18,N389)-MAX(H389,0)*参数!$B$10,0)/MAX(H389,0.4),0)</f>
        <v>0.49999999999999933</v>
      </c>
      <c r="Q389">
        <f>卡牌总表!AO389</f>
        <v>0</v>
      </c>
    </row>
    <row r="390" spans="1:17" x14ac:dyDescent="0.3">
      <c r="A390">
        <f t="shared" si="18"/>
        <v>389</v>
      </c>
      <c r="B390" t="str">
        <f>卡牌总表!B390</f>
        <v>necrobinder_sentry_mode</v>
      </c>
      <c r="C390" t="str">
        <f>卡牌总表!D390</f>
        <v>哨兵模式</v>
      </c>
      <c r="D390" t="str">
        <f>卡牌总表!F390</f>
        <v>能力</v>
      </c>
      <c r="E390" t="str">
        <f>卡牌总表!AL390</f>
        <v>能力持续</v>
      </c>
      <c r="F390" t="str">
        <f>卡牌总表!AN390</f>
        <v>能力</v>
      </c>
      <c r="G390">
        <f>卡牌总表!AP390</f>
        <v>2</v>
      </c>
      <c r="H390">
        <f>IF(ISNUMBER(卡牌总表!H390),IF(AND(卡牌总表!H390=0,卡牌总表!V390=0,卡牌总表!AK390="none"),0.4,IF(卡牌总表!AK390="exhaust",MAX(卡牌总表!H390-卡牌总表!V390,0.4),IF(卡牌总表!AK390="ethereal",MAX(卡牌总表!H390-卡牌总表!V390,0.4),MAX(卡牌总表!H390-卡牌总表!V390,0.4)))),IF(OR(卡牌总表!H390="X",卡牌总表!H390="∞"),0.4,0.4))</f>
        <v>2</v>
      </c>
      <c r="I390">
        <f>卡牌总表!M390*卡牌总表!O390*参数!$B$5*IF(AND(卡牌总表!F390="能力",卡牌总表!AL390="能力持续"),参数!$B$2,1)+卡牌总表!P390*参数!$B$6*IF(AND(卡牌总表!F390="能力",卡牌总表!AL390="能力持续"),参数!$B$2,1)+卡牌总表!R390*参数!$B$7*IF(AND(卡牌总表!F390="能力",卡牌总表!AL390="能力持续"),参数!$B$2,1)+卡牌总表!V390*参数!$B$8+IF(卡牌总表!X390&lt;0,卡牌总表!X390*参数!$B$13,卡牌总表!X390*参数!$B$39)+IF(卡牌总表!AE390&lt;0,卡牌总表!AE390*参数!$B$13,卡牌总表!AE390*参数!$B$12)*参数!$B$2+卡牌总表!AQ390*参数!$B$15+卡牌总表!AB390*参数!$B$11+卡牌总表!AF390*参数!$B$40*参数!$B$2+卡牌总表!AG390*参数!$B$44*参数!$B$2+卡牌总表!AH390*参数!$B$6*参数!$B$2+卡牌总表!AI390*参数!$B$39*参数!$B$2+卡牌总表!AJ390*参数!$B$6*参数!$B$2+卡牌总表!Z390*参数!$B$13-卡牌总表!T390*参数!$B$14-卡牌总表!AD390*参数!$B$13+IF(ISNUMBER(卡牌总表!AU390),卡牌总表!AU390*参数!$B$38,0)-卡牌总表!AV390*参数!$B$41-卡牌总表!AW390*参数!$B$14</f>
        <v>40</v>
      </c>
      <c r="J390">
        <f>IF(AND(卡牌总表!F390="能力",卡牌总表!AL390="能力持续"),(参数!$B$2-1)*参数!$B$3,0)</f>
        <v>3.5999999999999996</v>
      </c>
      <c r="K390">
        <f t="shared" si="19"/>
        <v>43.6</v>
      </c>
      <c r="L390">
        <f>卡牌总表!N390*卡牌总表!O390*参数!$B$5*IF(AND(卡牌总表!F390="能力",卡牌总表!AL390="能力持续"),参数!$B$2,1)+卡牌总表!Q390*参数!$B$6*IF(AND(卡牌总表!F390="能力",卡牌总表!AL390="能力持续"),参数!$B$2,1)+卡牌总表!S390*参数!$B$7*IF(AND(卡牌总表!F390="能力",卡牌总表!AL390="能力持续"),参数!$B$2,1)+卡牌总表!W390*参数!$B$8+IF(卡牌总表!Y390&lt;0,卡牌总表!Y390*参数!$B$13,卡牌总表!Y390*参数!$B$39)+IF(卡牌总表!AE390&lt;0,卡牌总表!AE390*参数!$B$13,卡牌总表!AE390*参数!$B$12)*参数!$B$2+卡牌总表!AR390*参数!$B$15+卡牌总表!AC390*参数!$B$11+卡牌总表!AF390*参数!$B$40*参数!$B$2+卡牌总表!AG390*参数!$B$44*参数!$B$2+卡牌总表!AH390*参数!$B$6*参数!$B$2+卡牌总表!AI390*参数!$B$39*参数!$B$2+卡牌总表!AJ390*参数!$B$6*参数!$B$2+卡牌总表!AA390*参数!$B$13-卡牌总表!U390*参数!$B$14-卡牌总表!AD390*参数!$B$13+IF(ISNUMBER(卡牌总表!AU390),卡牌总表!AU390*参数!$B$38,0)-卡牌总表!AV390*参数!$B$41-卡牌总表!AW390*参数!$B$14</f>
        <v>40</v>
      </c>
      <c r="M390">
        <f>IF(AND(卡牌总表!F390="能力",卡牌总表!AL390="能力持续"),参数!$B$2*参数!$B$3,0)</f>
        <v>4.8</v>
      </c>
      <c r="N390">
        <f t="shared" si="20"/>
        <v>44.8</v>
      </c>
      <c r="O390">
        <f>IFERROR(MAX(IF(K390 &gt; 参数!$B$17,参数!$B$17+SQRT(K390-参数!$B$17)*参数!$B$18,K390)-MAX(G390,0)*参数!$B$10,0)/MAX(G390,0.4),0)</f>
        <v>6.3474130238568307</v>
      </c>
      <c r="P390">
        <f>IFERROR(MAX(IF(N390 &gt; 参数!$B$17,参数!$B$17+SQRT(N390-参数!$B$17)*参数!$B$18,N390)-MAX(H390,0)*参数!$B$10,0)/MAX(H390,0.4),0)</f>
        <v>6.4243643611257877</v>
      </c>
      <c r="Q390">
        <f>卡牌总表!AO390</f>
        <v>0</v>
      </c>
    </row>
    <row r="391" spans="1:17" x14ac:dyDescent="0.3">
      <c r="A391">
        <f t="shared" si="18"/>
        <v>390</v>
      </c>
      <c r="B391" t="str">
        <f>卡牌总表!B391</f>
        <v>necrobinder_severance</v>
      </c>
      <c r="C391" t="str">
        <f>卡牌总表!D391</f>
        <v>切断</v>
      </c>
      <c r="D391" t="str">
        <f>卡牌总表!F391</f>
        <v>攻击</v>
      </c>
      <c r="E391">
        <f>卡牌总表!AL391</f>
        <v>0</v>
      </c>
      <c r="F391">
        <f>卡牌总表!AN391</f>
        <v>0</v>
      </c>
      <c r="G391">
        <f>卡牌总表!AP391</f>
        <v>2</v>
      </c>
      <c r="H391">
        <f>IF(ISNUMBER(卡牌总表!H391),IF(AND(卡牌总表!H391=0,卡牌总表!V391=0,卡牌总表!AK391="none"),0.4,IF(卡牌总表!AK391="exhaust",MAX(卡牌总表!H391-卡牌总表!V391,0.4),IF(卡牌总表!AK391="ethereal",MAX(卡牌总表!H391-卡牌总表!V391,0.4),MAX(卡牌总表!H391-卡牌总表!V391,0.4)))),IF(OR(卡牌总表!H391="X",卡牌总表!H391="∞"),0.4,0.4))</f>
        <v>2</v>
      </c>
      <c r="I391">
        <f>卡牌总表!M391*卡牌总表!O391*参数!$B$5*IF(AND(卡牌总表!F391="能力",卡牌总表!AL391="能力持续"),参数!$B$2,1)+卡牌总表!P391*参数!$B$6*IF(AND(卡牌总表!F391="能力",卡牌总表!AL391="能力持续"),参数!$B$2,1)+卡牌总表!R391*参数!$B$7*IF(AND(卡牌总表!F391="能力",卡牌总表!AL391="能力持续"),参数!$B$2,1)+卡牌总表!V391*参数!$B$8+IF(卡牌总表!X391&lt;0,卡牌总表!X391*参数!$B$13,卡牌总表!X391*参数!$B$39)+IF(卡牌总表!AE391&lt;0,卡牌总表!AE391*参数!$B$13,卡牌总表!AE391*参数!$B$12)*参数!$B$2+卡牌总表!AQ391*参数!$B$15+卡牌总表!AB391*参数!$B$11+卡牌总表!AF391*参数!$B$40*参数!$B$2+卡牌总表!AG391*参数!$B$44*参数!$B$2+卡牌总表!AH391*参数!$B$6*参数!$B$2+卡牌总表!AI391*参数!$B$39*参数!$B$2+卡牌总表!AJ391*参数!$B$6*参数!$B$2+卡牌总表!Z391*参数!$B$13-卡牌总表!T391*参数!$B$14-卡牌总表!AD391*参数!$B$13+IF(ISNUMBER(卡牌总表!AU391),卡牌总表!AU391*参数!$B$38,0)-卡牌总表!AV391*参数!$B$41-卡牌总表!AW391*参数!$B$14</f>
        <v>15.1</v>
      </c>
      <c r="J391">
        <f>IF(AND(卡牌总表!F391="能力",卡牌总表!AL391="能力持续"),(参数!$B$2-1)*参数!$B$3,0)</f>
        <v>0</v>
      </c>
      <c r="K391">
        <f t="shared" si="19"/>
        <v>15.1</v>
      </c>
      <c r="L391">
        <f>卡牌总表!N391*卡牌总表!O391*参数!$B$5*IF(AND(卡牌总表!F391="能力",卡牌总表!AL391="能力持续"),参数!$B$2,1)+卡牌总表!Q391*参数!$B$6*IF(AND(卡牌总表!F391="能力",卡牌总表!AL391="能力持续"),参数!$B$2,1)+卡牌总表!S391*参数!$B$7*IF(AND(卡牌总表!F391="能力",卡牌总表!AL391="能力持续"),参数!$B$2,1)+卡牌总表!W391*参数!$B$8+IF(卡牌总表!Y391&lt;0,卡牌总表!Y391*参数!$B$13,卡牌总表!Y391*参数!$B$39)+IF(卡牌总表!AE391&lt;0,卡牌总表!AE391*参数!$B$13,卡牌总表!AE391*参数!$B$12)*参数!$B$2+卡牌总表!AR391*参数!$B$15+卡牌总表!AC391*参数!$B$11+卡牌总表!AF391*参数!$B$40*参数!$B$2+卡牌总表!AG391*参数!$B$44*参数!$B$2+卡牌总表!AH391*参数!$B$6*参数!$B$2+卡牌总表!AI391*参数!$B$39*参数!$B$2+卡牌总表!AJ391*参数!$B$6*参数!$B$2+卡牌总表!AA391*参数!$B$13-卡牌总表!U391*参数!$B$14-卡牌总表!AD391*参数!$B$13+IF(ISNUMBER(卡牌总表!AU391),卡牌总表!AU391*参数!$B$38,0)-卡牌总表!AV391*参数!$B$41-卡牌总表!AW391*参数!$B$14</f>
        <v>22.2</v>
      </c>
      <c r="M391">
        <f>IF(AND(卡牌总表!F391="能力",卡牌总表!AL391="能力持续"),参数!$B$2*参数!$B$3,0)</f>
        <v>0</v>
      </c>
      <c r="N391">
        <f t="shared" si="20"/>
        <v>22.2</v>
      </c>
      <c r="O391">
        <f>IFERROR(MAX(IF(K391 &gt; 参数!$B$17,参数!$B$17+SQRT(K391-参数!$B$17)*参数!$B$18,K391)-MAX(G391,0)*参数!$B$10,0)/MAX(G391,0.4),0)</f>
        <v>3.6937384685954324</v>
      </c>
      <c r="P391">
        <f>IFERROR(MAX(IF(N391 &gt; 参数!$B$17,参数!$B$17+SQRT(N391-参数!$B$17)*参数!$B$18,N391)-MAX(H391,0)*参数!$B$10,0)/MAX(H391,0.4),0)</f>
        <v>4.6196373794859475</v>
      </c>
      <c r="Q391">
        <f>卡牌总表!AO391</f>
        <v>0</v>
      </c>
    </row>
    <row r="392" spans="1:17" x14ac:dyDescent="0.3">
      <c r="A392">
        <f t="shared" si="18"/>
        <v>391</v>
      </c>
      <c r="B392" t="str">
        <f>卡牌总表!B392</f>
        <v>necrobinder_shared_fate</v>
      </c>
      <c r="C392" t="str">
        <f>卡牌总表!D392</f>
        <v>命运同担</v>
      </c>
      <c r="D392" t="str">
        <f>卡牌总表!F392</f>
        <v>技能</v>
      </c>
      <c r="E392">
        <f>卡牌总表!AL392</f>
        <v>0</v>
      </c>
      <c r="F392">
        <f>卡牌总表!AN392</f>
        <v>0</v>
      </c>
      <c r="G392">
        <f>卡牌总表!AP392</f>
        <v>0.4</v>
      </c>
      <c r="H392">
        <f>IF(ISNUMBER(卡牌总表!H392),IF(AND(卡牌总表!H392=0,卡牌总表!V392=0,卡牌总表!AK392="none"),0.4,IF(卡牌总表!AK392="exhaust",MAX(卡牌总表!H392-卡牌总表!V392,0.4),IF(卡牌总表!AK392="ethereal",MAX(卡牌总表!H392-卡牌总表!V392,0.4),MAX(卡牌总表!H392-卡牌总表!V392,0.4)))),IF(OR(卡牌总表!H392="X",卡牌总表!H392="∞"),0.4,0.4))</f>
        <v>0.4</v>
      </c>
      <c r="I392">
        <f>卡牌总表!M392*卡牌总表!O392*参数!$B$5*IF(AND(卡牌总表!F392="能力",卡牌总表!AL392="能力持续"),参数!$B$2,1)+卡牌总表!P392*参数!$B$6*IF(AND(卡牌总表!F392="能力",卡牌总表!AL392="能力持续"),参数!$B$2,1)+卡牌总表!R392*参数!$B$7*IF(AND(卡牌总表!F392="能力",卡牌总表!AL392="能力持续"),参数!$B$2,1)+卡牌总表!V392*参数!$B$8+IF(卡牌总表!X392&lt;0,卡牌总表!X392*参数!$B$13,卡牌总表!X392*参数!$B$39)+IF(卡牌总表!AE392&lt;0,卡牌总表!AE392*参数!$B$13,卡牌总表!AE392*参数!$B$12)*参数!$B$2+卡牌总表!AQ392*参数!$B$15+卡牌总表!AB392*参数!$B$11+卡牌总表!AF392*参数!$B$40*参数!$B$2+卡牌总表!AG392*参数!$B$44*参数!$B$2+卡牌总表!AH392*参数!$B$6*参数!$B$2+卡牌总表!AI392*参数!$B$39*参数!$B$2+卡牌总表!AJ392*参数!$B$6*参数!$B$2+卡牌总表!Z392*参数!$B$13-卡牌总表!T392*参数!$B$14-卡牌总表!AD392*参数!$B$13+IF(ISNUMBER(卡牌总表!AU392),卡牌总表!AU392*参数!$B$38,0)-卡牌总表!AV392*参数!$B$41-卡牌总表!AW392*参数!$B$14</f>
        <v>16.799999999999997</v>
      </c>
      <c r="J392">
        <f>IF(AND(卡牌总表!F392="能力",卡牌总表!AL392="能力持续"),(参数!$B$2-1)*参数!$B$3,0)</f>
        <v>0</v>
      </c>
      <c r="K392">
        <f t="shared" si="19"/>
        <v>16.799999999999997</v>
      </c>
      <c r="L392">
        <f>卡牌总表!N392*卡牌总表!O392*参数!$B$5*IF(AND(卡牌总表!F392="能力",卡牌总表!AL392="能力持续"),参数!$B$2,1)+卡牌总表!Q392*参数!$B$6*IF(AND(卡牌总表!F392="能力",卡牌总表!AL392="能力持续"),参数!$B$2,1)+卡牌总表!S392*参数!$B$7*IF(AND(卡牌总表!F392="能力",卡牌总表!AL392="能力持续"),参数!$B$2,1)+卡牌总表!W392*参数!$B$8+IF(卡牌总表!Y392&lt;0,卡牌总表!Y392*参数!$B$13,卡牌总表!Y392*参数!$B$39)+IF(卡牌总表!AE392&lt;0,卡牌总表!AE392*参数!$B$13,卡牌总表!AE392*参数!$B$12)*参数!$B$2+卡牌总表!AR392*参数!$B$15+卡牌总表!AC392*参数!$B$11+卡牌总表!AF392*参数!$B$40*参数!$B$2+卡牌总表!AG392*参数!$B$44*参数!$B$2+卡牌总表!AH392*参数!$B$6*参数!$B$2+卡牌总表!AI392*参数!$B$39*参数!$B$2+卡牌总表!AJ392*参数!$B$6*参数!$B$2+卡牌总表!AA392*参数!$B$13-卡牌总表!U392*参数!$B$14-卡牌总表!AD392*参数!$B$13+IF(ISNUMBER(卡牌总表!AU392),卡牌总表!AU392*参数!$B$38,0)-卡牌总表!AV392*参数!$B$41-卡牌总表!AW392*参数!$B$14</f>
        <v>-12</v>
      </c>
      <c r="M392">
        <f>IF(AND(卡牌总表!F392="能力",卡牌总表!AL392="能力持续"),参数!$B$2*参数!$B$3,0)</f>
        <v>0</v>
      </c>
      <c r="N392">
        <f t="shared" si="20"/>
        <v>-12</v>
      </c>
      <c r="O392">
        <f>IFERROR(MAX(IF(K392 &gt; 参数!$B$17,参数!$B$17+SQRT(K392-参数!$B$17)*参数!$B$18,K392)-MAX(G392,0)*参数!$B$10,0)/MAX(G392,0.4),0)</f>
        <v>31.778803607803976</v>
      </c>
      <c r="P392">
        <f>IFERROR(MAX(IF(N392 &gt; 参数!$B$17,参数!$B$17+SQRT(N392-参数!$B$17)*参数!$B$18,N392)-MAX(H392,0)*参数!$B$10,0)/MAX(H392,0.4),0)</f>
        <v>0</v>
      </c>
      <c r="Q392">
        <f>卡牌总表!AO392</f>
        <v>0</v>
      </c>
    </row>
    <row r="393" spans="1:17" x14ac:dyDescent="0.3">
      <c r="A393">
        <f t="shared" si="18"/>
        <v>392</v>
      </c>
      <c r="B393" t="str">
        <f>卡牌总表!B393</f>
        <v>necrobinder_shroud</v>
      </c>
      <c r="C393" t="str">
        <f>卡牌总表!D393</f>
        <v>厄运之衣</v>
      </c>
      <c r="D393" t="str">
        <f>卡牌总表!F393</f>
        <v>能力</v>
      </c>
      <c r="E393">
        <f>卡牌总表!AL393</f>
        <v>0</v>
      </c>
      <c r="F393" t="str">
        <f>卡牌总表!AN393</f>
        <v>能力</v>
      </c>
      <c r="G393">
        <f>卡牌总表!AP393</f>
        <v>1</v>
      </c>
      <c r="H393">
        <f>IF(ISNUMBER(卡牌总表!H393),IF(AND(卡牌总表!H393=0,卡牌总表!V393=0,卡牌总表!AK393="none"),0.4,IF(卡牌总表!AK393="exhaust",MAX(卡牌总表!H393-卡牌总表!V393,0.4),IF(卡牌总表!AK393="ethereal",MAX(卡牌总表!H393-卡牌总表!V393,0.4),MAX(卡牌总表!H393-卡牌总表!V393,0.4)))),IF(OR(卡牌总表!H393="X",卡牌总表!H393="∞"),0.4,0.4))</f>
        <v>1</v>
      </c>
      <c r="I393">
        <f>卡牌总表!M393*卡牌总表!O393*参数!$B$5*IF(AND(卡牌总表!F393="能力",卡牌总表!AL393="能力持续"),参数!$B$2,1)+卡牌总表!P393*参数!$B$6*IF(AND(卡牌总表!F393="能力",卡牌总表!AL393="能力持续"),参数!$B$2,1)+卡牌总表!R393*参数!$B$7*IF(AND(卡牌总表!F393="能力",卡牌总表!AL393="能力持续"),参数!$B$2,1)+卡牌总表!V393*参数!$B$8+IF(卡牌总表!X393&lt;0,卡牌总表!X393*参数!$B$13,卡牌总表!X393*参数!$B$39)+IF(卡牌总表!AE393&lt;0,卡牌总表!AE393*参数!$B$13,卡牌总表!AE393*参数!$B$12)*参数!$B$2+卡牌总表!AQ393*参数!$B$15+卡牌总表!AB393*参数!$B$11+卡牌总表!AF393*参数!$B$40*参数!$B$2+卡牌总表!AG393*参数!$B$44*参数!$B$2+卡牌总表!AH393*参数!$B$6*参数!$B$2+卡牌总表!AI393*参数!$B$39*参数!$B$2+卡牌总表!AJ393*参数!$B$6*参数!$B$2+卡牌总表!Z393*参数!$B$13-卡牌总表!T393*参数!$B$14-卡牌总表!AD393*参数!$B$13+IF(ISNUMBER(卡牌总表!AU393),卡牌总表!AU393*参数!$B$38,0)-卡牌总表!AV393*参数!$B$41-卡牌总表!AW393*参数!$B$14</f>
        <v>4.4000000000000004</v>
      </c>
      <c r="J393">
        <f>IF(AND(卡牌总表!F393="能力",卡牌总表!AL393="能力持续"),(参数!$B$2-1)*参数!$B$3,0)</f>
        <v>0</v>
      </c>
      <c r="K393">
        <f t="shared" si="19"/>
        <v>4.4000000000000004</v>
      </c>
      <c r="L393">
        <f>卡牌总表!N393*卡牌总表!O393*参数!$B$5*IF(AND(卡牌总表!F393="能力",卡牌总表!AL393="能力持续"),参数!$B$2,1)+卡牌总表!Q393*参数!$B$6*IF(AND(卡牌总表!F393="能力",卡牌总表!AL393="能力持续"),参数!$B$2,1)+卡牌总表!S393*参数!$B$7*IF(AND(卡牌总表!F393="能力",卡牌总表!AL393="能力持续"),参数!$B$2,1)+卡牌总表!W393*参数!$B$8+IF(卡牌总表!Y393&lt;0,卡牌总表!Y393*参数!$B$13,卡牌总表!Y393*参数!$B$39)+IF(卡牌总表!AE393&lt;0,卡牌总表!AE393*参数!$B$13,卡牌总表!AE393*参数!$B$12)*参数!$B$2+卡牌总表!AR393*参数!$B$15+卡牌总表!AC393*参数!$B$11+卡牌总表!AF393*参数!$B$40*参数!$B$2+卡牌总表!AG393*参数!$B$44*参数!$B$2+卡牌总表!AH393*参数!$B$6*参数!$B$2+卡牌总表!AI393*参数!$B$39*参数!$B$2+卡牌总表!AJ393*参数!$B$6*参数!$B$2+卡牌总表!AA393*参数!$B$13-卡牌总表!U393*参数!$B$14-卡牌总表!AD393*参数!$B$13+IF(ISNUMBER(卡牌总表!AU393),卡牌总表!AU393*参数!$B$38,0)-卡牌总表!AV393*参数!$B$41-卡牌总表!AW393*参数!$B$14</f>
        <v>6.6000000000000005</v>
      </c>
      <c r="M393">
        <f>IF(AND(卡牌总表!F393="能力",卡牌总表!AL393="能力持续"),参数!$B$2*参数!$B$3,0)</f>
        <v>0</v>
      </c>
      <c r="N393">
        <f t="shared" si="20"/>
        <v>6.6000000000000005</v>
      </c>
      <c r="O393">
        <f>IFERROR(MAX(IF(K393 &gt; 参数!$B$17,参数!$B$17+SQRT(K393-参数!$B$17)*参数!$B$18,K393)-MAX(G393,0)*参数!$B$10,0)/MAX(G393,0.4),0)</f>
        <v>1.4000000000000004</v>
      </c>
      <c r="P393">
        <f>IFERROR(MAX(IF(N393 &gt; 参数!$B$17,参数!$B$17+SQRT(N393-参数!$B$17)*参数!$B$18,N393)-MAX(H393,0)*参数!$B$10,0)/MAX(H393,0.4),0)</f>
        <v>3.6000000000000005</v>
      </c>
      <c r="Q393">
        <f>卡牌总表!AO393</f>
        <v>0</v>
      </c>
    </row>
    <row r="394" spans="1:17" x14ac:dyDescent="0.3">
      <c r="A394">
        <f t="shared" si="18"/>
        <v>393</v>
      </c>
      <c r="B394" t="str">
        <f>卡牌总表!B394</f>
        <v>necrobinder_sic_em</v>
      </c>
      <c r="C394" t="str">
        <f>卡牌总表!D394</f>
        <v>紧追不放</v>
      </c>
      <c r="D394" t="str">
        <f>卡牌总表!F394</f>
        <v>攻击</v>
      </c>
      <c r="E394">
        <f>卡牌总表!AL394</f>
        <v>0</v>
      </c>
      <c r="F394" t="str">
        <f>卡牌总表!AN394</f>
        <v>本回合</v>
      </c>
      <c r="G394">
        <f>卡牌总表!AP394</f>
        <v>1</v>
      </c>
      <c r="H394">
        <f>IF(ISNUMBER(卡牌总表!H394),IF(AND(卡牌总表!H394=0,卡牌总表!V394=0,卡牌总表!AK394="none"),0.4,IF(卡牌总表!AK394="exhaust",MAX(卡牌总表!H394-卡牌总表!V394,0.4),IF(卡牌总表!AK394="ethereal",MAX(卡牌总表!H394-卡牌总表!V394,0.4),MAX(卡牌总表!H394-卡牌总表!V394,0.4)))),IF(OR(卡牌总表!H394="X",卡牌总表!H394="∞"),0.4,0.4))</f>
        <v>1</v>
      </c>
      <c r="I394">
        <f>卡牌总表!M394*卡牌总表!O394*参数!$B$5*IF(AND(卡牌总表!F394="能力",卡牌总表!AL394="能力持续"),参数!$B$2,1)+卡牌总表!P394*参数!$B$6*IF(AND(卡牌总表!F394="能力",卡牌总表!AL394="能力持续"),参数!$B$2,1)+卡牌总表!R394*参数!$B$7*IF(AND(卡牌总表!F394="能力",卡牌总表!AL394="能力持续"),参数!$B$2,1)+卡牌总表!V394*参数!$B$8+IF(卡牌总表!X394&lt;0,卡牌总表!X394*参数!$B$13,卡牌总表!X394*参数!$B$39)+IF(卡牌总表!AE394&lt;0,卡牌总表!AE394*参数!$B$13,卡牌总表!AE394*参数!$B$12)*参数!$B$2+卡牌总表!AQ394*参数!$B$15+卡牌总表!AB394*参数!$B$11+卡牌总表!AF394*参数!$B$40*参数!$B$2+卡牌总表!AG394*参数!$B$44*参数!$B$2+卡牌总表!AH394*参数!$B$6*参数!$B$2+卡牌总表!AI394*参数!$B$39*参数!$B$2+卡牌总表!AJ394*参数!$B$6*参数!$B$2+卡牌总表!Z394*参数!$B$13-卡牌总表!T394*参数!$B$14-卡牌总表!AD394*参数!$B$13+IF(ISNUMBER(卡牌总表!AU394),卡牌总表!AU394*参数!$B$38,0)-卡牌总表!AV394*参数!$B$41-卡牌总表!AW394*参数!$B$14</f>
        <v>11</v>
      </c>
      <c r="J394">
        <f>IF(AND(卡牌总表!F394="能力",卡牌总表!AL394="能力持续"),(参数!$B$2-1)*参数!$B$3,0)</f>
        <v>0</v>
      </c>
      <c r="K394">
        <f t="shared" si="19"/>
        <v>11</v>
      </c>
      <c r="L394">
        <f>卡牌总表!N394*卡牌总表!O394*参数!$B$5*IF(AND(卡牌总表!F394="能力",卡牌总表!AL394="能力持续"),参数!$B$2,1)+卡牌总表!Q394*参数!$B$6*IF(AND(卡牌总表!F394="能力",卡牌总表!AL394="能力持续"),参数!$B$2,1)+卡牌总表!S394*参数!$B$7*IF(AND(卡牌总表!F394="能力",卡牌总表!AL394="能力持续"),参数!$B$2,1)+卡牌总表!W394*参数!$B$8+IF(卡牌总表!Y394&lt;0,卡牌总表!Y394*参数!$B$13,卡牌总表!Y394*参数!$B$39)+IF(卡牌总表!AE394&lt;0,卡牌总表!AE394*参数!$B$13,卡牌总表!AE394*参数!$B$12)*参数!$B$2+卡牌总表!AR394*参数!$B$15+卡牌总表!AC394*参数!$B$11+卡牌总表!AF394*参数!$B$40*参数!$B$2+卡牌总表!AG394*参数!$B$44*参数!$B$2+卡牌总表!AH394*参数!$B$6*参数!$B$2+卡牌总表!AI394*参数!$B$39*参数!$B$2+卡牌总表!AJ394*参数!$B$6*参数!$B$2+卡牌总表!AA394*参数!$B$13-卡牌总表!U394*参数!$B$14-卡牌总表!AD394*参数!$B$13+IF(ISNUMBER(卡牌总表!AU394),卡牌总表!AU394*参数!$B$38,0)-卡牌总表!AV394*参数!$B$41-卡牌总表!AW394*参数!$B$14</f>
        <v>12</v>
      </c>
      <c r="M394">
        <f>IF(AND(卡牌总表!F394="能力",卡牌总表!AL394="能力持续"),参数!$B$2*参数!$B$3,0)</f>
        <v>0</v>
      </c>
      <c r="N394">
        <f t="shared" si="20"/>
        <v>12</v>
      </c>
      <c r="O394">
        <f>IFERROR(MAX(IF(K394 &gt; 参数!$B$17,参数!$B$17+SQRT(K394-参数!$B$17)*参数!$B$18,K394)-MAX(G394,0)*参数!$B$10,0)/MAX(G394,0.4),0)</f>
        <v>8.5</v>
      </c>
      <c r="P394">
        <f>IFERROR(MAX(IF(N394 &gt; 参数!$B$17,参数!$B$17+SQRT(N394-参数!$B$17)*参数!$B$18,N394)-MAX(H394,0)*参数!$B$10,0)/MAX(H394,0.4),0)</f>
        <v>9.1213203435596419</v>
      </c>
      <c r="Q394">
        <f>卡牌总表!AO394</f>
        <v>0</v>
      </c>
    </row>
    <row r="395" spans="1:17" x14ac:dyDescent="0.3">
      <c r="A395">
        <f t="shared" si="18"/>
        <v>394</v>
      </c>
      <c r="B395" t="str">
        <f>卡牌总表!B395</f>
        <v>necrobinder_sleight_of_flesh</v>
      </c>
      <c r="C395" t="str">
        <f>卡牌总表!D395</f>
        <v>血肉戏法</v>
      </c>
      <c r="D395" t="str">
        <f>卡牌总表!F395</f>
        <v>能力</v>
      </c>
      <c r="E395">
        <f>卡牌总表!AL395</f>
        <v>0</v>
      </c>
      <c r="F395" t="str">
        <f>卡牌总表!AN395</f>
        <v>能力</v>
      </c>
      <c r="G395">
        <f>卡牌总表!AP395</f>
        <v>2</v>
      </c>
      <c r="H395">
        <f>IF(ISNUMBER(卡牌总表!H395),IF(AND(卡牌总表!H395=0,卡牌总表!V395=0,卡牌总表!AK395="none"),0.4,IF(卡牌总表!AK395="exhaust",MAX(卡牌总表!H395-卡牌总表!V395,0.4),IF(卡牌总表!AK395="ethereal",MAX(卡牌总表!H395-卡牌总表!V395,0.4),MAX(卡牌总表!H395-卡牌总表!V395,0.4)))),IF(OR(卡牌总表!H395="X",卡牌总表!H395="∞"),0.4,0.4))</f>
        <v>2</v>
      </c>
      <c r="I395">
        <f>卡牌总表!M395*卡牌总表!O395*参数!$B$5*IF(AND(卡牌总表!F395="能力",卡牌总表!AL395="能力持续"),参数!$B$2,1)+卡牌总表!P395*参数!$B$6*IF(AND(卡牌总表!F395="能力",卡牌总表!AL395="能力持续"),参数!$B$2,1)+卡牌总表!R395*参数!$B$7*IF(AND(卡牌总表!F395="能力",卡牌总表!AL395="能力持续"),参数!$B$2,1)+卡牌总表!V395*参数!$B$8+IF(卡牌总表!X395&lt;0,卡牌总表!X395*参数!$B$13,卡牌总表!X395*参数!$B$39)+IF(卡牌总表!AE395&lt;0,卡牌总表!AE395*参数!$B$13,卡牌总表!AE395*参数!$B$12)*参数!$B$2+卡牌总表!AQ395*参数!$B$15+卡牌总表!AB395*参数!$B$11+卡牌总表!AF395*参数!$B$40*参数!$B$2+卡牌总表!AG395*参数!$B$44*参数!$B$2+卡牌总表!AH395*参数!$B$6*参数!$B$2+卡牌总表!AI395*参数!$B$39*参数!$B$2+卡牌总表!AJ395*参数!$B$6*参数!$B$2+卡牌总表!Z395*参数!$B$13-卡牌总表!T395*参数!$B$14-卡牌总表!AD395*参数!$B$13+IF(ISNUMBER(卡牌总表!AU395),卡牌总表!AU395*参数!$B$38,0)-卡牌总表!AV395*参数!$B$41-卡牌总表!AW395*参数!$B$14</f>
        <v>18</v>
      </c>
      <c r="J395">
        <f>IF(AND(卡牌总表!F395="能力",卡牌总表!AL395="能力持续"),(参数!$B$2-1)*参数!$B$3,0)</f>
        <v>0</v>
      </c>
      <c r="K395">
        <f t="shared" si="19"/>
        <v>18</v>
      </c>
      <c r="L395">
        <f>卡牌总表!N395*卡牌总表!O395*参数!$B$5*IF(AND(卡牌总表!F395="能力",卡牌总表!AL395="能力持续"),参数!$B$2,1)+卡牌总表!Q395*参数!$B$6*IF(AND(卡牌总表!F395="能力",卡牌总表!AL395="能力持续"),参数!$B$2,1)+卡牌总表!S395*参数!$B$7*IF(AND(卡牌总表!F395="能力",卡牌总表!AL395="能力持续"),参数!$B$2,1)+卡牌总表!W395*参数!$B$8+IF(卡牌总表!Y395&lt;0,卡牌总表!Y395*参数!$B$13,卡牌总表!Y395*参数!$B$39)+IF(卡牌总表!AE395&lt;0,卡牌总表!AE395*参数!$B$13,卡牌总表!AE395*参数!$B$12)*参数!$B$2+卡牌总表!AR395*参数!$B$15+卡牌总表!AC395*参数!$B$11+卡牌总表!AF395*参数!$B$40*参数!$B$2+卡牌总表!AG395*参数!$B$44*参数!$B$2+卡牌总表!AH395*参数!$B$6*参数!$B$2+卡牌总表!AI395*参数!$B$39*参数!$B$2+卡牌总表!AJ395*参数!$B$6*参数!$B$2+卡牌总表!AA395*参数!$B$13-卡牌总表!U395*参数!$B$14-卡牌总表!AD395*参数!$B$13+IF(ISNUMBER(卡牌总表!AU395),卡牌总表!AU395*参数!$B$38,0)-卡牌总表!AV395*参数!$B$41-卡牌总表!AW395*参数!$B$14</f>
        <v>26</v>
      </c>
      <c r="M395">
        <f>IF(AND(卡牌总表!F395="能力",卡牌总表!AL395="能力持续"),参数!$B$2*参数!$B$3,0)</f>
        <v>0</v>
      </c>
      <c r="N395">
        <f t="shared" si="20"/>
        <v>26</v>
      </c>
      <c r="O395">
        <f>IFERROR(MAX(IF(K395 &gt; 参数!$B$17,参数!$B$17+SQRT(K395-参数!$B$17)*参数!$B$18,K395)-MAX(G395,0)*参数!$B$10,0)/MAX(G395,0.4),0)</f>
        <v>4.1213203435596428</v>
      </c>
      <c r="P395">
        <f>IFERROR(MAX(IF(N395 &gt; 参数!$B$17,参数!$B$17+SQRT(N395-参数!$B$17)*参数!$B$18,N395)-MAX(H395,0)*参数!$B$10,0)/MAX(H395,0.4),0)</f>
        <v>5</v>
      </c>
      <c r="Q395">
        <f>卡牌总表!AO395</f>
        <v>0</v>
      </c>
    </row>
    <row r="396" spans="1:17" x14ac:dyDescent="0.3">
      <c r="A396">
        <f t="shared" si="18"/>
        <v>395</v>
      </c>
      <c r="B396" t="str">
        <f>卡牌总表!B396</f>
        <v>necrobinder_snap</v>
      </c>
      <c r="C396" t="str">
        <f>卡牌总表!D396</f>
        <v>响指</v>
      </c>
      <c r="D396" t="str">
        <f>卡牌总表!F396</f>
        <v>攻击</v>
      </c>
      <c r="E396">
        <f>卡牌总表!AL396</f>
        <v>0</v>
      </c>
      <c r="F396">
        <f>卡牌总表!AN396</f>
        <v>0</v>
      </c>
      <c r="G396">
        <f>卡牌总表!AP396</f>
        <v>1</v>
      </c>
      <c r="H396">
        <f>IF(ISNUMBER(卡牌总表!H396),IF(AND(卡牌总表!H396=0,卡牌总表!V396=0,卡牌总表!AK396="none"),0.4,IF(卡牌总表!AK396="exhaust",MAX(卡牌总表!H396-卡牌总表!V396,0.4),IF(卡牌总表!AK396="ethereal",MAX(卡牌总表!H396-卡牌总表!V396,0.4),MAX(卡牌总表!H396-卡牌总表!V396,0.4)))),IF(OR(卡牌总表!H396="X",卡牌总表!H396="∞"),0.4,0.4))</f>
        <v>1</v>
      </c>
      <c r="I396">
        <f>卡牌总表!M396*卡牌总表!O396*参数!$B$5*IF(AND(卡牌总表!F396="能力",卡牌总表!AL396="能力持续"),参数!$B$2,1)+卡牌总表!P396*参数!$B$6*IF(AND(卡牌总表!F396="能力",卡牌总表!AL396="能力持续"),参数!$B$2,1)+卡牌总表!R396*参数!$B$7*IF(AND(卡牌总表!F396="能力",卡牌总表!AL396="能力持续"),参数!$B$2,1)+卡牌总表!V396*参数!$B$8+IF(卡牌总表!X396&lt;0,卡牌总表!X396*参数!$B$13,卡牌总表!X396*参数!$B$39)+IF(卡牌总表!AE396&lt;0,卡牌总表!AE396*参数!$B$13,卡牌总表!AE396*参数!$B$12)*参数!$B$2+卡牌总表!AQ396*参数!$B$15+卡牌总表!AB396*参数!$B$11+卡牌总表!AF396*参数!$B$40*参数!$B$2+卡牌总表!AG396*参数!$B$44*参数!$B$2+卡牌总表!AH396*参数!$B$6*参数!$B$2+卡牌总表!AI396*参数!$B$39*参数!$B$2+卡牌总表!AJ396*参数!$B$6*参数!$B$2+卡牌总表!Z396*参数!$B$13-卡牌总表!T396*参数!$B$14-卡牌总表!AD396*参数!$B$13+IF(ISNUMBER(卡牌总表!AU396),卡牌总表!AU396*参数!$B$38,0)-卡牌总表!AV396*参数!$B$41-卡牌总表!AW396*参数!$B$14</f>
        <v>7</v>
      </c>
      <c r="J396">
        <f>IF(AND(卡牌总表!F396="能力",卡牌总表!AL396="能力持续"),(参数!$B$2-1)*参数!$B$3,0)</f>
        <v>0</v>
      </c>
      <c r="K396">
        <f t="shared" si="19"/>
        <v>7</v>
      </c>
      <c r="L396">
        <f>卡牌总表!N396*卡牌总表!O396*参数!$B$5*IF(AND(卡牌总表!F396="能力",卡牌总表!AL396="能力持续"),参数!$B$2,1)+卡牌总表!Q396*参数!$B$6*IF(AND(卡牌总表!F396="能力",卡牌总表!AL396="能力持续"),参数!$B$2,1)+卡牌总表!S396*参数!$B$7*IF(AND(卡牌总表!F396="能力",卡牌总表!AL396="能力持续"),参数!$B$2,1)+卡牌总表!W396*参数!$B$8+IF(卡牌总表!Y396&lt;0,卡牌总表!Y396*参数!$B$13,卡牌总表!Y396*参数!$B$39)+IF(卡牌总表!AE396&lt;0,卡牌总表!AE396*参数!$B$13,卡牌总表!AE396*参数!$B$12)*参数!$B$2+卡牌总表!AR396*参数!$B$15+卡牌总表!AC396*参数!$B$11+卡牌总表!AF396*参数!$B$40*参数!$B$2+卡牌总表!AG396*参数!$B$44*参数!$B$2+卡牌总表!AH396*参数!$B$6*参数!$B$2+卡牌总表!AI396*参数!$B$39*参数!$B$2+卡牌总表!AJ396*参数!$B$6*参数!$B$2+卡牌总表!AA396*参数!$B$13-卡牌总表!U396*参数!$B$14-卡牌总表!AD396*参数!$B$13+IF(ISNUMBER(卡牌总表!AU396),卡牌总表!AU396*参数!$B$38,0)-卡牌总表!AV396*参数!$B$41-卡牌总表!AW396*参数!$B$14</f>
        <v>10</v>
      </c>
      <c r="M396">
        <f>IF(AND(卡牌总表!F396="能力",卡牌总表!AL396="能力持续"),参数!$B$2*参数!$B$3,0)</f>
        <v>0</v>
      </c>
      <c r="N396">
        <f t="shared" si="20"/>
        <v>10</v>
      </c>
      <c r="O396">
        <f>IFERROR(MAX(IF(K396 &gt; 参数!$B$17,参数!$B$17+SQRT(K396-参数!$B$17)*参数!$B$18,K396)-MAX(G396,0)*参数!$B$10,0)/MAX(G396,0.4),0)</f>
        <v>4</v>
      </c>
      <c r="P396">
        <f>IFERROR(MAX(IF(N396 &gt; 参数!$B$17,参数!$B$17+SQRT(N396-参数!$B$17)*参数!$B$18,N396)-MAX(H396,0)*参数!$B$10,0)/MAX(H396,0.4),0)</f>
        <v>7</v>
      </c>
      <c r="Q396">
        <f>卡牌总表!AO396</f>
        <v>0</v>
      </c>
    </row>
    <row r="397" spans="1:17" x14ac:dyDescent="0.3">
      <c r="A397">
        <f t="shared" si="18"/>
        <v>396</v>
      </c>
      <c r="B397" t="str">
        <f>卡牌总表!B397</f>
        <v>necrobinder_soul_storm</v>
      </c>
      <c r="C397" t="str">
        <f>卡牌总表!D397</f>
        <v>灵魂风暴</v>
      </c>
      <c r="D397" t="str">
        <f>卡牌总表!F397</f>
        <v>攻击</v>
      </c>
      <c r="E397">
        <f>卡牌总表!AL397</f>
        <v>0</v>
      </c>
      <c r="F397">
        <f>卡牌总表!AN397</f>
        <v>0</v>
      </c>
      <c r="G397">
        <f>卡牌总表!AP397</f>
        <v>1</v>
      </c>
      <c r="H397">
        <f>IF(ISNUMBER(卡牌总表!H397),IF(AND(卡牌总表!H397=0,卡牌总表!V397=0,卡牌总表!AK397="none"),0.4,IF(卡牌总表!AK397="exhaust",MAX(卡牌总表!H397-卡牌总表!V397,0.4),IF(卡牌总表!AK397="ethereal",MAX(卡牌总表!H397-卡牌总表!V397,0.4),MAX(卡牌总表!H397-卡牌总表!V397,0.4)))),IF(OR(卡牌总表!H397="X",卡牌总表!H397="∞"),0.4,0.4))</f>
        <v>1</v>
      </c>
      <c r="I397">
        <f>卡牌总表!M397*卡牌总表!O397*参数!$B$5*IF(AND(卡牌总表!F397="能力",卡牌总表!AL397="能力持续"),参数!$B$2,1)+卡牌总表!P397*参数!$B$6*IF(AND(卡牌总表!F397="能力",卡牌总表!AL397="能力持续"),参数!$B$2,1)+卡牌总表!R397*参数!$B$7*IF(AND(卡牌总表!F397="能力",卡牌总表!AL397="能力持续"),参数!$B$2,1)+卡牌总表!V397*参数!$B$8+IF(卡牌总表!X397&lt;0,卡牌总表!X397*参数!$B$13,卡牌总表!X397*参数!$B$39)+IF(卡牌总表!AE397&lt;0,卡牌总表!AE397*参数!$B$13,卡牌总表!AE397*参数!$B$12)*参数!$B$2+卡牌总表!AQ397*参数!$B$15+卡牌总表!AB397*参数!$B$11+卡牌总表!AF397*参数!$B$40*参数!$B$2+卡牌总表!AG397*参数!$B$44*参数!$B$2+卡牌总表!AH397*参数!$B$6*参数!$B$2+卡牌总表!AI397*参数!$B$39*参数!$B$2+卡牌总表!AJ397*参数!$B$6*参数!$B$2+卡牌总表!Z397*参数!$B$13-卡牌总表!T397*参数!$B$14-卡牌总表!AD397*参数!$B$13+IF(ISNUMBER(卡牌总表!AU397),卡牌总表!AU397*参数!$B$38,0)-卡牌总表!AV397*参数!$B$41-卡牌总表!AW397*参数!$B$14</f>
        <v>19</v>
      </c>
      <c r="J397">
        <f>IF(AND(卡牌总表!F397="能力",卡牌总表!AL397="能力持续"),(参数!$B$2-1)*参数!$B$3,0)</f>
        <v>0</v>
      </c>
      <c r="K397">
        <f t="shared" si="19"/>
        <v>19</v>
      </c>
      <c r="L397">
        <f>卡牌总表!N397*卡牌总表!O397*参数!$B$5*IF(AND(卡牌总表!F397="能力",卡牌总表!AL397="能力持续"),参数!$B$2,1)+卡牌总表!Q397*参数!$B$6*IF(AND(卡牌总表!F397="能力",卡牌总表!AL397="能力持续"),参数!$B$2,1)+卡牌总表!S397*参数!$B$7*IF(AND(卡牌总表!F397="能力",卡牌总表!AL397="能力持续"),参数!$B$2,1)+卡牌总表!W397*参数!$B$8+IF(卡牌总表!Y397&lt;0,卡牌总表!Y397*参数!$B$13,卡牌总表!Y397*参数!$B$39)+IF(卡牌总表!AE397&lt;0,卡牌总表!AE397*参数!$B$13,卡牌总表!AE397*参数!$B$12)*参数!$B$2+卡牌总表!AR397*参数!$B$15+卡牌总表!AC397*参数!$B$11+卡牌总表!AF397*参数!$B$40*参数!$B$2+卡牌总表!AG397*参数!$B$44*参数!$B$2+卡牌总表!AH397*参数!$B$6*参数!$B$2+卡牌总表!AI397*参数!$B$39*参数!$B$2+卡牌总表!AJ397*参数!$B$6*参数!$B$2+卡牌总表!AA397*参数!$B$13-卡牌总表!U397*参数!$B$14-卡牌总表!AD397*参数!$B$13+IF(ISNUMBER(卡牌总表!AU397),卡牌总表!AU397*参数!$B$38,0)-卡牌总表!AV397*参数!$B$41-卡牌总表!AW397*参数!$B$14</f>
        <v>24</v>
      </c>
      <c r="M397">
        <f>IF(AND(卡牌总表!F397="能力",卡牌总表!AL397="能力持续"),参数!$B$2*参数!$B$3,0)</f>
        <v>0</v>
      </c>
      <c r="N397">
        <f t="shared" si="20"/>
        <v>24</v>
      </c>
      <c r="O397">
        <f>IFERROR(MAX(IF(K397 &gt; 参数!$B$17,参数!$B$17+SQRT(K397-参数!$B$17)*参数!$B$18,K397)-MAX(G397,0)*参数!$B$10,0)/MAX(G397,0.4),0)</f>
        <v>11.5</v>
      </c>
      <c r="P397">
        <f>IFERROR(MAX(IF(N397 &gt; 参数!$B$17,参数!$B$17+SQRT(N397-参数!$B$17)*参数!$B$18,N397)-MAX(H397,0)*参数!$B$10,0)/MAX(H397,0.4),0)</f>
        <v>12.612486080160913</v>
      </c>
      <c r="Q397" t="str">
        <f>卡牌总表!AO397</f>
        <v>含消耗其他牌效果</v>
      </c>
    </row>
    <row r="398" spans="1:17" x14ac:dyDescent="0.3">
      <c r="A398">
        <f t="shared" si="18"/>
        <v>397</v>
      </c>
      <c r="B398" t="str">
        <f>卡牌总表!B398</f>
        <v>necrobinder_sow</v>
      </c>
      <c r="C398" t="str">
        <f>卡牌总表!D398</f>
        <v>播种</v>
      </c>
      <c r="D398" t="str">
        <f>卡牌总表!F398</f>
        <v>攻击</v>
      </c>
      <c r="E398">
        <f>卡牌总表!AL398</f>
        <v>0</v>
      </c>
      <c r="F398" t="str">
        <f>卡牌总表!AN398</f>
        <v>群体攻击</v>
      </c>
      <c r="G398">
        <f>卡牌总表!AP398</f>
        <v>1</v>
      </c>
      <c r="H398">
        <f>IF(ISNUMBER(卡牌总表!H398),IF(AND(卡牌总表!H398=0,卡牌总表!V398=0,卡牌总表!AK398="none"),0.4,IF(卡牌总表!AK398="exhaust",MAX(卡牌总表!H398-卡牌总表!V398,0.4),IF(卡牌总表!AK398="ethereal",MAX(卡牌总表!H398-卡牌总表!V398,0.4),MAX(卡牌总表!H398-卡牌总表!V398,0.4)))),IF(OR(卡牌总表!H398="X",卡牌总表!H398="∞"),0.4,0.4))</f>
        <v>1</v>
      </c>
      <c r="I398">
        <f>卡牌总表!M398*卡牌总表!O398*参数!$B$5*IF(AND(卡牌总表!F398="能力",卡牌总表!AL398="能力持续"),参数!$B$2,1)+卡牌总表!P398*参数!$B$6*IF(AND(卡牌总表!F398="能力",卡牌总表!AL398="能力持续"),参数!$B$2,1)+卡牌总表!R398*参数!$B$7*IF(AND(卡牌总表!F398="能力",卡牌总表!AL398="能力持续"),参数!$B$2,1)+卡牌总表!V398*参数!$B$8+IF(卡牌总表!X398&lt;0,卡牌总表!X398*参数!$B$13,卡牌总表!X398*参数!$B$39)+IF(卡牌总表!AE398&lt;0,卡牌总表!AE398*参数!$B$13,卡牌总表!AE398*参数!$B$12)*参数!$B$2+卡牌总表!AQ398*参数!$B$15+卡牌总表!AB398*参数!$B$11+卡牌总表!AF398*参数!$B$40*参数!$B$2+卡牌总表!AG398*参数!$B$44*参数!$B$2+卡牌总表!AH398*参数!$B$6*参数!$B$2+卡牌总表!AI398*参数!$B$39*参数!$B$2+卡牌总表!AJ398*参数!$B$6*参数!$B$2+卡牌总表!Z398*参数!$B$13-卡牌总表!T398*参数!$B$14-卡牌总表!AD398*参数!$B$13+IF(ISNUMBER(卡牌总表!AU398),卡牌总表!AU398*参数!$B$38,0)-卡牌总表!AV398*参数!$B$41-卡牌总表!AW398*参数!$B$14</f>
        <v>8</v>
      </c>
      <c r="J398">
        <f>IF(AND(卡牌总表!F398="能力",卡牌总表!AL398="能力持续"),(参数!$B$2-1)*参数!$B$3,0)</f>
        <v>0</v>
      </c>
      <c r="K398">
        <f t="shared" si="19"/>
        <v>8</v>
      </c>
      <c r="L398">
        <f>卡牌总表!N398*卡牌总表!O398*参数!$B$5*IF(AND(卡牌总表!F398="能力",卡牌总表!AL398="能力持续"),参数!$B$2,1)+卡牌总表!Q398*参数!$B$6*IF(AND(卡牌总表!F398="能力",卡牌总表!AL398="能力持续"),参数!$B$2,1)+卡牌总表!S398*参数!$B$7*IF(AND(卡牌总表!F398="能力",卡牌总表!AL398="能力持续"),参数!$B$2,1)+卡牌总表!W398*参数!$B$8+IF(卡牌总表!Y398&lt;0,卡牌总表!Y398*参数!$B$13,卡牌总表!Y398*参数!$B$39)+IF(卡牌总表!AE398&lt;0,卡牌总表!AE398*参数!$B$13,卡牌总表!AE398*参数!$B$12)*参数!$B$2+卡牌总表!AR398*参数!$B$15+卡牌总表!AC398*参数!$B$11+卡牌总表!AF398*参数!$B$40*参数!$B$2+卡牌总表!AG398*参数!$B$44*参数!$B$2+卡牌总表!AH398*参数!$B$6*参数!$B$2+卡牌总表!AI398*参数!$B$39*参数!$B$2+卡牌总表!AJ398*参数!$B$6*参数!$B$2+卡牌总表!AA398*参数!$B$13-卡牌总表!U398*参数!$B$14-卡牌总表!AD398*参数!$B$13+IF(ISNUMBER(卡牌总表!AU398),卡牌总表!AU398*参数!$B$38,0)-卡牌总表!AV398*参数!$B$41-卡牌总表!AW398*参数!$B$14</f>
        <v>11</v>
      </c>
      <c r="M398">
        <f>IF(AND(卡牌总表!F398="能力",卡牌总表!AL398="能力持续"),参数!$B$2*参数!$B$3,0)</f>
        <v>0</v>
      </c>
      <c r="N398">
        <f t="shared" si="20"/>
        <v>11</v>
      </c>
      <c r="O398">
        <f>IFERROR(MAX(IF(K398 &gt; 参数!$B$17,参数!$B$17+SQRT(K398-参数!$B$17)*参数!$B$18,K398)-MAX(G398,0)*参数!$B$10,0)/MAX(G398,0.4),0)</f>
        <v>5</v>
      </c>
      <c r="P398">
        <f>IFERROR(MAX(IF(N398 &gt; 参数!$B$17,参数!$B$17+SQRT(N398-参数!$B$17)*参数!$B$18,N398)-MAX(H398,0)*参数!$B$10,0)/MAX(H398,0.4),0)</f>
        <v>8.5</v>
      </c>
      <c r="Q398">
        <f>卡牌总表!AO398</f>
        <v>0</v>
      </c>
    </row>
    <row r="399" spans="1:17" x14ac:dyDescent="0.3">
      <c r="A399">
        <f t="shared" si="18"/>
        <v>398</v>
      </c>
      <c r="B399" t="str">
        <f>卡牌总表!B399</f>
        <v>necrobinder_spirit_of_ash</v>
      </c>
      <c r="C399" t="str">
        <f>卡牌总表!D399</f>
        <v>灰烬之灵</v>
      </c>
      <c r="D399" t="str">
        <f>卡牌总表!F399</f>
        <v>能力</v>
      </c>
      <c r="E399" t="str">
        <f>卡牌总表!AL399</f>
        <v>能力持续</v>
      </c>
      <c r="F399" t="str">
        <f>卡牌总表!AN399</f>
        <v>能力</v>
      </c>
      <c r="G399">
        <f>卡牌总表!AP399</f>
        <v>1</v>
      </c>
      <c r="H399">
        <f>IF(ISNUMBER(卡牌总表!H399),IF(AND(卡牌总表!H399=0,卡牌总表!V399=0,卡牌总表!AK399="none"),0.4,IF(卡牌总表!AK399="exhaust",MAX(卡牌总表!H399-卡牌总表!V399,0.4),IF(卡牌总表!AK399="ethereal",MAX(卡牌总表!H399-卡牌总表!V399,0.4),MAX(卡牌总表!H399-卡牌总表!V399,0.4)))),IF(OR(卡牌总表!H399="X",卡牌总表!H399="∞"),0.4,0.4))</f>
        <v>1</v>
      </c>
      <c r="I399">
        <f>卡牌总表!M399*卡牌总表!O399*参数!$B$5*IF(AND(卡牌总表!F399="能力",卡牌总表!AL399="能力持续"),参数!$B$2,1)+卡牌总表!P399*参数!$B$6*IF(AND(卡牌总表!F399="能力",卡牌总表!AL399="能力持续"),参数!$B$2,1)+卡牌总表!R399*参数!$B$7*IF(AND(卡牌总表!F399="能力",卡牌总表!AL399="能力持续"),参数!$B$2,1)+卡牌总表!V399*参数!$B$8+IF(卡牌总表!X399&lt;0,卡牌总表!X399*参数!$B$13,卡牌总表!X399*参数!$B$39)+IF(卡牌总表!AE399&lt;0,卡牌总表!AE399*参数!$B$13,卡牌总表!AE399*参数!$B$12)*参数!$B$2+卡牌总表!AQ399*参数!$B$15+卡牌总表!AB399*参数!$B$11+卡牌总表!AF399*参数!$B$40*参数!$B$2+卡牌总表!AG399*参数!$B$44*参数!$B$2+卡牌总表!AH399*参数!$B$6*参数!$B$2+卡牌总表!AI399*参数!$B$39*参数!$B$2+卡牌总表!AJ399*参数!$B$6*参数!$B$2+卡牌总表!Z399*参数!$B$13-卡牌总表!T399*参数!$B$14-卡牌总表!AD399*参数!$B$13+IF(ISNUMBER(卡牌总表!AU399),卡牌总表!AU399*参数!$B$38,0)-卡牌总表!AV399*参数!$B$41-卡牌总表!AW399*参数!$B$14</f>
        <v>26.400000000000002</v>
      </c>
      <c r="J399">
        <f>IF(AND(卡牌总表!F399="能力",卡牌总表!AL399="能力持续"),(参数!$B$2-1)*参数!$B$3,0)</f>
        <v>3.5999999999999996</v>
      </c>
      <c r="K399">
        <f t="shared" si="19"/>
        <v>30</v>
      </c>
      <c r="L399">
        <f>卡牌总表!N399*卡牌总表!O399*参数!$B$5*IF(AND(卡牌总表!F399="能力",卡牌总表!AL399="能力持续"),参数!$B$2,1)+卡牌总表!Q399*参数!$B$6*IF(AND(卡牌总表!F399="能力",卡牌总表!AL399="能力持续"),参数!$B$2,1)+卡牌总表!S399*参数!$B$7*IF(AND(卡牌总表!F399="能力",卡牌总表!AL399="能力持续"),参数!$B$2,1)+卡牌总表!W399*参数!$B$8+IF(卡牌总表!Y399&lt;0,卡牌总表!Y399*参数!$B$13,卡牌总表!Y399*参数!$B$39)+IF(卡牌总表!AE399&lt;0,卡牌总表!AE399*参数!$B$13,卡牌总表!AE399*参数!$B$12)*参数!$B$2+卡牌总表!AR399*参数!$B$15+卡牌总表!AC399*参数!$B$11+卡牌总表!AF399*参数!$B$40*参数!$B$2+卡牌总表!AG399*参数!$B$44*参数!$B$2+卡牌总表!AH399*参数!$B$6*参数!$B$2+卡牌总表!AI399*参数!$B$39*参数!$B$2+卡牌总表!AJ399*参数!$B$6*参数!$B$2+卡牌总表!AA399*参数!$B$13-卡牌总表!U399*参数!$B$14-卡牌总表!AD399*参数!$B$13+IF(ISNUMBER(卡牌总表!AU399),卡牌总表!AU399*参数!$B$38,0)-卡牌总表!AV399*参数!$B$41-卡牌总表!AW399*参数!$B$14</f>
        <v>33</v>
      </c>
      <c r="M399">
        <f>IF(AND(卡牌总表!F399="能力",卡牌总表!AL399="能力持续"),参数!$B$2*参数!$B$3,0)</f>
        <v>4.8</v>
      </c>
      <c r="N399">
        <f t="shared" si="20"/>
        <v>37.799999999999997</v>
      </c>
      <c r="O399">
        <f>IFERROR(MAX(IF(K399 &gt; 参数!$B$17,参数!$B$17+SQRT(K399-参数!$B$17)*参数!$B$18,K399)-MAX(G399,0)*参数!$B$10,0)/MAX(G399,0.4),0)</f>
        <v>13.708203932499369</v>
      </c>
      <c r="P399">
        <f>IFERROR(MAX(IF(N399 &gt; 参数!$B$17,参数!$B$17+SQRT(N399-参数!$B$17)*参数!$B$18,N399)-MAX(H399,0)*参数!$B$10,0)/MAX(H399,0.4),0)</f>
        <v>14.908855795878441</v>
      </c>
      <c r="Q399">
        <f>卡牌总表!AO399</f>
        <v>0</v>
      </c>
    </row>
    <row r="400" spans="1:17" x14ac:dyDescent="0.3">
      <c r="A400">
        <f t="shared" si="18"/>
        <v>399</v>
      </c>
      <c r="B400" t="str">
        <f>卡牌总表!B400</f>
        <v>necrobinder_spur</v>
      </c>
      <c r="C400" t="str">
        <f>卡牌总表!D400</f>
        <v>增生</v>
      </c>
      <c r="D400" t="str">
        <f>卡牌总表!F400</f>
        <v>技能</v>
      </c>
      <c r="E400">
        <f>卡牌总表!AL400</f>
        <v>0</v>
      </c>
      <c r="F400">
        <f>卡牌总表!AN400</f>
        <v>0</v>
      </c>
      <c r="G400">
        <f>卡牌总表!AP400</f>
        <v>1</v>
      </c>
      <c r="H400">
        <f>IF(ISNUMBER(卡牌总表!H400),IF(AND(卡牌总表!H400=0,卡牌总表!V400=0,卡牌总表!AK400="none"),0.4,IF(卡牌总表!AK400="exhaust",MAX(卡牌总表!H400-卡牌总表!V400,0.4),IF(卡牌总表!AK400="ethereal",MAX(卡牌总表!H400-卡牌总表!V400,0.4),MAX(卡牌总表!H400-卡牌总表!V400,0.4)))),IF(OR(卡牌总表!H400="X",卡牌总表!H400="∞"),0.4,0.4))</f>
        <v>1</v>
      </c>
      <c r="I400">
        <f>卡牌总表!M400*卡牌总表!O400*参数!$B$5*IF(AND(卡牌总表!F400="能力",卡牌总表!AL400="能力持续"),参数!$B$2,1)+卡牌总表!P400*参数!$B$6*IF(AND(卡牌总表!F400="能力",卡牌总表!AL400="能力持续"),参数!$B$2,1)+卡牌总表!R400*参数!$B$7*IF(AND(卡牌总表!F400="能力",卡牌总表!AL400="能力持续"),参数!$B$2,1)+卡牌总表!V400*参数!$B$8+IF(卡牌总表!X400&lt;0,卡牌总表!X400*参数!$B$13,卡牌总表!X400*参数!$B$39)+IF(卡牌总表!AE400&lt;0,卡牌总表!AE400*参数!$B$13,卡牌总表!AE400*参数!$B$12)*参数!$B$2+卡牌总表!AQ400*参数!$B$15+卡牌总表!AB400*参数!$B$11+卡牌总表!AF400*参数!$B$40*参数!$B$2+卡牌总表!AG400*参数!$B$44*参数!$B$2+卡牌总表!AH400*参数!$B$6*参数!$B$2+卡牌总表!AI400*参数!$B$39*参数!$B$2+卡牌总表!AJ400*参数!$B$6*参数!$B$2+卡牌总表!Z400*参数!$B$13-卡牌总表!T400*参数!$B$14-卡牌总表!AD400*参数!$B$13+IF(ISNUMBER(卡牌总表!AU400),卡牌总表!AU400*参数!$B$38,0)-卡牌总表!AV400*参数!$B$41-卡牌总表!AW400*参数!$B$14</f>
        <v>8.5</v>
      </c>
      <c r="J400">
        <f>IF(AND(卡牌总表!F400="能力",卡牌总表!AL400="能力持续"),(参数!$B$2-1)*参数!$B$3,0)</f>
        <v>0</v>
      </c>
      <c r="K400">
        <f t="shared" si="19"/>
        <v>8.5</v>
      </c>
      <c r="L400">
        <f>卡牌总表!N400*卡牌总表!O400*参数!$B$5*IF(AND(卡牌总表!F400="能力",卡牌总表!AL400="能力持续"),参数!$B$2,1)+卡牌总表!Q400*参数!$B$6*IF(AND(卡牌总表!F400="能力",卡牌总表!AL400="能力持续"),参数!$B$2,1)+卡牌总表!S400*参数!$B$7*IF(AND(卡牌总表!F400="能力",卡牌总表!AL400="能力持续"),参数!$B$2,1)+卡牌总表!W400*参数!$B$8+IF(卡牌总表!Y400&lt;0,卡牌总表!Y400*参数!$B$13,卡牌总表!Y400*参数!$B$39)+IF(卡牌总表!AE400&lt;0,卡牌总表!AE400*参数!$B$13,卡牌总表!AE400*参数!$B$12)*参数!$B$2+卡牌总表!AR400*参数!$B$15+卡牌总表!AC400*参数!$B$11+卡牌总表!AF400*参数!$B$40*参数!$B$2+卡牌总表!AG400*参数!$B$44*参数!$B$2+卡牌总表!AH400*参数!$B$6*参数!$B$2+卡牌总表!AI400*参数!$B$39*参数!$B$2+卡牌总表!AJ400*参数!$B$6*参数!$B$2+卡牌总表!AA400*参数!$B$13-卡牌总表!U400*参数!$B$14-卡牌总表!AD400*参数!$B$13+IF(ISNUMBER(卡牌总表!AU400),卡牌总表!AU400*参数!$B$38,0)-卡牌总表!AV400*参数!$B$41-卡牌总表!AW400*参数!$B$14</f>
        <v>10.700000000000001</v>
      </c>
      <c r="M400">
        <f>IF(AND(卡牌总表!F400="能力",卡牌总表!AL400="能力持续"),参数!$B$2*参数!$B$3,0)</f>
        <v>0</v>
      </c>
      <c r="N400">
        <f t="shared" si="20"/>
        <v>10.700000000000001</v>
      </c>
      <c r="O400">
        <f>IFERROR(MAX(IF(K400 &gt; 参数!$B$17,参数!$B$17+SQRT(K400-参数!$B$17)*参数!$B$18,K400)-MAX(G400,0)*参数!$B$10,0)/MAX(G400,0.4),0)</f>
        <v>5.5</v>
      </c>
      <c r="P400">
        <f>IFERROR(MAX(IF(N400 &gt; 参数!$B$17,参数!$B$17+SQRT(N400-参数!$B$17)*参数!$B$18,N400)-MAX(H400,0)*参数!$B$10,0)/MAX(H400,0.4),0)</f>
        <v>8.2549900398011147</v>
      </c>
      <c r="Q400">
        <f>卡牌总表!AO400</f>
        <v>0</v>
      </c>
    </row>
    <row r="401" spans="1:17" x14ac:dyDescent="0.3">
      <c r="A401">
        <f t="shared" si="18"/>
        <v>400</v>
      </c>
      <c r="B401" t="str">
        <f>卡牌总表!B401</f>
        <v>necrobinder_squeeze</v>
      </c>
      <c r="C401" t="str">
        <f>卡牌总表!D401</f>
        <v>榨取</v>
      </c>
      <c r="D401" t="str">
        <f>卡牌总表!F401</f>
        <v>攻击</v>
      </c>
      <c r="E401">
        <f>卡牌总表!AL401</f>
        <v>0</v>
      </c>
      <c r="F401">
        <f>卡牌总表!AN401</f>
        <v>0</v>
      </c>
      <c r="G401">
        <f>卡牌总表!AP401</f>
        <v>3</v>
      </c>
      <c r="H401">
        <f>IF(ISNUMBER(卡牌总表!H401),IF(AND(卡牌总表!H401=0,卡牌总表!V401=0,卡牌总表!AK401="none"),0.4,IF(卡牌总表!AK401="exhaust",MAX(卡牌总表!H401-卡牌总表!V401,0.4),IF(卡牌总表!AK401="ethereal",MAX(卡牌总表!H401-卡牌总表!V401,0.4),MAX(卡牌总表!H401-卡牌总表!V401,0.4)))),IF(OR(卡牌总表!H401="X",卡牌总表!H401="∞"),0.4,0.4))</f>
        <v>3</v>
      </c>
      <c r="I401">
        <f>卡牌总表!M401*参数!$B$5+卡牌总表!P401*参数!$B$6+卡牌总表!R401*参数!$B$7+卡牌总表!V401*参数!$B$8+卡牌总表!X401*参数!$B$11+卡牌总表!AE401*参数!$B$12+卡牌总表!AQ401*参数!$B$15+卡牌总表!AB401*参数!$B$11+卡牌总表!Z401*参数!$B$13-卡牌总表!T401*参数!$B$14-卡牌总表!AD401*参数!$B$13</f>
        <v>50</v>
      </c>
      <c r="J401">
        <f>IF(AND(D401="能力",E401="能力持续"),(参数!$B$2-1)*参数!$B$3,0)</f>
        <v>0</v>
      </c>
      <c r="K401">
        <f t="shared" si="19"/>
        <v>50</v>
      </c>
      <c r="L401">
        <f>卡牌总表!N401*参数!$B$5+卡牌总表!Q401*参数!$B$6+卡牌总表!S401*参数!$B$7+卡牌总表!W401*参数!$B$8+卡牌总表!Y401*参数!$B$11+卡牌总表!AE401*参数!$B$12+卡牌总表!AR401*参数!$B$16+卡牌总表!AC401*参数!$B$11+卡牌总表!AA401*参数!$B$13-卡牌总表!U401*参数!$B$14-卡牌总表!AD401*参数!$B$13</f>
        <v>55</v>
      </c>
      <c r="M401">
        <f>IF(AND(D401="能力",E401="能力持续"),参数!$B$2*参数!$B$3,0)</f>
        <v>0</v>
      </c>
      <c r="N401">
        <f t="shared" si="20"/>
        <v>55</v>
      </c>
      <c r="O401">
        <f>IFERROR(MAX(IF(K401 &gt; 参数!$B$17,参数!$B$17+SQRT(K401-参数!$B$17)*参数!$B$18,K401)-MAX(G401,0)*参数!$B$10,0)/MAX(G401,0.4),0)</f>
        <v>3.4956109935017126</v>
      </c>
      <c r="P401">
        <f>IFERROR(MAX(IF(N401 &gt; 参数!$B$17,参数!$B$17+SQRT(N401-参数!$B$17)*参数!$B$18,N401)-MAX(H401,0)*参数!$B$10,0)/MAX(H401,0.4),0)</f>
        <v>3.6874352995830173</v>
      </c>
      <c r="Q401">
        <f>卡牌总表!AO401</f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selection activeCell="C49" sqref="C49"/>
    </sheetView>
  </sheetViews>
  <sheetFormatPr defaultRowHeight="14" x14ac:dyDescent="0.3"/>
  <cols>
    <col min="1" max="1" width="35.08203125" bestFit="1" customWidth="1"/>
    <col min="2" max="2" width="6.6640625" bestFit="1" customWidth="1"/>
    <col min="3" max="3" width="57.25" bestFit="1" customWidth="1"/>
  </cols>
  <sheetData>
    <row r="1" spans="1:3" x14ac:dyDescent="0.3">
      <c r="A1" t="s">
        <v>1733</v>
      </c>
      <c r="B1" t="s">
        <v>1734</v>
      </c>
      <c r="C1" t="s">
        <v>1735</v>
      </c>
    </row>
    <row r="2" spans="1:3" x14ac:dyDescent="0.3">
      <c r="A2" t="s">
        <v>1736</v>
      </c>
      <c r="B2">
        <v>4</v>
      </c>
      <c r="C2" t="s">
        <v>1737</v>
      </c>
    </row>
    <row r="3" spans="1:3" x14ac:dyDescent="0.3">
      <c r="A3" t="s">
        <v>1738</v>
      </c>
      <c r="B3">
        <v>1.2</v>
      </c>
      <c r="C3" t="s">
        <v>1739</v>
      </c>
    </row>
    <row r="4" spans="1:3" x14ac:dyDescent="0.3">
      <c r="A4" t="s">
        <v>1740</v>
      </c>
      <c r="B4">
        <v>3.5</v>
      </c>
    </row>
    <row r="5" spans="1:3" x14ac:dyDescent="0.3">
      <c r="A5" t="s">
        <v>1741</v>
      </c>
      <c r="B5">
        <v>1</v>
      </c>
      <c r="C5" t="s">
        <v>1742</v>
      </c>
    </row>
    <row r="6" spans="1:3" x14ac:dyDescent="0.3">
      <c r="A6" t="s">
        <v>1743</v>
      </c>
      <c r="B6">
        <v>1.1000000000000001</v>
      </c>
      <c r="C6" t="s">
        <v>1744</v>
      </c>
    </row>
    <row r="7" spans="1:3" x14ac:dyDescent="0.3">
      <c r="A7" t="s">
        <v>1745</v>
      </c>
      <c r="B7">
        <v>0.7</v>
      </c>
      <c r="C7" t="s">
        <v>1746</v>
      </c>
    </row>
    <row r="8" spans="1:3" x14ac:dyDescent="0.3">
      <c r="A8" t="s">
        <v>1747</v>
      </c>
      <c r="B8">
        <v>3</v>
      </c>
      <c r="C8" t="s">
        <v>1748</v>
      </c>
    </row>
    <row r="9" spans="1:3" x14ac:dyDescent="0.3">
      <c r="A9" t="s">
        <v>1749</v>
      </c>
      <c r="B9">
        <v>20</v>
      </c>
      <c r="C9" t="s">
        <v>1750</v>
      </c>
    </row>
    <row r="10" spans="1:3" x14ac:dyDescent="0.3">
      <c r="A10" t="s">
        <v>1751</v>
      </c>
      <c r="B10">
        <v>3</v>
      </c>
      <c r="C10" t="s">
        <v>1752</v>
      </c>
    </row>
    <row r="11" spans="1:3" x14ac:dyDescent="0.3">
      <c r="A11" t="s">
        <v>1753</v>
      </c>
      <c r="B11">
        <v>1.3</v>
      </c>
      <c r="C11" t="s">
        <v>1754</v>
      </c>
    </row>
    <row r="12" spans="1:3" x14ac:dyDescent="0.3">
      <c r="A12" t="s">
        <v>1755</v>
      </c>
      <c r="B12">
        <v>1.2</v>
      </c>
      <c r="C12" t="s">
        <v>1756</v>
      </c>
    </row>
    <row r="13" spans="1:3" x14ac:dyDescent="0.3">
      <c r="A13" t="s">
        <v>1757</v>
      </c>
      <c r="B13">
        <v>1.5</v>
      </c>
      <c r="C13" t="s">
        <v>1758</v>
      </c>
    </row>
    <row r="14" spans="1:3" x14ac:dyDescent="0.3">
      <c r="A14" t="s">
        <v>1759</v>
      </c>
      <c r="B14">
        <v>0.3</v>
      </c>
      <c r="C14" t="s">
        <v>1760</v>
      </c>
    </row>
    <row r="15" spans="1:3" x14ac:dyDescent="0.3">
      <c r="A15" t="s">
        <v>1761</v>
      </c>
      <c r="B15">
        <v>3</v>
      </c>
    </row>
    <row r="16" spans="1:3" x14ac:dyDescent="0.3">
      <c r="A16" t="s">
        <v>1762</v>
      </c>
      <c r="B16">
        <v>4</v>
      </c>
    </row>
    <row r="17" spans="1:3" x14ac:dyDescent="0.3">
      <c r="A17" t="s">
        <v>1763</v>
      </c>
      <c r="B17">
        <v>10</v>
      </c>
      <c r="C17" t="s">
        <v>1764</v>
      </c>
    </row>
    <row r="18" spans="1:3" x14ac:dyDescent="0.3">
      <c r="A18" t="s">
        <v>1765</v>
      </c>
      <c r="B18">
        <v>1.5</v>
      </c>
      <c r="C18" t="s">
        <v>1766</v>
      </c>
    </row>
    <row r="19" spans="1:3" x14ac:dyDescent="0.3">
      <c r="A19" t="s">
        <v>1767</v>
      </c>
      <c r="B19">
        <v>5</v>
      </c>
    </row>
    <row r="20" spans="1:3" x14ac:dyDescent="0.3">
      <c r="A20" t="s">
        <v>1768</v>
      </c>
      <c r="B20">
        <v>3</v>
      </c>
    </row>
    <row r="21" spans="1:3" x14ac:dyDescent="0.3">
      <c r="A21" t="s">
        <v>1769</v>
      </c>
      <c r="B21">
        <v>2</v>
      </c>
    </row>
    <row r="22" spans="1:3" x14ac:dyDescent="0.3">
      <c r="A22" t="s">
        <v>1770</v>
      </c>
      <c r="B22">
        <v>2</v>
      </c>
    </row>
    <row r="23" spans="1:3" x14ac:dyDescent="0.3">
      <c r="A23" t="s">
        <v>1771</v>
      </c>
      <c r="B23">
        <v>4.5</v>
      </c>
    </row>
    <row r="24" spans="1:3" x14ac:dyDescent="0.3">
      <c r="A24" t="s">
        <v>1772</v>
      </c>
      <c r="B24">
        <v>3</v>
      </c>
    </row>
    <row r="25" spans="1:3" x14ac:dyDescent="0.3">
      <c r="A25" t="s">
        <v>1773</v>
      </c>
      <c r="B25">
        <v>10</v>
      </c>
    </row>
    <row r="26" spans="1:3" x14ac:dyDescent="0.3">
      <c r="A26" t="s">
        <v>1774</v>
      </c>
      <c r="B26">
        <v>3.5</v>
      </c>
    </row>
    <row r="27" spans="1:3" x14ac:dyDescent="0.3">
      <c r="A27" t="s">
        <v>1775</v>
      </c>
      <c r="B27">
        <v>1.5</v>
      </c>
    </row>
    <row r="28" spans="1:3" x14ac:dyDescent="0.3">
      <c r="A28" t="s">
        <v>1776</v>
      </c>
      <c r="B28">
        <v>2.2999999999999998</v>
      </c>
    </row>
    <row r="29" spans="1:3" x14ac:dyDescent="0.3">
      <c r="A29" t="s">
        <v>1777</v>
      </c>
      <c r="B29">
        <v>2</v>
      </c>
    </row>
    <row r="30" spans="1:3" x14ac:dyDescent="0.3">
      <c r="A30" t="s">
        <v>1778</v>
      </c>
      <c r="B30">
        <v>25</v>
      </c>
    </row>
    <row r="31" spans="1:3" x14ac:dyDescent="0.3">
      <c r="A31" t="s">
        <v>1779</v>
      </c>
      <c r="B31">
        <v>1.5</v>
      </c>
    </row>
    <row r="32" spans="1:3" x14ac:dyDescent="0.3">
      <c r="A32" t="s">
        <v>1780</v>
      </c>
      <c r="B32">
        <v>15</v>
      </c>
    </row>
    <row r="33" spans="1:3" x14ac:dyDescent="0.3">
      <c r="A33" t="s">
        <v>1781</v>
      </c>
      <c r="B33">
        <v>3</v>
      </c>
    </row>
    <row r="34" spans="1:3" x14ac:dyDescent="0.3">
      <c r="A34" t="s">
        <v>1782</v>
      </c>
      <c r="B34">
        <v>2</v>
      </c>
    </row>
    <row r="35" spans="1:3" x14ac:dyDescent="0.3">
      <c r="A35" t="s">
        <v>1783</v>
      </c>
      <c r="B35">
        <v>2</v>
      </c>
    </row>
    <row r="36" spans="1:3" x14ac:dyDescent="0.3">
      <c r="A36" t="s">
        <v>1784</v>
      </c>
      <c r="B36">
        <v>5</v>
      </c>
    </row>
    <row r="37" spans="1:3" x14ac:dyDescent="0.3">
      <c r="A37" t="s">
        <v>1785</v>
      </c>
      <c r="B37">
        <v>5</v>
      </c>
    </row>
    <row r="38" spans="1:3" x14ac:dyDescent="0.3">
      <c r="A38" t="s">
        <v>1786</v>
      </c>
      <c r="B38">
        <v>1</v>
      </c>
      <c r="C38" t="s">
        <v>1787</v>
      </c>
    </row>
    <row r="39" spans="1:3" x14ac:dyDescent="0.3">
      <c r="A39" t="s">
        <v>1788</v>
      </c>
      <c r="B39">
        <v>1.3</v>
      </c>
      <c r="C39" t="s">
        <v>1789</v>
      </c>
    </row>
    <row r="40" spans="1:3" x14ac:dyDescent="0.3">
      <c r="A40" t="s">
        <v>1790</v>
      </c>
      <c r="B40">
        <v>1</v>
      </c>
      <c r="C40" t="s">
        <v>1791</v>
      </c>
    </row>
    <row r="41" spans="1:3" x14ac:dyDescent="0.3">
      <c r="A41" t="s">
        <v>1792</v>
      </c>
      <c r="B41">
        <v>3</v>
      </c>
      <c r="C41" t="s">
        <v>1793</v>
      </c>
    </row>
    <row r="42" spans="1:3" x14ac:dyDescent="0.3">
      <c r="A42" t="s">
        <v>1794</v>
      </c>
      <c r="B42">
        <v>6</v>
      </c>
      <c r="C42" t="s">
        <v>1795</v>
      </c>
    </row>
    <row r="43" spans="1:3" x14ac:dyDescent="0.3">
      <c r="A43" t="s">
        <v>1796</v>
      </c>
      <c r="B43">
        <v>2</v>
      </c>
      <c r="C43" t="s">
        <v>1797</v>
      </c>
    </row>
    <row r="44" spans="1:3" x14ac:dyDescent="0.3">
      <c r="A44" t="s">
        <v>1798</v>
      </c>
      <c r="B44">
        <v>0.7</v>
      </c>
      <c r="C44" t="s">
        <v>1859</v>
      </c>
    </row>
    <row r="45" spans="1:3" x14ac:dyDescent="0.3">
      <c r="A45" t="s">
        <v>1799</v>
      </c>
      <c r="B45">
        <v>8</v>
      </c>
      <c r="C45" t="s">
        <v>1800</v>
      </c>
    </row>
    <row r="46" spans="1:3" x14ac:dyDescent="0.3">
      <c r="A46" t="s">
        <v>1801</v>
      </c>
      <c r="B46">
        <v>0.8</v>
      </c>
      <c r="C46" t="s">
        <v>1802</v>
      </c>
    </row>
    <row r="47" spans="1:3" x14ac:dyDescent="0.3">
      <c r="A47" t="s">
        <v>1803</v>
      </c>
      <c r="B47">
        <v>8</v>
      </c>
      <c r="C47" t="s">
        <v>1804</v>
      </c>
    </row>
    <row r="48" spans="1:3" x14ac:dyDescent="0.3">
      <c r="A48" t="s">
        <v>1805</v>
      </c>
      <c r="B48">
        <v>8</v>
      </c>
      <c r="C48" t="s">
        <v>1806</v>
      </c>
    </row>
    <row r="49" spans="1:3" x14ac:dyDescent="0.3">
      <c r="A49" t="s">
        <v>1807</v>
      </c>
      <c r="B49">
        <v>5</v>
      </c>
      <c r="C49" t="s">
        <v>1808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"/>
  <sheetViews>
    <sheetView workbookViewId="0">
      <selection activeCell="B26" sqref="B26"/>
    </sheetView>
  </sheetViews>
  <sheetFormatPr defaultRowHeight="14" x14ac:dyDescent="0.3"/>
  <cols>
    <col min="1" max="1" width="63.58203125" bestFit="1" customWidth="1"/>
    <col min="2" max="2" width="36.6640625" bestFit="1" customWidth="1"/>
    <col min="3" max="5" width="9.1640625" bestFit="1" customWidth="1"/>
    <col min="6" max="6" width="32.75" bestFit="1" customWidth="1"/>
  </cols>
  <sheetData>
    <row r="1" spans="1:6" x14ac:dyDescent="0.3">
      <c r="A1" t="s">
        <v>1809</v>
      </c>
    </row>
    <row r="2" spans="1:6" x14ac:dyDescent="0.3">
      <c r="A2" t="s">
        <v>1810</v>
      </c>
    </row>
    <row r="3" spans="1:6" x14ac:dyDescent="0.3">
      <c r="A3" t="s">
        <v>1811</v>
      </c>
      <c r="B3" t="s">
        <v>1812</v>
      </c>
    </row>
    <row r="4" spans="1:6" x14ac:dyDescent="0.3">
      <c r="A4" t="s">
        <v>1811</v>
      </c>
      <c r="B4" t="s">
        <v>1813</v>
      </c>
    </row>
    <row r="5" spans="1:6" x14ac:dyDescent="0.3">
      <c r="A5" t="s">
        <v>1811</v>
      </c>
      <c r="B5" t="s">
        <v>1814</v>
      </c>
    </row>
    <row r="6" spans="1:6" x14ac:dyDescent="0.3">
      <c r="A6" t="s">
        <v>1811</v>
      </c>
      <c r="B6" t="s">
        <v>1815</v>
      </c>
    </row>
    <row r="7" spans="1:6" x14ac:dyDescent="0.3">
      <c r="A7" t="s">
        <v>1811</v>
      </c>
      <c r="B7" t="s">
        <v>1816</v>
      </c>
    </row>
    <row r="8" spans="1:6" x14ac:dyDescent="0.3">
      <c r="A8" t="s">
        <v>1811</v>
      </c>
      <c r="B8" t="s">
        <v>1817</v>
      </c>
    </row>
    <row r="9" spans="1:6" x14ac:dyDescent="0.3">
      <c r="C9" t="s">
        <v>1818</v>
      </c>
      <c r="E9" t="s">
        <v>1819</v>
      </c>
      <c r="F9" t="s">
        <v>1735</v>
      </c>
    </row>
    <row r="10" spans="1:6" x14ac:dyDescent="0.3">
      <c r="C10" t="s">
        <v>1820</v>
      </c>
      <c r="E10" t="s">
        <v>1821</v>
      </c>
      <c r="F10" t="s">
        <v>1822</v>
      </c>
    </row>
    <row r="11" spans="1:6" x14ac:dyDescent="0.3">
      <c r="C11" t="s">
        <v>1823</v>
      </c>
      <c r="E11" t="s">
        <v>1743</v>
      </c>
      <c r="F11" t="s">
        <v>1824</v>
      </c>
    </row>
    <row r="12" spans="1:6" x14ac:dyDescent="0.3">
      <c r="C12" t="s">
        <v>1825</v>
      </c>
      <c r="E12" t="s">
        <v>1745</v>
      </c>
      <c r="F12" t="s">
        <v>1826</v>
      </c>
    </row>
    <row r="13" spans="1:6" x14ac:dyDescent="0.3">
      <c r="C13" t="s">
        <v>1827</v>
      </c>
      <c r="E13" t="s">
        <v>1828</v>
      </c>
      <c r="F13" t="s">
        <v>1829</v>
      </c>
    </row>
    <row r="14" spans="1:6" x14ac:dyDescent="0.3">
      <c r="C14" t="s">
        <v>1830</v>
      </c>
      <c r="E14" t="s">
        <v>1831</v>
      </c>
      <c r="F14" t="s">
        <v>1832</v>
      </c>
    </row>
    <row r="15" spans="1:6" x14ac:dyDescent="0.3">
      <c r="C15" t="s">
        <v>1833</v>
      </c>
      <c r="E15" t="s">
        <v>1834</v>
      </c>
      <c r="F15" t="s">
        <v>1835</v>
      </c>
    </row>
    <row r="16" spans="1:6" x14ac:dyDescent="0.3">
      <c r="C16" t="s">
        <v>1836</v>
      </c>
      <c r="E16" t="s">
        <v>1837</v>
      </c>
      <c r="F16" t="s">
        <v>1838</v>
      </c>
    </row>
    <row r="17" spans="1:6" x14ac:dyDescent="0.3">
      <c r="C17" t="s">
        <v>1839</v>
      </c>
      <c r="E17" t="s">
        <v>1840</v>
      </c>
      <c r="F17" t="s">
        <v>1841</v>
      </c>
    </row>
    <row r="18" spans="1:6" x14ac:dyDescent="0.3">
      <c r="C18" t="s">
        <v>1842</v>
      </c>
      <c r="E18" t="s">
        <v>1843</v>
      </c>
      <c r="F18" t="s">
        <v>1844</v>
      </c>
    </row>
    <row r="21" spans="1:6" x14ac:dyDescent="0.3">
      <c r="A21" t="s">
        <v>1845</v>
      </c>
    </row>
    <row r="22" spans="1:6" x14ac:dyDescent="0.3">
      <c r="A22" t="s">
        <v>1846</v>
      </c>
    </row>
    <row r="23" spans="1:6" x14ac:dyDescent="0.3">
      <c r="A23" t="s">
        <v>1847</v>
      </c>
    </row>
    <row r="25" spans="1:6" x14ac:dyDescent="0.3">
      <c r="A25" t="s">
        <v>1848</v>
      </c>
    </row>
    <row r="26" spans="1:6" x14ac:dyDescent="0.3">
      <c r="A26" t="s">
        <v>1849</v>
      </c>
    </row>
    <row r="27" spans="1:6" x14ac:dyDescent="0.3">
      <c r="A27" t="s">
        <v>1850</v>
      </c>
    </row>
    <row r="29" spans="1:6" x14ac:dyDescent="0.3">
      <c r="A29" t="s">
        <v>1851</v>
      </c>
    </row>
    <row r="30" spans="1:6" x14ac:dyDescent="0.3">
      <c r="A30" t="s">
        <v>1852</v>
      </c>
    </row>
    <row r="31" spans="1:6" x14ac:dyDescent="0.3">
      <c r="A31" t="s">
        <v>1853</v>
      </c>
    </row>
    <row r="32" spans="1:6" x14ac:dyDescent="0.3">
      <c r="A32" t="s">
        <v>1860</v>
      </c>
    </row>
    <row r="33" spans="1:1" x14ac:dyDescent="0.3">
      <c r="A33" t="s">
        <v>1854</v>
      </c>
    </row>
    <row r="34" spans="1:1" x14ac:dyDescent="0.3">
      <c r="A34" t="s">
        <v>1862</v>
      </c>
    </row>
    <row r="35" spans="1:1" x14ac:dyDescent="0.3">
      <c r="A35" t="s">
        <v>1861</v>
      </c>
    </row>
    <row r="36" spans="1:1" x14ac:dyDescent="0.3">
      <c r="A36" t="s">
        <v>1863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1"/>
  <sheetViews>
    <sheetView tabSelected="1" topLeftCell="A42" workbookViewId="0">
      <selection activeCell="G24" sqref="G24"/>
    </sheetView>
  </sheetViews>
  <sheetFormatPr defaultRowHeight="14" x14ac:dyDescent="0.3"/>
  <cols>
    <col min="1" max="1" width="22" customWidth="1"/>
    <col min="2" max="2" width="10" customWidth="1"/>
    <col min="3" max="3" width="16" customWidth="1"/>
    <col min="4" max="4" width="18" customWidth="1"/>
    <col min="5" max="5" width="40" customWidth="1"/>
    <col min="6" max="15" width="10" customWidth="1"/>
  </cols>
  <sheetData>
    <row r="1" spans="1:5" ht="15.5" x14ac:dyDescent="0.35">
      <c r="A1" s="1" t="s">
        <v>0</v>
      </c>
    </row>
    <row r="2" spans="1:5" x14ac:dyDescent="0.3">
      <c r="A2" s="2" t="s">
        <v>1</v>
      </c>
    </row>
    <row r="4" spans="1:5" x14ac:dyDescent="0.3">
      <c r="A4" s="18" t="s">
        <v>2</v>
      </c>
      <c r="B4" s="19"/>
      <c r="C4" s="19"/>
      <c r="D4" s="19"/>
      <c r="E4" s="19"/>
    </row>
    <row r="5" spans="1:5" x14ac:dyDescent="0.3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</row>
    <row r="6" spans="1:5" x14ac:dyDescent="0.3">
      <c r="A6" s="3" t="s">
        <v>8</v>
      </c>
      <c r="B6" s="3">
        <v>2</v>
      </c>
      <c r="C6" s="3">
        <v>6.9</v>
      </c>
      <c r="D6" s="3">
        <v>6.9</v>
      </c>
      <c r="E6" s="4" t="s">
        <v>9</v>
      </c>
    </row>
    <row r="7" spans="1:5" x14ac:dyDescent="0.3">
      <c r="A7" s="3" t="s">
        <v>10</v>
      </c>
      <c r="B7" s="3">
        <v>16</v>
      </c>
      <c r="C7" s="3">
        <v>5.81</v>
      </c>
      <c r="D7" s="3">
        <v>5.81</v>
      </c>
      <c r="E7" s="4" t="s">
        <v>11</v>
      </c>
    </row>
    <row r="8" spans="1:5" x14ac:dyDescent="0.3">
      <c r="A8" s="3" t="s">
        <v>12</v>
      </c>
      <c r="B8" s="3">
        <v>29</v>
      </c>
      <c r="C8" s="3">
        <v>5.05</v>
      </c>
      <c r="D8" s="3">
        <v>5.05</v>
      </c>
      <c r="E8" s="4" t="s">
        <v>13</v>
      </c>
    </row>
    <row r="9" spans="1:5" x14ac:dyDescent="0.3">
      <c r="A9" s="3" t="s">
        <v>14</v>
      </c>
      <c r="B9" s="3">
        <v>22</v>
      </c>
      <c r="C9" s="3">
        <v>6.02</v>
      </c>
      <c r="D9" s="3">
        <v>6.02</v>
      </c>
      <c r="E9" s="4" t="s">
        <v>15</v>
      </c>
    </row>
    <row r="10" spans="1:5" x14ac:dyDescent="0.3">
      <c r="A10" s="3" t="s">
        <v>16</v>
      </c>
      <c r="B10" s="3">
        <v>2</v>
      </c>
      <c r="C10" s="3">
        <v>13.69</v>
      </c>
      <c r="D10" s="3">
        <v>13.69</v>
      </c>
      <c r="E10" s="4" t="s">
        <v>17</v>
      </c>
    </row>
    <row r="11" spans="1:5" x14ac:dyDescent="0.3">
      <c r="A11" s="15" t="s">
        <v>18</v>
      </c>
      <c r="B11" s="15">
        <v>71</v>
      </c>
      <c r="C11" s="16">
        <v>5.82</v>
      </c>
      <c r="D11" s="16">
        <v>5.82</v>
      </c>
      <c r="E11" s="17"/>
    </row>
    <row r="13" spans="1:5" x14ac:dyDescent="0.3">
      <c r="A13" s="18" t="s">
        <v>19</v>
      </c>
      <c r="B13" s="19"/>
      <c r="C13" s="19"/>
      <c r="D13" s="19"/>
      <c r="E13" s="19"/>
    </row>
    <row r="14" spans="1:5" x14ac:dyDescent="0.3">
      <c r="A14" s="20" t="s">
        <v>3</v>
      </c>
      <c r="B14" s="20" t="s">
        <v>4</v>
      </c>
      <c r="C14" s="20" t="s">
        <v>5</v>
      </c>
      <c r="D14" s="20" t="s">
        <v>6</v>
      </c>
      <c r="E14" s="20" t="s">
        <v>7</v>
      </c>
    </row>
    <row r="15" spans="1:5" x14ac:dyDescent="0.3">
      <c r="A15" s="3" t="s">
        <v>8</v>
      </c>
      <c r="B15" s="3">
        <v>12</v>
      </c>
      <c r="C15" s="3">
        <v>5.42</v>
      </c>
      <c r="D15" s="3">
        <v>5.42</v>
      </c>
      <c r="E15" s="4" t="s">
        <v>20</v>
      </c>
    </row>
    <row r="16" spans="1:5" x14ac:dyDescent="0.3">
      <c r="A16" s="3" t="s">
        <v>10</v>
      </c>
      <c r="B16" s="3">
        <v>67</v>
      </c>
      <c r="C16" s="3">
        <v>8.1300000000000008</v>
      </c>
      <c r="D16" s="3">
        <v>8.1300000000000008</v>
      </c>
      <c r="E16" s="4" t="s">
        <v>21</v>
      </c>
    </row>
    <row r="17" spans="1:5" x14ac:dyDescent="0.3">
      <c r="A17" s="3" t="s">
        <v>12</v>
      </c>
      <c r="B17" s="3">
        <v>95</v>
      </c>
      <c r="C17" s="3">
        <v>5.98</v>
      </c>
      <c r="D17" s="3">
        <v>5.98</v>
      </c>
      <c r="E17" s="4" t="s">
        <v>22</v>
      </c>
    </row>
    <row r="18" spans="1:5" x14ac:dyDescent="0.3">
      <c r="A18" s="3" t="s">
        <v>14</v>
      </c>
      <c r="B18" s="3">
        <v>44</v>
      </c>
      <c r="C18" s="3">
        <v>5.75</v>
      </c>
      <c r="D18" s="3">
        <v>5.75</v>
      </c>
      <c r="E18" s="4" t="s">
        <v>23</v>
      </c>
    </row>
    <row r="19" spans="1:5" x14ac:dyDescent="0.3">
      <c r="A19" s="3" t="s">
        <v>16</v>
      </c>
      <c r="B19" s="3">
        <v>3</v>
      </c>
      <c r="C19" s="3">
        <v>5.55</v>
      </c>
      <c r="D19" s="3">
        <v>5.55</v>
      </c>
      <c r="E19" s="4" t="s">
        <v>24</v>
      </c>
    </row>
    <row r="20" spans="1:5" x14ac:dyDescent="0.3">
      <c r="A20" s="15" t="s">
        <v>18</v>
      </c>
      <c r="B20" s="15">
        <v>221</v>
      </c>
      <c r="C20" s="16">
        <v>6.55</v>
      </c>
      <c r="D20" s="16">
        <v>6.55</v>
      </c>
      <c r="E20" s="17"/>
    </row>
    <row r="22" spans="1:5" x14ac:dyDescent="0.3">
      <c r="A22" s="18" t="s">
        <v>25</v>
      </c>
      <c r="B22" s="19"/>
      <c r="C22" s="19"/>
      <c r="D22" s="19"/>
      <c r="E22" s="19"/>
    </row>
    <row r="23" spans="1:5" x14ac:dyDescent="0.3">
      <c r="A23" s="20" t="s">
        <v>3</v>
      </c>
      <c r="B23" s="20" t="s">
        <v>4</v>
      </c>
      <c r="C23" s="20" t="s">
        <v>5</v>
      </c>
      <c r="D23" s="20" t="s">
        <v>6</v>
      </c>
      <c r="E23" s="20" t="s">
        <v>7</v>
      </c>
    </row>
    <row r="24" spans="1:5" x14ac:dyDescent="0.3">
      <c r="A24" s="3" t="s">
        <v>8</v>
      </c>
      <c r="B24" s="3">
        <v>1</v>
      </c>
      <c r="C24" s="3">
        <v>4.5999999999999996</v>
      </c>
      <c r="D24" s="3">
        <v>2.2999999999999998</v>
      </c>
      <c r="E24" s="4" t="s">
        <v>26</v>
      </c>
    </row>
    <row r="25" spans="1:5" x14ac:dyDescent="0.3">
      <c r="A25" s="3" t="s">
        <v>10</v>
      </c>
      <c r="B25" s="3">
        <v>9</v>
      </c>
      <c r="C25" s="3">
        <v>13.72</v>
      </c>
      <c r="D25" s="3">
        <v>6.86</v>
      </c>
      <c r="E25" s="4" t="s">
        <v>27</v>
      </c>
    </row>
    <row r="26" spans="1:5" x14ac:dyDescent="0.3">
      <c r="A26" s="3" t="s">
        <v>12</v>
      </c>
      <c r="B26" s="3">
        <v>29</v>
      </c>
      <c r="C26" s="3">
        <v>9.7200000000000006</v>
      </c>
      <c r="D26" s="3">
        <v>4.8600000000000003</v>
      </c>
      <c r="E26" s="4" t="s">
        <v>28</v>
      </c>
    </row>
    <row r="27" spans="1:5" x14ac:dyDescent="0.3">
      <c r="A27" s="3" t="s">
        <v>14</v>
      </c>
      <c r="B27" s="3">
        <v>27</v>
      </c>
      <c r="C27" s="3">
        <v>9.48</v>
      </c>
      <c r="D27" s="3">
        <v>4.74</v>
      </c>
      <c r="E27" s="4" t="s">
        <v>29</v>
      </c>
    </row>
    <row r="28" spans="1:5" x14ac:dyDescent="0.3">
      <c r="A28" s="3" t="s">
        <v>16</v>
      </c>
      <c r="B28" s="3">
        <v>2</v>
      </c>
      <c r="C28" s="3">
        <v>8.0500000000000007</v>
      </c>
      <c r="D28" s="3">
        <v>4.0199999999999996</v>
      </c>
      <c r="E28" s="4" t="s">
        <v>30</v>
      </c>
    </row>
    <row r="29" spans="1:5" x14ac:dyDescent="0.3">
      <c r="A29" s="15" t="s">
        <v>18</v>
      </c>
      <c r="B29" s="15">
        <v>68</v>
      </c>
      <c r="C29" s="16">
        <v>10.029999999999999</v>
      </c>
      <c r="D29" s="16">
        <v>5.0199999999999996</v>
      </c>
      <c r="E29" s="17"/>
    </row>
    <row r="31" spans="1:5" x14ac:dyDescent="0.3">
      <c r="A31" s="18" t="s">
        <v>31</v>
      </c>
      <c r="B31" s="19"/>
      <c r="C31" s="19"/>
      <c r="D31" s="19"/>
      <c r="E31" s="19"/>
    </row>
    <row r="32" spans="1:5" x14ac:dyDescent="0.3">
      <c r="A32" s="20" t="s">
        <v>3</v>
      </c>
      <c r="B32" s="20" t="s">
        <v>4</v>
      </c>
      <c r="C32" s="20" t="s">
        <v>5</v>
      </c>
      <c r="D32" s="20" t="s">
        <v>6</v>
      </c>
      <c r="E32" s="20" t="s">
        <v>7</v>
      </c>
    </row>
    <row r="33" spans="1:5" x14ac:dyDescent="0.3">
      <c r="A33" s="3" t="s">
        <v>10</v>
      </c>
      <c r="B33" s="3">
        <v>1</v>
      </c>
      <c r="C33" s="3">
        <v>16.18</v>
      </c>
      <c r="D33" s="3">
        <v>5.39</v>
      </c>
      <c r="E33" s="4" t="s">
        <v>32</v>
      </c>
    </row>
    <row r="34" spans="1:5" x14ac:dyDescent="0.3">
      <c r="A34" s="3" t="s">
        <v>12</v>
      </c>
      <c r="B34" s="3">
        <v>11</v>
      </c>
      <c r="C34" s="3">
        <v>14</v>
      </c>
      <c r="D34" s="3">
        <v>4.67</v>
      </c>
      <c r="E34" s="4" t="s">
        <v>33</v>
      </c>
    </row>
    <row r="35" spans="1:5" x14ac:dyDescent="0.3">
      <c r="A35" s="3" t="s">
        <v>14</v>
      </c>
      <c r="B35" s="3">
        <v>18</v>
      </c>
      <c r="C35" s="3">
        <v>7.7</v>
      </c>
      <c r="D35" s="3">
        <v>2.57</v>
      </c>
      <c r="E35" s="4" t="s">
        <v>34</v>
      </c>
    </row>
    <row r="36" spans="1:5" x14ac:dyDescent="0.3">
      <c r="A36" s="3" t="s">
        <v>16</v>
      </c>
      <c r="B36" s="3">
        <v>1</v>
      </c>
      <c r="C36" s="3">
        <v>3.6</v>
      </c>
      <c r="D36" s="3">
        <v>1.2</v>
      </c>
      <c r="E36" s="4" t="s">
        <v>35</v>
      </c>
    </row>
    <row r="37" spans="1:5" x14ac:dyDescent="0.3">
      <c r="A37" s="15" t="s">
        <v>18</v>
      </c>
      <c r="B37" s="15">
        <v>31</v>
      </c>
      <c r="C37" s="16">
        <v>10.08</v>
      </c>
      <c r="D37" s="16">
        <v>3.36</v>
      </c>
      <c r="E37" s="17"/>
    </row>
    <row r="39" spans="1:5" x14ac:dyDescent="0.3">
      <c r="A39" s="18" t="s">
        <v>36</v>
      </c>
      <c r="B39" s="19"/>
      <c r="C39" s="19"/>
      <c r="D39" s="19"/>
      <c r="E39" s="19"/>
    </row>
    <row r="40" spans="1:5" x14ac:dyDescent="0.3">
      <c r="A40" s="20" t="s">
        <v>3</v>
      </c>
      <c r="B40" s="20" t="s">
        <v>4</v>
      </c>
      <c r="C40" s="20" t="s">
        <v>5</v>
      </c>
      <c r="D40" s="20" t="s">
        <v>6</v>
      </c>
      <c r="E40" s="20" t="s">
        <v>7</v>
      </c>
    </row>
    <row r="41" spans="1:5" x14ac:dyDescent="0.3">
      <c r="A41" s="3" t="s">
        <v>12</v>
      </c>
      <c r="B41" s="3">
        <v>2</v>
      </c>
      <c r="C41" s="3">
        <v>17.95</v>
      </c>
      <c r="D41" s="3">
        <v>4.49</v>
      </c>
      <c r="E41" s="4" t="s">
        <v>37</v>
      </c>
    </row>
    <row r="42" spans="1:5" x14ac:dyDescent="0.3">
      <c r="A42" s="3" t="s">
        <v>14</v>
      </c>
      <c r="B42" s="3">
        <v>2</v>
      </c>
      <c r="C42" s="3">
        <v>16.399999999999999</v>
      </c>
      <c r="D42" s="3">
        <v>2.52</v>
      </c>
      <c r="E42" s="4" t="s">
        <v>38</v>
      </c>
    </row>
    <row r="43" spans="1:5" x14ac:dyDescent="0.3">
      <c r="A43" s="15" t="s">
        <v>18</v>
      </c>
      <c r="B43" s="15">
        <v>4</v>
      </c>
      <c r="C43" s="16">
        <v>17.18</v>
      </c>
      <c r="D43" s="16">
        <v>3.5</v>
      </c>
      <c r="E43" s="17"/>
    </row>
    <row r="45" spans="1:5" x14ac:dyDescent="0.3">
      <c r="A45" s="18" t="s">
        <v>39</v>
      </c>
      <c r="B45" s="19"/>
      <c r="C45" s="19"/>
      <c r="D45" s="19"/>
      <c r="E45" s="19"/>
    </row>
    <row r="46" spans="1:5" x14ac:dyDescent="0.3">
      <c r="A46" s="20" t="s">
        <v>3</v>
      </c>
      <c r="B46" s="20" t="s">
        <v>4</v>
      </c>
      <c r="C46" s="20" t="s">
        <v>5</v>
      </c>
      <c r="D46" s="20" t="s">
        <v>6</v>
      </c>
      <c r="E46" s="20" t="s">
        <v>7</v>
      </c>
    </row>
    <row r="47" spans="1:5" x14ac:dyDescent="0.3">
      <c r="A47" s="3" t="s">
        <v>12</v>
      </c>
      <c r="B47" s="3">
        <v>2</v>
      </c>
      <c r="C47" s="3">
        <v>7.89</v>
      </c>
      <c r="D47" s="3">
        <v>7.89</v>
      </c>
      <c r="E47" s="4" t="s">
        <v>40</v>
      </c>
    </row>
    <row r="48" spans="1:5" x14ac:dyDescent="0.3">
      <c r="A48" s="3" t="s">
        <v>14</v>
      </c>
      <c r="B48" s="3">
        <v>3</v>
      </c>
      <c r="C48" s="3">
        <v>3.83</v>
      </c>
      <c r="D48" s="3">
        <v>3.83</v>
      </c>
      <c r="E48" s="4" t="s">
        <v>41</v>
      </c>
    </row>
    <row r="49" spans="1:11" x14ac:dyDescent="0.3">
      <c r="A49" s="15" t="s">
        <v>18</v>
      </c>
      <c r="B49" s="15">
        <v>5</v>
      </c>
      <c r="C49" s="16">
        <v>5.45</v>
      </c>
      <c r="D49" s="16">
        <v>5.45</v>
      </c>
      <c r="E49" s="17"/>
    </row>
    <row r="51" spans="1:11" ht="15.5" x14ac:dyDescent="0.35">
      <c r="A51" s="1" t="s">
        <v>42</v>
      </c>
    </row>
    <row r="52" spans="1:11" x14ac:dyDescent="0.3">
      <c r="A52" s="20" t="s">
        <v>43</v>
      </c>
      <c r="B52" s="20" t="s">
        <v>8</v>
      </c>
      <c r="C52" s="20" t="s">
        <v>10</v>
      </c>
      <c r="D52" s="20" t="s">
        <v>12</v>
      </c>
      <c r="E52" s="20" t="s">
        <v>14</v>
      </c>
      <c r="F52" s="20" t="s">
        <v>44</v>
      </c>
      <c r="G52" s="20" t="s">
        <v>45</v>
      </c>
      <c r="H52" s="20" t="s">
        <v>46</v>
      </c>
      <c r="I52" s="20" t="s">
        <v>47</v>
      </c>
      <c r="J52" s="20" t="s">
        <v>16</v>
      </c>
      <c r="K52" s="20" t="s">
        <v>48</v>
      </c>
    </row>
    <row r="53" spans="1:11" x14ac:dyDescent="0.3">
      <c r="A53" s="5" t="s">
        <v>49</v>
      </c>
      <c r="B53" s="3">
        <v>6.9</v>
      </c>
      <c r="C53" s="3">
        <v>5.81</v>
      </c>
      <c r="D53" s="3">
        <v>5.05</v>
      </c>
      <c r="E53" s="3">
        <v>6.02</v>
      </c>
      <c r="F53" s="3"/>
      <c r="G53" s="3"/>
      <c r="H53" s="3"/>
      <c r="I53" s="3"/>
      <c r="J53" s="6">
        <v>13.69</v>
      </c>
      <c r="K53" s="7">
        <v>5.82</v>
      </c>
    </row>
    <row r="54" spans="1:11" x14ac:dyDescent="0.3">
      <c r="A54" s="5" t="s">
        <v>50</v>
      </c>
      <c r="B54" s="3">
        <v>5.42</v>
      </c>
      <c r="C54" s="3">
        <v>8.1300000000000008</v>
      </c>
      <c r="D54" s="3">
        <v>5.98</v>
      </c>
      <c r="E54" s="3">
        <v>5.75</v>
      </c>
      <c r="F54" s="3"/>
      <c r="G54" s="3"/>
      <c r="H54" s="3"/>
      <c r="I54" s="3"/>
      <c r="J54" s="3">
        <v>5.55</v>
      </c>
      <c r="K54" s="7">
        <v>6.55</v>
      </c>
    </row>
    <row r="55" spans="1:11" x14ac:dyDescent="0.3">
      <c r="A55" s="5" t="s">
        <v>51</v>
      </c>
      <c r="B55" s="8">
        <v>2.2999999999999998</v>
      </c>
      <c r="C55" s="3">
        <v>6.86</v>
      </c>
      <c r="D55" s="8">
        <v>4.8600000000000003</v>
      </c>
      <c r="E55" s="8">
        <v>4.74</v>
      </c>
      <c r="F55" s="3"/>
      <c r="G55" s="3"/>
      <c r="H55" s="3"/>
      <c r="I55" s="3"/>
      <c r="J55" s="8">
        <v>4.0199999999999996</v>
      </c>
      <c r="K55" s="7">
        <v>5.0199999999999996</v>
      </c>
    </row>
    <row r="56" spans="1:11" x14ac:dyDescent="0.3">
      <c r="A56" s="5" t="s">
        <v>52</v>
      </c>
      <c r="B56" s="3"/>
      <c r="C56" s="3">
        <v>5.39</v>
      </c>
      <c r="D56" s="8">
        <v>4.67</v>
      </c>
      <c r="E56" s="8">
        <v>2.57</v>
      </c>
      <c r="F56" s="3"/>
      <c r="G56" s="3"/>
      <c r="H56" s="3"/>
      <c r="I56" s="3"/>
      <c r="J56" s="8">
        <v>1.2</v>
      </c>
      <c r="K56" s="7">
        <v>3.36</v>
      </c>
    </row>
    <row r="57" spans="1:11" x14ac:dyDescent="0.3">
      <c r="A57" s="5" t="s">
        <v>53</v>
      </c>
      <c r="B57" s="3"/>
      <c r="C57" s="3"/>
      <c r="D57" s="8">
        <v>4.49</v>
      </c>
      <c r="E57" s="8">
        <v>2.52</v>
      </c>
      <c r="F57" s="3"/>
      <c r="G57" s="3"/>
      <c r="H57" s="3"/>
      <c r="I57" s="3"/>
      <c r="J57" s="3"/>
      <c r="K57" s="7">
        <v>3.5</v>
      </c>
    </row>
    <row r="58" spans="1:11" x14ac:dyDescent="0.3">
      <c r="A58" s="5" t="s">
        <v>47</v>
      </c>
      <c r="B58" s="3"/>
      <c r="C58" s="3"/>
      <c r="D58" s="3">
        <v>7.89</v>
      </c>
      <c r="E58" s="8">
        <v>3.83</v>
      </c>
      <c r="F58" s="3"/>
      <c r="G58" s="3"/>
      <c r="H58" s="3"/>
      <c r="I58" s="3"/>
      <c r="J58" s="3"/>
      <c r="K58" s="7">
        <v>5.45</v>
      </c>
    </row>
    <row r="61" spans="1:11" x14ac:dyDescent="0.3">
      <c r="A61" s="9" t="s">
        <v>54</v>
      </c>
    </row>
  </sheetData>
  <mergeCells count="6">
    <mergeCell ref="A45:E45"/>
    <mergeCell ref="A4:E4"/>
    <mergeCell ref="A13:E13"/>
    <mergeCell ref="A22:E22"/>
    <mergeCell ref="A31:E31"/>
    <mergeCell ref="A39:E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卡牌总表</vt:lpstr>
      <vt:lpstr>牌效计算表</vt:lpstr>
      <vt:lpstr>参数</vt:lpstr>
      <vt:lpstr>思路记录</vt:lpstr>
      <vt:lpstr>费伤比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</dc:creator>
  <cp:lastModifiedBy>viter U</cp:lastModifiedBy>
  <dcterms:created xsi:type="dcterms:W3CDTF">2015-06-05T18:19:34Z</dcterms:created>
  <dcterms:modified xsi:type="dcterms:W3CDTF">2026-08-22T06:41:09Z</dcterms:modified>
</cp:coreProperties>
</file>