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\Desktop\简历\Collection\策划\"/>
    </mc:Choice>
  </mc:AlternateContent>
  <xr:revisionPtr revIDLastSave="0" documentId="13_ncr:1_{DAB2C644-A6E9-4002-85B5-B15F621840F4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ttk_dfs" sheetId="1" r:id="rId1"/>
    <sheet name="赛季调整" sheetId="2" r:id="rId2"/>
    <sheet name="容错计算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5" i="3"/>
  <c r="L6" i="3"/>
  <c r="L4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4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5" i="3"/>
  <c r="J6" i="3"/>
  <c r="J7" i="3"/>
  <c r="J8" i="3"/>
  <c r="J9" i="3"/>
  <c r="J10" i="3"/>
  <c r="J4" i="3"/>
  <c r="G48" i="3"/>
  <c r="H48" i="3" s="1"/>
  <c r="G5" i="3"/>
  <c r="H5" i="3" s="1"/>
  <c r="G6" i="3"/>
  <c r="H6" i="3" s="1"/>
  <c r="G14" i="3"/>
  <c r="H14" i="3" s="1"/>
  <c r="G17" i="3"/>
  <c r="H17" i="3" s="1"/>
  <c r="G19" i="3"/>
  <c r="H19" i="3" s="1"/>
  <c r="D40" i="3"/>
  <c r="G40" i="3" s="1"/>
  <c r="H40" i="3" s="1"/>
  <c r="D41" i="3"/>
  <c r="G41" i="3" s="1"/>
  <c r="H41" i="3" s="1"/>
  <c r="D42" i="3"/>
  <c r="G42" i="3" s="1"/>
  <c r="H42" i="3" s="1"/>
  <c r="D43" i="3"/>
  <c r="G43" i="3" s="1"/>
  <c r="H43" i="3" s="1"/>
  <c r="D44" i="3"/>
  <c r="G44" i="3" s="1"/>
  <c r="H44" i="3" s="1"/>
  <c r="D45" i="3"/>
  <c r="G45" i="3" s="1"/>
  <c r="H45" i="3" s="1"/>
  <c r="D46" i="3"/>
  <c r="G46" i="3" s="1"/>
  <c r="H46" i="3" s="1"/>
  <c r="D47" i="3"/>
  <c r="G47" i="3" s="1"/>
  <c r="H47" i="3" s="1"/>
  <c r="D48" i="3"/>
  <c r="D9" i="3"/>
  <c r="G9" i="3" s="1"/>
  <c r="H9" i="3" s="1"/>
  <c r="D10" i="3"/>
  <c r="G10" i="3" s="1"/>
  <c r="H10" i="3" s="1"/>
  <c r="D11" i="3"/>
  <c r="G11" i="3" s="1"/>
  <c r="H11" i="3" s="1"/>
  <c r="D12" i="3"/>
  <c r="G12" i="3" s="1"/>
  <c r="H12" i="3" s="1"/>
  <c r="D13" i="3"/>
  <c r="G13" i="3" s="1"/>
  <c r="H13" i="3" s="1"/>
  <c r="D14" i="3"/>
  <c r="D15" i="3"/>
  <c r="G15" i="3" s="1"/>
  <c r="H15" i="3" s="1"/>
  <c r="D16" i="3"/>
  <c r="G16" i="3" s="1"/>
  <c r="H16" i="3" s="1"/>
  <c r="D17" i="3"/>
  <c r="D18" i="3"/>
  <c r="G18" i="3" s="1"/>
  <c r="H18" i="3" s="1"/>
  <c r="D19" i="3"/>
  <c r="D20" i="3"/>
  <c r="G20" i="3" s="1"/>
  <c r="H20" i="3" s="1"/>
  <c r="D21" i="3"/>
  <c r="G21" i="3" s="1"/>
  <c r="H21" i="3" s="1"/>
  <c r="D22" i="3"/>
  <c r="G22" i="3" s="1"/>
  <c r="H22" i="3" s="1"/>
  <c r="D23" i="3"/>
  <c r="G23" i="3" s="1"/>
  <c r="H23" i="3" s="1"/>
  <c r="D24" i="3"/>
  <c r="G24" i="3" s="1"/>
  <c r="H24" i="3" s="1"/>
  <c r="D25" i="3"/>
  <c r="G25" i="3" s="1"/>
  <c r="H25" i="3" s="1"/>
  <c r="D26" i="3"/>
  <c r="G26" i="3" s="1"/>
  <c r="H26" i="3" s="1"/>
  <c r="D27" i="3"/>
  <c r="G27" i="3" s="1"/>
  <c r="H27" i="3" s="1"/>
  <c r="D28" i="3"/>
  <c r="G28" i="3" s="1"/>
  <c r="H28" i="3" s="1"/>
  <c r="D29" i="3"/>
  <c r="G29" i="3" s="1"/>
  <c r="H29" i="3" s="1"/>
  <c r="D30" i="3"/>
  <c r="G30" i="3" s="1"/>
  <c r="H30" i="3" s="1"/>
  <c r="D31" i="3"/>
  <c r="G31" i="3" s="1"/>
  <c r="H31" i="3" s="1"/>
  <c r="D32" i="3"/>
  <c r="G32" i="3" s="1"/>
  <c r="H32" i="3" s="1"/>
  <c r="D33" i="3"/>
  <c r="G33" i="3" s="1"/>
  <c r="H33" i="3" s="1"/>
  <c r="D34" i="3"/>
  <c r="G34" i="3" s="1"/>
  <c r="H34" i="3" s="1"/>
  <c r="D35" i="3"/>
  <c r="G35" i="3" s="1"/>
  <c r="H35" i="3" s="1"/>
  <c r="D36" i="3"/>
  <c r="G36" i="3" s="1"/>
  <c r="H36" i="3" s="1"/>
  <c r="D37" i="3"/>
  <c r="G37" i="3" s="1"/>
  <c r="H37" i="3" s="1"/>
  <c r="D38" i="3"/>
  <c r="G38" i="3" s="1"/>
  <c r="H38" i="3" s="1"/>
  <c r="D39" i="3"/>
  <c r="G39" i="3" s="1"/>
  <c r="H39" i="3" s="1"/>
  <c r="D5" i="3"/>
  <c r="D6" i="3"/>
  <c r="D7" i="3"/>
  <c r="G7" i="3" s="1"/>
  <c r="H7" i="3" s="1"/>
  <c r="D8" i="3"/>
  <c r="G8" i="3" s="1"/>
  <c r="H8" i="3" s="1"/>
  <c r="D4" i="3"/>
  <c r="G4" i="3" s="1"/>
  <c r="H4" i="3" s="1"/>
  <c r="F18" i="3"/>
  <c r="L18" i="1"/>
  <c r="F12" i="3"/>
  <c r="F13" i="3"/>
  <c r="F14" i="3"/>
  <c r="F15" i="3"/>
  <c r="F16" i="3"/>
  <c r="F17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5" i="3"/>
  <c r="F6" i="3"/>
  <c r="F7" i="3"/>
  <c r="F8" i="3"/>
  <c r="F9" i="3"/>
  <c r="F10" i="3"/>
  <c r="F11" i="3"/>
  <c r="F4" i="3"/>
  <c r="S19" i="2"/>
  <c r="Q19" i="2"/>
  <c r="M19" i="2"/>
  <c r="R19" i="2" s="1"/>
  <c r="L19" i="2"/>
  <c r="K19" i="2"/>
  <c r="P19" i="2" s="1"/>
  <c r="J19" i="2"/>
  <c r="O19" i="2" s="1"/>
  <c r="H19" i="2"/>
  <c r="F19" i="2"/>
  <c r="S18" i="2"/>
  <c r="M18" i="2"/>
  <c r="R18" i="2" s="1"/>
  <c r="L18" i="2"/>
  <c r="Q18" i="2" s="1"/>
  <c r="K18" i="2"/>
  <c r="P18" i="2" s="1"/>
  <c r="J18" i="2"/>
  <c r="O18" i="2" s="1"/>
  <c r="H18" i="2"/>
  <c r="F18" i="2"/>
  <c r="S17" i="2"/>
  <c r="M17" i="2"/>
  <c r="R17" i="2" s="1"/>
  <c r="L17" i="2"/>
  <c r="Q17" i="2" s="1"/>
  <c r="K17" i="2"/>
  <c r="P17" i="2" s="1"/>
  <c r="J17" i="2"/>
  <c r="O17" i="2" s="1"/>
  <c r="H17" i="2"/>
  <c r="F17" i="2"/>
  <c r="S16" i="2"/>
  <c r="M16" i="2"/>
  <c r="R16" i="2" s="1"/>
  <c r="L16" i="2"/>
  <c r="Q16" i="2" s="1"/>
  <c r="K16" i="2"/>
  <c r="P16" i="2" s="1"/>
  <c r="J16" i="2"/>
  <c r="O16" i="2" s="1"/>
  <c r="H16" i="2"/>
  <c r="F16" i="2"/>
  <c r="S15" i="2"/>
  <c r="R15" i="2"/>
  <c r="M15" i="2"/>
  <c r="L15" i="2"/>
  <c r="Q15" i="2" s="1"/>
  <c r="K15" i="2"/>
  <c r="P15" i="2" s="1"/>
  <c r="J15" i="2"/>
  <c r="O15" i="2" s="1"/>
  <c r="H15" i="2"/>
  <c r="F15" i="2"/>
  <c r="S14" i="2"/>
  <c r="M14" i="2"/>
  <c r="R14" i="2" s="1"/>
  <c r="L14" i="2"/>
  <c r="Q14" i="2" s="1"/>
  <c r="K14" i="2"/>
  <c r="P14" i="2" s="1"/>
  <c r="J14" i="2"/>
  <c r="O14" i="2" s="1"/>
  <c r="H14" i="2"/>
  <c r="F14" i="2"/>
  <c r="S13" i="2"/>
  <c r="M13" i="2"/>
  <c r="R13" i="2" s="1"/>
  <c r="L13" i="2"/>
  <c r="Q13" i="2" s="1"/>
  <c r="K13" i="2"/>
  <c r="P13" i="2" s="1"/>
  <c r="J13" i="2"/>
  <c r="O13" i="2" s="1"/>
  <c r="H13" i="2"/>
  <c r="F13" i="2"/>
  <c r="S12" i="2"/>
  <c r="M12" i="2"/>
  <c r="R12" i="2" s="1"/>
  <c r="L12" i="2"/>
  <c r="Q12" i="2" s="1"/>
  <c r="K12" i="2"/>
  <c r="P12" i="2" s="1"/>
  <c r="J12" i="2"/>
  <c r="O12" i="2" s="1"/>
  <c r="H12" i="2"/>
  <c r="F12" i="2"/>
  <c r="S11" i="2"/>
  <c r="M11" i="2"/>
  <c r="R11" i="2" s="1"/>
  <c r="L11" i="2"/>
  <c r="Q11" i="2" s="1"/>
  <c r="K11" i="2"/>
  <c r="P11" i="2" s="1"/>
  <c r="J11" i="2"/>
  <c r="O11" i="2" s="1"/>
  <c r="H11" i="2"/>
  <c r="F11" i="2"/>
  <c r="S10" i="2"/>
  <c r="M10" i="2"/>
  <c r="R10" i="2" s="1"/>
  <c r="L10" i="2"/>
  <c r="Q10" i="2" s="1"/>
  <c r="K10" i="2"/>
  <c r="P10" i="2" s="1"/>
  <c r="J10" i="2"/>
  <c r="O10" i="2" s="1"/>
  <c r="H10" i="2"/>
  <c r="F10" i="2"/>
  <c r="S9" i="2"/>
  <c r="M9" i="2"/>
  <c r="R9" i="2" s="1"/>
  <c r="L9" i="2"/>
  <c r="Q9" i="2" s="1"/>
  <c r="K9" i="2"/>
  <c r="P9" i="2" s="1"/>
  <c r="J9" i="2"/>
  <c r="O9" i="2" s="1"/>
  <c r="H9" i="2"/>
  <c r="F9" i="2"/>
  <c r="S8" i="2"/>
  <c r="M8" i="2"/>
  <c r="R8" i="2" s="1"/>
  <c r="L8" i="2"/>
  <c r="Q8" i="2" s="1"/>
  <c r="K8" i="2"/>
  <c r="P8" i="2" s="1"/>
  <c r="J8" i="2"/>
  <c r="O8" i="2" s="1"/>
  <c r="H8" i="2"/>
  <c r="F8" i="2"/>
  <c r="D5" i="2"/>
  <c r="S5" i="2" s="1"/>
  <c r="S6" i="2"/>
  <c r="S7" i="2"/>
  <c r="S4" i="2"/>
  <c r="S6" i="1"/>
  <c r="S46" i="1"/>
  <c r="S47" i="1"/>
  <c r="S48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9" i="1"/>
  <c r="S10" i="1"/>
  <c r="S11" i="1"/>
  <c r="S12" i="1"/>
  <c r="S13" i="1"/>
  <c r="S14" i="1"/>
  <c r="S15" i="1"/>
  <c r="S16" i="1"/>
  <c r="S17" i="1"/>
  <c r="S18" i="1"/>
  <c r="S19" i="1"/>
  <c r="S20" i="1"/>
  <c r="S5" i="1"/>
  <c r="S7" i="1"/>
  <c r="S8" i="1"/>
  <c r="S4" i="1"/>
  <c r="D7" i="2"/>
  <c r="M7" i="2" s="1"/>
  <c r="R7" i="2" s="1"/>
  <c r="M6" i="2"/>
  <c r="R6" i="2" s="1"/>
  <c r="L6" i="2"/>
  <c r="Q6" i="2" s="1"/>
  <c r="K6" i="2"/>
  <c r="P6" i="2" s="1"/>
  <c r="J6" i="2"/>
  <c r="O6" i="2" s="1"/>
  <c r="H6" i="2"/>
  <c r="F6" i="2"/>
  <c r="M4" i="2"/>
  <c r="R4" i="2" s="1"/>
  <c r="L4" i="2"/>
  <c r="Q4" i="2" s="1"/>
  <c r="K4" i="2"/>
  <c r="P4" i="2" s="1"/>
  <c r="J4" i="2"/>
  <c r="O4" i="2" s="1"/>
  <c r="H4" i="2"/>
  <c r="F4" i="2"/>
  <c r="K36" i="1"/>
  <c r="L36" i="1"/>
  <c r="M36" i="1"/>
  <c r="K37" i="1"/>
  <c r="L37" i="1"/>
  <c r="M37" i="1"/>
  <c r="K38" i="1"/>
  <c r="L38" i="1"/>
  <c r="M38" i="1"/>
  <c r="K39" i="1"/>
  <c r="L39" i="1"/>
  <c r="M39" i="1"/>
  <c r="R39" i="1" s="1"/>
  <c r="K40" i="1"/>
  <c r="L40" i="1"/>
  <c r="Q40" i="1" s="1"/>
  <c r="M40" i="1"/>
  <c r="R40" i="1" s="1"/>
  <c r="K41" i="1"/>
  <c r="P41" i="1" s="1"/>
  <c r="L41" i="1"/>
  <c r="Q41" i="1" s="1"/>
  <c r="M41" i="1"/>
  <c r="R41" i="1" s="1"/>
  <c r="K42" i="1"/>
  <c r="P42" i="1" s="1"/>
  <c r="L42" i="1"/>
  <c r="Q42" i="1" s="1"/>
  <c r="M42" i="1"/>
  <c r="K43" i="1"/>
  <c r="P43" i="1" s="1"/>
  <c r="L43" i="1"/>
  <c r="Q43" i="1" s="1"/>
  <c r="M43" i="1"/>
  <c r="R43" i="1" s="1"/>
  <c r="K44" i="1"/>
  <c r="P44" i="1" s="1"/>
  <c r="L44" i="1"/>
  <c r="Q44" i="1" s="1"/>
  <c r="M44" i="1"/>
  <c r="R44" i="1" s="1"/>
  <c r="K45" i="1"/>
  <c r="P45" i="1" s="1"/>
  <c r="L45" i="1"/>
  <c r="Q45" i="1" s="1"/>
  <c r="M45" i="1"/>
  <c r="R45" i="1" s="1"/>
  <c r="K46" i="1"/>
  <c r="P46" i="1" s="1"/>
  <c r="L46" i="1"/>
  <c r="Q46" i="1" s="1"/>
  <c r="M46" i="1"/>
  <c r="K47" i="1"/>
  <c r="P47" i="1" s="1"/>
  <c r="L47" i="1"/>
  <c r="Q47" i="1" s="1"/>
  <c r="M47" i="1"/>
  <c r="R47" i="1" s="1"/>
  <c r="J37" i="1"/>
  <c r="J38" i="1"/>
  <c r="O38" i="1" s="1"/>
  <c r="J39" i="1"/>
  <c r="J40" i="1"/>
  <c r="J41" i="1"/>
  <c r="J42" i="1"/>
  <c r="O42" i="1" s="1"/>
  <c r="J43" i="1"/>
  <c r="O43" i="1" s="1"/>
  <c r="J44" i="1"/>
  <c r="O44" i="1" s="1"/>
  <c r="J45" i="1"/>
  <c r="O45" i="1" s="1"/>
  <c r="J46" i="1"/>
  <c r="J47" i="1"/>
  <c r="O47" i="1" s="1"/>
  <c r="F39" i="1"/>
  <c r="F40" i="1"/>
  <c r="F41" i="1"/>
  <c r="F42" i="1"/>
  <c r="F43" i="1"/>
  <c r="F44" i="1"/>
  <c r="F45" i="1"/>
  <c r="F46" i="1"/>
  <c r="F47" i="1"/>
  <c r="F48" i="1"/>
  <c r="H41" i="1"/>
  <c r="H42" i="1"/>
  <c r="H43" i="1"/>
  <c r="H44" i="1"/>
  <c r="H45" i="1"/>
  <c r="H46" i="1"/>
  <c r="H47" i="1"/>
  <c r="H48" i="1"/>
  <c r="O46" i="1"/>
  <c r="K48" i="1"/>
  <c r="P48" i="1" s="1"/>
  <c r="L48" i="1"/>
  <c r="Q48" i="1" s="1"/>
  <c r="M48" i="1"/>
  <c r="R48" i="1" s="1"/>
  <c r="J48" i="1"/>
  <c r="O48" i="1" s="1"/>
  <c r="R42" i="1"/>
  <c r="Q39" i="1"/>
  <c r="P40" i="1"/>
  <c r="R46" i="1"/>
  <c r="P39" i="1"/>
  <c r="O39" i="1"/>
  <c r="O40" i="1"/>
  <c r="O41" i="1"/>
  <c r="P38" i="1"/>
  <c r="Q38" i="1"/>
  <c r="R38" i="1"/>
  <c r="H38" i="1"/>
  <c r="H39" i="1"/>
  <c r="H40" i="1"/>
  <c r="F38" i="1"/>
  <c r="D37" i="1"/>
  <c r="F37" i="1" s="1"/>
  <c r="H34" i="1"/>
  <c r="H35" i="1"/>
  <c r="H36" i="1"/>
  <c r="F34" i="1"/>
  <c r="F35" i="1"/>
  <c r="F36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F3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4" i="1"/>
  <c r="H4" i="1"/>
  <c r="K22" i="1"/>
  <c r="L22" i="1"/>
  <c r="Q22" i="1" s="1"/>
  <c r="M22" i="1"/>
  <c r="R22" i="1" s="1"/>
  <c r="K23" i="1"/>
  <c r="P23" i="1" s="1"/>
  <c r="L23" i="1"/>
  <c r="M23" i="1"/>
  <c r="J23" i="1"/>
  <c r="O23" i="1" s="1"/>
  <c r="P16" i="1"/>
  <c r="Q16" i="1"/>
  <c r="R16" i="1"/>
  <c r="P17" i="1"/>
  <c r="Q17" i="1"/>
  <c r="R17" i="1"/>
  <c r="P18" i="1"/>
  <c r="Q18" i="1"/>
  <c r="R18" i="1"/>
  <c r="R19" i="1"/>
  <c r="Q20" i="1"/>
  <c r="R20" i="1"/>
  <c r="Q21" i="1"/>
  <c r="R21" i="1"/>
  <c r="R27" i="1"/>
  <c r="P28" i="1"/>
  <c r="Q28" i="1"/>
  <c r="Q29" i="1"/>
  <c r="R29" i="1"/>
  <c r="Q30" i="1"/>
  <c r="O17" i="1"/>
  <c r="O18" i="1"/>
  <c r="K17" i="1"/>
  <c r="L17" i="1"/>
  <c r="M17" i="1"/>
  <c r="K18" i="1"/>
  <c r="M18" i="1"/>
  <c r="K19" i="1"/>
  <c r="P19" i="1" s="1"/>
  <c r="L19" i="1"/>
  <c r="Q19" i="1" s="1"/>
  <c r="M19" i="1"/>
  <c r="K20" i="1"/>
  <c r="P20" i="1" s="1"/>
  <c r="L20" i="1"/>
  <c r="M20" i="1"/>
  <c r="K21" i="1"/>
  <c r="P21" i="1" s="1"/>
  <c r="L21" i="1"/>
  <c r="M21" i="1"/>
  <c r="P22" i="1"/>
  <c r="Q23" i="1"/>
  <c r="R23" i="1"/>
  <c r="K24" i="1"/>
  <c r="P24" i="1" s="1"/>
  <c r="L24" i="1"/>
  <c r="Q24" i="1" s="1"/>
  <c r="M24" i="1"/>
  <c r="R24" i="1" s="1"/>
  <c r="K25" i="1"/>
  <c r="P25" i="1" s="1"/>
  <c r="L25" i="1"/>
  <c r="Q25" i="1" s="1"/>
  <c r="M25" i="1"/>
  <c r="R25" i="1" s="1"/>
  <c r="K26" i="1"/>
  <c r="P26" i="1" s="1"/>
  <c r="L26" i="1"/>
  <c r="Q26" i="1" s="1"/>
  <c r="M26" i="1"/>
  <c r="R26" i="1" s="1"/>
  <c r="K27" i="1"/>
  <c r="P27" i="1" s="1"/>
  <c r="L27" i="1"/>
  <c r="Q27" i="1" s="1"/>
  <c r="M27" i="1"/>
  <c r="K28" i="1"/>
  <c r="L28" i="1"/>
  <c r="M28" i="1"/>
  <c r="R28" i="1" s="1"/>
  <c r="K29" i="1"/>
  <c r="P29" i="1" s="1"/>
  <c r="L29" i="1"/>
  <c r="M29" i="1"/>
  <c r="K30" i="1"/>
  <c r="P30" i="1" s="1"/>
  <c r="L30" i="1"/>
  <c r="M30" i="1"/>
  <c r="R30" i="1" s="1"/>
  <c r="K31" i="1"/>
  <c r="P31" i="1" s="1"/>
  <c r="L31" i="1"/>
  <c r="Q31" i="1" s="1"/>
  <c r="M31" i="1"/>
  <c r="R31" i="1" s="1"/>
  <c r="K32" i="1"/>
  <c r="P32" i="1" s="1"/>
  <c r="L32" i="1"/>
  <c r="Q32" i="1" s="1"/>
  <c r="M32" i="1"/>
  <c r="R32" i="1" s="1"/>
  <c r="K33" i="1"/>
  <c r="P33" i="1" s="1"/>
  <c r="L33" i="1"/>
  <c r="Q33" i="1" s="1"/>
  <c r="M33" i="1"/>
  <c r="R33" i="1" s="1"/>
  <c r="K34" i="1"/>
  <c r="P34" i="1" s="1"/>
  <c r="L34" i="1"/>
  <c r="Q34" i="1" s="1"/>
  <c r="M34" i="1"/>
  <c r="R34" i="1" s="1"/>
  <c r="K35" i="1"/>
  <c r="P35" i="1" s="1"/>
  <c r="L35" i="1"/>
  <c r="Q35" i="1" s="1"/>
  <c r="M35" i="1"/>
  <c r="R35" i="1" s="1"/>
  <c r="P36" i="1"/>
  <c r="Q36" i="1"/>
  <c r="R36" i="1"/>
  <c r="J18" i="1"/>
  <c r="J19" i="1"/>
  <c r="O19" i="1" s="1"/>
  <c r="J20" i="1"/>
  <c r="O20" i="1" s="1"/>
  <c r="J21" i="1"/>
  <c r="O21" i="1" s="1"/>
  <c r="J22" i="1"/>
  <c r="O22" i="1" s="1"/>
  <c r="J24" i="1"/>
  <c r="O24" i="1" s="1"/>
  <c r="J25" i="1"/>
  <c r="O25" i="1" s="1"/>
  <c r="J26" i="1"/>
  <c r="O26" i="1" s="1"/>
  <c r="J27" i="1"/>
  <c r="O27" i="1" s="1"/>
  <c r="J28" i="1"/>
  <c r="O28" i="1" s="1"/>
  <c r="J29" i="1"/>
  <c r="O29" i="1" s="1"/>
  <c r="J30" i="1"/>
  <c r="O30" i="1" s="1"/>
  <c r="J31" i="1"/>
  <c r="O31" i="1" s="1"/>
  <c r="J32" i="1"/>
  <c r="O32" i="1" s="1"/>
  <c r="J33" i="1"/>
  <c r="O33" i="1" s="1"/>
  <c r="J34" i="1"/>
  <c r="O34" i="1" s="1"/>
  <c r="J35" i="1"/>
  <c r="O35" i="1" s="1"/>
  <c r="J36" i="1"/>
  <c r="O36" i="1" s="1"/>
  <c r="D18" i="1"/>
  <c r="J17" i="1"/>
  <c r="O16" i="1"/>
  <c r="J16" i="1"/>
  <c r="K16" i="1"/>
  <c r="L16" i="1"/>
  <c r="M16" i="1"/>
  <c r="P13" i="1"/>
  <c r="Q13" i="1"/>
  <c r="R13" i="1"/>
  <c r="P14" i="1"/>
  <c r="Q14" i="1"/>
  <c r="R14" i="1"/>
  <c r="P15" i="1"/>
  <c r="Q15" i="1"/>
  <c r="R15" i="1"/>
  <c r="O14" i="1"/>
  <c r="O15" i="1"/>
  <c r="K14" i="1"/>
  <c r="L14" i="1"/>
  <c r="M14" i="1"/>
  <c r="K15" i="1"/>
  <c r="L15" i="1"/>
  <c r="M15" i="1"/>
  <c r="J15" i="1"/>
  <c r="J14" i="1"/>
  <c r="O13" i="1"/>
  <c r="M13" i="1"/>
  <c r="J13" i="1"/>
  <c r="K13" i="1"/>
  <c r="L13" i="1"/>
  <c r="R12" i="1"/>
  <c r="Q12" i="1"/>
  <c r="P12" i="1"/>
  <c r="O12" i="1"/>
  <c r="M12" i="1"/>
  <c r="L12" i="1"/>
  <c r="K12" i="1"/>
  <c r="J12" i="1"/>
  <c r="R11" i="1"/>
  <c r="Q11" i="1"/>
  <c r="P11" i="1"/>
  <c r="O11" i="1"/>
  <c r="M11" i="1"/>
  <c r="L11" i="1"/>
  <c r="K11" i="1"/>
  <c r="J11" i="1"/>
  <c r="R10" i="1"/>
  <c r="Q10" i="1"/>
  <c r="P10" i="1"/>
  <c r="O10" i="1"/>
  <c r="M10" i="1"/>
  <c r="L10" i="1"/>
  <c r="K10" i="1"/>
  <c r="J10" i="1"/>
  <c r="R9" i="1"/>
  <c r="Q9" i="1"/>
  <c r="P9" i="1"/>
  <c r="O9" i="1"/>
  <c r="M9" i="1"/>
  <c r="L9" i="1"/>
  <c r="K9" i="1"/>
  <c r="J9" i="1"/>
  <c r="R8" i="1"/>
  <c r="Q8" i="1"/>
  <c r="P8" i="1"/>
  <c r="O8" i="1"/>
  <c r="M8" i="1"/>
  <c r="L8" i="1"/>
  <c r="K8" i="1"/>
  <c r="J8" i="1"/>
  <c r="R7" i="1"/>
  <c r="Q7" i="1"/>
  <c r="P7" i="1"/>
  <c r="O7" i="1"/>
  <c r="M7" i="1"/>
  <c r="L7" i="1"/>
  <c r="K7" i="1"/>
  <c r="J7" i="1"/>
  <c r="R6" i="1"/>
  <c r="Q6" i="1"/>
  <c r="P6" i="1"/>
  <c r="O6" i="1"/>
  <c r="M6" i="1"/>
  <c r="L6" i="1"/>
  <c r="K6" i="1"/>
  <c r="J6" i="1"/>
  <c r="R5" i="1"/>
  <c r="Q5" i="1"/>
  <c r="P5" i="1"/>
  <c r="O5" i="1"/>
  <c r="M5" i="1"/>
  <c r="L5" i="1"/>
  <c r="K5" i="1"/>
  <c r="J5" i="1"/>
  <c r="R4" i="1"/>
  <c r="Q4" i="1"/>
  <c r="P4" i="1"/>
  <c r="O4" i="1"/>
  <c r="M4" i="1"/>
  <c r="L4" i="1"/>
  <c r="K4" i="1"/>
  <c r="J4" i="1"/>
  <c r="M5" i="2" l="1"/>
  <c r="R5" i="2" s="1"/>
  <c r="F7" i="2"/>
  <c r="H7" i="2"/>
  <c r="J7" i="2"/>
  <c r="O7" i="2" s="1"/>
  <c r="K7" i="2"/>
  <c r="P7" i="2" s="1"/>
  <c r="L7" i="2"/>
  <c r="Q7" i="2" s="1"/>
  <c r="F5" i="2"/>
  <c r="H5" i="2"/>
  <c r="J5" i="2"/>
  <c r="O5" i="2" s="1"/>
  <c r="K5" i="2"/>
  <c r="P5" i="2" s="1"/>
  <c r="L5" i="2"/>
  <c r="Q5" i="2" s="1"/>
  <c r="H37" i="1"/>
  <c r="O37" i="1"/>
  <c r="R37" i="1"/>
  <c r="Q37" i="1"/>
  <c r="P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</author>
  </authors>
  <commentList>
    <comment ref="D7" authorId="0" shapeId="0" xr:uid="{CA0D193E-16D4-41B2-8100-688DB9A74BD9}">
      <text>
        <r>
          <rPr>
            <b/>
            <sz val="9"/>
            <color indexed="81"/>
            <rFont val="宋体"/>
            <family val="3"/>
            <charset val="134"/>
          </rPr>
          <t>V:</t>
        </r>
        <r>
          <rPr>
            <sz val="9"/>
            <color indexed="81"/>
            <rFont val="宋体"/>
            <family val="3"/>
            <charset val="134"/>
          </rPr>
          <t xml:space="preserve">
20~24，此处我取中值
</t>
        </r>
      </text>
    </comment>
    <comment ref="D22" authorId="0" shapeId="0" xr:uid="{F4A5309C-94A4-47EB-B652-7905035B6E87}">
      <text>
        <r>
          <rPr>
            <b/>
            <sz val="9"/>
            <color indexed="81"/>
            <rFont val="宋体"/>
            <family val="3"/>
            <charset val="134"/>
          </rPr>
          <t>V:</t>
        </r>
        <r>
          <rPr>
            <sz val="9"/>
            <color indexed="81"/>
            <rFont val="宋体"/>
            <family val="3"/>
            <charset val="134"/>
          </rPr>
          <t xml:space="preserve">
打甲23，打肉26
此处取了24</t>
        </r>
      </text>
    </comment>
  </commentList>
</comments>
</file>

<file path=xl/sharedStrings.xml><?xml version="1.0" encoding="utf-8"?>
<sst xmlns="http://schemas.openxmlformats.org/spreadsheetml/2006/main" count="258" uniqueCount="115">
  <si>
    <t>序号</t>
    <phoneticPr fontId="1" type="noConversion"/>
  </si>
  <si>
    <t>武器列表</t>
    <phoneticPr fontId="1" type="noConversion"/>
  </si>
  <si>
    <t>单发伤害</t>
    <phoneticPr fontId="1" type="noConversion"/>
  </si>
  <si>
    <t>胸部</t>
    <phoneticPr fontId="1" type="noConversion"/>
  </si>
  <si>
    <t>腿部</t>
    <phoneticPr fontId="1" type="noConversion"/>
  </si>
  <si>
    <t>头部</t>
    <phoneticPr fontId="1" type="noConversion"/>
  </si>
  <si>
    <t>弹匣容量</t>
    <phoneticPr fontId="1" type="noConversion"/>
  </si>
  <si>
    <t>击杀需要的子弹数量</t>
    <phoneticPr fontId="1" type="noConversion"/>
  </si>
  <si>
    <t>DFS 
第一秒内伤害
（全打胸）</t>
    <phoneticPr fontId="1" type="noConversion"/>
  </si>
  <si>
    <t>白甲
（150）</t>
    <phoneticPr fontId="1" type="noConversion"/>
  </si>
  <si>
    <t>蓝甲
（175）</t>
    <phoneticPr fontId="1" type="noConversion"/>
  </si>
  <si>
    <t>紫甲
（200）</t>
    <phoneticPr fontId="1" type="noConversion"/>
  </si>
  <si>
    <t>红甲
（225）</t>
    <phoneticPr fontId="1" type="noConversion"/>
  </si>
  <si>
    <t>伤害倍率</t>
    <phoneticPr fontId="1" type="noConversion"/>
  </si>
  <si>
    <t>具体数值</t>
    <phoneticPr fontId="1" type="noConversion"/>
  </si>
  <si>
    <t>备注</t>
    <phoneticPr fontId="1" type="noConversion"/>
  </si>
  <si>
    <t>塞拉轻机枪</t>
    <phoneticPr fontId="1" type="noConversion"/>
  </si>
  <si>
    <t>专注轻机枪</t>
    <phoneticPr fontId="1" type="noConversion"/>
  </si>
  <si>
    <t>有涡轮</t>
    <phoneticPr fontId="1" type="noConversion"/>
  </si>
  <si>
    <t>无涡轮</t>
    <phoneticPr fontId="1" type="noConversion"/>
  </si>
  <si>
    <t>RPM</t>
    <phoneticPr fontId="1" type="noConversion"/>
  </si>
  <si>
    <t>TTK（全打胸，单位秒）</t>
    <phoneticPr fontId="1" type="noConversion"/>
  </si>
  <si>
    <t>L-star</t>
    <phoneticPr fontId="1" type="noConversion"/>
  </si>
  <si>
    <t>空投武器</t>
    <phoneticPr fontId="1" type="noConversion"/>
  </si>
  <si>
    <t>猎兽冲锋枪</t>
    <phoneticPr fontId="1" type="noConversion"/>
  </si>
  <si>
    <t>全自动</t>
    <phoneticPr fontId="1" type="noConversion"/>
  </si>
  <si>
    <t>五连发</t>
    <phoneticPr fontId="1" type="noConversion"/>
  </si>
  <si>
    <t>20/25/30/35</t>
    <phoneticPr fontId="1" type="noConversion"/>
  </si>
  <si>
    <t>哈沃克</t>
    <phoneticPr fontId="1" type="noConversion"/>
  </si>
  <si>
    <t>18/21/25/29</t>
    <phoneticPr fontId="1" type="noConversion"/>
  </si>
  <si>
    <t>Eva-8</t>
    <phoneticPr fontId="1" type="noConversion"/>
  </si>
  <si>
    <t>紫枪栓</t>
    <phoneticPr fontId="1" type="noConversion"/>
  </si>
  <si>
    <t>紫枪栓+双发扳机</t>
    <phoneticPr fontId="1" type="noConversion"/>
  </si>
  <si>
    <t>此处RPM暴降是因为
双发只是射出2发的速度变短一些等效于这个RPM</t>
    <phoneticPr fontId="1" type="noConversion"/>
  </si>
  <si>
    <t>莫桑比克</t>
    <phoneticPr fontId="1" type="noConversion"/>
  </si>
  <si>
    <t>双持</t>
    <phoneticPr fontId="1" type="noConversion"/>
  </si>
  <si>
    <t>双持-紫枪栓</t>
    <phoneticPr fontId="1" type="noConversion"/>
  </si>
  <si>
    <t>复仇女神</t>
    <phoneticPr fontId="1" type="noConversion"/>
  </si>
  <si>
    <t>涡轮</t>
    <phoneticPr fontId="1" type="noConversion"/>
  </si>
  <si>
    <t>无涡轮</t>
    <phoneticPr fontId="1" type="noConversion"/>
  </si>
  <si>
    <t>20/24/28/32</t>
    <phoneticPr fontId="1" type="noConversion"/>
  </si>
  <si>
    <t>C.A.R冲锋枪</t>
    <phoneticPr fontId="1" type="noConversion"/>
  </si>
  <si>
    <t>20/23/26/30</t>
    <phoneticPr fontId="1" type="noConversion"/>
  </si>
  <si>
    <t>转换者冲锋枪</t>
    <phoneticPr fontId="1" type="noConversion"/>
  </si>
  <si>
    <t>普通</t>
    <phoneticPr fontId="1" type="noConversion"/>
  </si>
  <si>
    <t>双发</t>
    <phoneticPr fontId="1" type="noConversion"/>
  </si>
  <si>
    <t>18/20/22/26</t>
    <phoneticPr fontId="1" type="noConversion"/>
  </si>
  <si>
    <t>平行步枪</t>
    <phoneticPr fontId="1" type="noConversion"/>
  </si>
  <si>
    <t>彩虹子弹</t>
    <phoneticPr fontId="1" type="noConversion"/>
  </si>
  <si>
    <t>19/23/27/29</t>
    <phoneticPr fontId="1" type="noConversion"/>
  </si>
  <si>
    <t>21/25/29/31</t>
    <phoneticPr fontId="1" type="noConversion"/>
  </si>
  <si>
    <t>P2020</t>
    <phoneticPr fontId="1" type="noConversion"/>
  </si>
  <si>
    <t>双持-锤击点</t>
    <phoneticPr fontId="1" type="noConversion"/>
  </si>
  <si>
    <t>18/21/24/27</t>
    <phoneticPr fontId="1" type="noConversion"/>
  </si>
  <si>
    <t>R-99</t>
    <phoneticPr fontId="1" type="noConversion"/>
  </si>
  <si>
    <t>R-301</t>
    <phoneticPr fontId="1" type="noConversion"/>
  </si>
  <si>
    <t>暴走轻机枪</t>
    <phoneticPr fontId="1" type="noConversion"/>
  </si>
  <si>
    <t>充能</t>
    <phoneticPr fontId="1" type="noConversion"/>
  </si>
  <si>
    <t>28/32/34/40</t>
    <phoneticPr fontId="1" type="noConversion"/>
  </si>
  <si>
    <t>21/23/28/31</t>
    <phoneticPr fontId="1" type="noConversion"/>
  </si>
  <si>
    <t>喷火轻机枪</t>
    <phoneticPr fontId="1" type="noConversion"/>
  </si>
  <si>
    <t>RE-45</t>
    <phoneticPr fontId="1" type="noConversion"/>
  </si>
  <si>
    <t>15/18/21/24</t>
    <phoneticPr fontId="1" type="noConversion"/>
  </si>
  <si>
    <t>35/40/45/50</t>
    <phoneticPr fontId="1" type="noConversion"/>
  </si>
  <si>
    <t>小帮手</t>
    <phoneticPr fontId="1" type="noConversion"/>
  </si>
  <si>
    <t>电能冲锋枪</t>
    <phoneticPr fontId="1" type="noConversion"/>
  </si>
  <si>
    <t>默认</t>
    <phoneticPr fontId="1" type="noConversion"/>
  </si>
  <si>
    <t>彩色子弹</t>
    <phoneticPr fontId="1" type="noConversion"/>
  </si>
  <si>
    <t>5/6/7/8</t>
    <phoneticPr fontId="1" type="noConversion"/>
  </si>
  <si>
    <t>7/8/9/10</t>
    <phoneticPr fontId="1" type="noConversion"/>
  </si>
  <si>
    <t>20/22//24/27</t>
    <phoneticPr fontId="1" type="noConversion"/>
  </si>
  <si>
    <t>22/24/26/29</t>
    <phoneticPr fontId="1" type="noConversion"/>
  </si>
  <si>
    <t>赫姆洛克</t>
    <phoneticPr fontId="1" type="noConversion"/>
  </si>
  <si>
    <t>18/20/22/25</t>
    <phoneticPr fontId="1" type="noConversion"/>
  </si>
  <si>
    <t>3030连发枪</t>
    <phoneticPr fontId="1" type="noConversion"/>
  </si>
  <si>
    <t>空投武器-普通</t>
    <phoneticPr fontId="1" type="noConversion"/>
  </si>
  <si>
    <t>空投</t>
    <phoneticPr fontId="1" type="noConversion"/>
  </si>
  <si>
    <t>空投武器-粉碎帽</t>
    <phoneticPr fontId="1" type="noConversion"/>
  </si>
  <si>
    <t>波塞克</t>
    <phoneticPr fontId="1" type="noConversion"/>
  </si>
  <si>
    <t>满蓄力</t>
    <phoneticPr fontId="1" type="noConversion"/>
  </si>
  <si>
    <t>满蓄力-爆炸充能</t>
    <phoneticPr fontId="1" type="noConversion"/>
  </si>
  <si>
    <t>G7侦察枪</t>
    <phoneticPr fontId="1" type="noConversion"/>
  </si>
  <si>
    <t>10/12/14/16</t>
    <phoneticPr fontId="1" type="noConversion"/>
  </si>
  <si>
    <t>獒犬霰弹枪</t>
    <phoneticPr fontId="1" type="noConversion"/>
  </si>
  <si>
    <t>紫枪栓</t>
    <phoneticPr fontId="1" type="noConversion"/>
  </si>
  <si>
    <t>三重狙击枪</t>
    <phoneticPr fontId="1" type="noConversion"/>
  </si>
  <si>
    <t>开镜</t>
    <phoneticPr fontId="1" type="noConversion"/>
  </si>
  <si>
    <t>腰射</t>
    <phoneticPr fontId="1" type="noConversion"/>
  </si>
  <si>
    <t>6/7/8/10</t>
    <phoneticPr fontId="1" type="noConversion"/>
  </si>
  <si>
    <t>充能步枪</t>
    <phoneticPr fontId="1" type="noConversion"/>
  </si>
  <si>
    <t>连发</t>
    <phoneticPr fontId="1" type="noConversion"/>
  </si>
  <si>
    <t>6/7/8/9</t>
    <phoneticPr fontId="1" type="noConversion"/>
  </si>
  <si>
    <t>4/5/6/7</t>
    <phoneticPr fontId="1" type="noConversion"/>
  </si>
  <si>
    <t>长弓</t>
    <phoneticPr fontId="1" type="noConversion"/>
  </si>
  <si>
    <t>6/8/10/12</t>
    <phoneticPr fontId="1" type="noConversion"/>
  </si>
  <si>
    <t>和平捍卫者</t>
    <phoneticPr fontId="1" type="noConversion"/>
  </si>
  <si>
    <t>克雷贝尔</t>
    <phoneticPr fontId="1" type="noConversion"/>
  </si>
  <si>
    <t>哨兵狙击枪</t>
    <phoneticPr fontId="1" type="noConversion"/>
  </si>
  <si>
    <t>充电</t>
    <phoneticPr fontId="1" type="noConversion"/>
  </si>
  <si>
    <t>赛季</t>
    <phoneticPr fontId="1" type="noConversion"/>
  </si>
  <si>
    <t>20/24/26/30</t>
    <phoneticPr fontId="1" type="noConversion"/>
  </si>
  <si>
    <t>削弱了1点伤害</t>
    <phoneticPr fontId="1" type="noConversion"/>
  </si>
  <si>
    <t>加强了11点伤害</t>
    <phoneticPr fontId="1" type="noConversion"/>
  </si>
  <si>
    <t>出空投，削弱了4点伤害</t>
    <phoneticPr fontId="1" type="noConversion"/>
  </si>
  <si>
    <t>最大弹容量</t>
    <phoneticPr fontId="1" type="noConversion"/>
  </si>
  <si>
    <t>击杀紫甲
需要的子弹数</t>
    <phoneticPr fontId="1" type="noConversion"/>
  </si>
  <si>
    <t>紫甲秒杀
容错率</t>
    <phoneticPr fontId="1" type="noConversion"/>
  </si>
  <si>
    <t>武器名称</t>
    <phoneticPr fontId="1" type="noConversion"/>
  </si>
  <si>
    <t>36/40/44/48</t>
    <phoneticPr fontId="1" type="noConversion"/>
  </si>
  <si>
    <t>单发伤害
（胸部）</t>
    <phoneticPr fontId="1" type="noConversion"/>
  </si>
  <si>
    <t>子弹容错数</t>
    <phoneticPr fontId="1" type="noConversion"/>
  </si>
  <si>
    <t>TTM
（弹匣打空时间）
单位：秒</t>
    <phoneticPr fontId="1" type="noConversion"/>
  </si>
  <si>
    <t>允许空枪的时间
单位：秒</t>
    <phoneticPr fontId="1" type="noConversion"/>
  </si>
  <si>
    <t>TTK
（击杀紫甲）
单位：秒</t>
    <phoneticPr fontId="1" type="noConversion"/>
  </si>
  <si>
    <t>波塞克是复合弓，只能把子弹全部打空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</si>
</sst>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workbookViewId="0">
      <selection activeCell="T1" sqref="T1:X3"/>
    </sheetView>
  </sheetViews>
  <sheetFormatPr defaultRowHeight="14" x14ac:dyDescent="0.3"/>
  <cols>
    <col min="1" max="1" width="8.6640625" style="1"/>
    <col min="2" max="2" width="12.33203125" style="1" bestFit="1" customWidth="1"/>
    <col min="3" max="3" width="15.6640625" style="1" bestFit="1" customWidth="1"/>
    <col min="4" max="4" width="8.6640625" style="1"/>
    <col min="5" max="8" width="8.6640625" style="3"/>
    <col min="9" max="9" width="11.25" style="1" bestFit="1" customWidth="1"/>
    <col min="10" max="14" width="8.6640625" style="1"/>
    <col min="15" max="18" width="8.6640625" style="3"/>
    <col min="19" max="19" width="15.1640625" style="1" customWidth="1"/>
    <col min="20" max="16384" width="8.6640625" style="1"/>
  </cols>
  <sheetData>
    <row r="1" spans="1:24" x14ac:dyDescent="0.3">
      <c r="A1" s="9" t="s">
        <v>0</v>
      </c>
      <c r="B1" s="9" t="s">
        <v>1</v>
      </c>
      <c r="C1" s="9"/>
      <c r="D1" s="9" t="s">
        <v>2</v>
      </c>
      <c r="E1" s="9"/>
      <c r="F1" s="9"/>
      <c r="G1" s="9"/>
      <c r="H1" s="9"/>
      <c r="I1" s="9" t="s">
        <v>6</v>
      </c>
      <c r="J1" s="9" t="s">
        <v>7</v>
      </c>
      <c r="K1" s="9"/>
      <c r="L1" s="9"/>
      <c r="M1" s="9"/>
      <c r="N1" s="9" t="s">
        <v>20</v>
      </c>
      <c r="O1" s="11" t="s">
        <v>21</v>
      </c>
      <c r="P1" s="11"/>
      <c r="Q1" s="11"/>
      <c r="R1" s="11"/>
      <c r="S1" s="10" t="s">
        <v>8</v>
      </c>
      <c r="T1" s="9" t="s">
        <v>15</v>
      </c>
      <c r="U1" s="9"/>
      <c r="V1" s="9"/>
      <c r="W1" s="9"/>
      <c r="X1" s="9"/>
    </row>
    <row r="2" spans="1:24" ht="14" customHeight="1" x14ac:dyDescent="0.3">
      <c r="A2" s="9"/>
      <c r="B2" s="9"/>
      <c r="C2" s="9"/>
      <c r="D2" s="9" t="s">
        <v>3</v>
      </c>
      <c r="E2" s="11" t="s">
        <v>4</v>
      </c>
      <c r="F2" s="11"/>
      <c r="G2" s="11" t="s">
        <v>5</v>
      </c>
      <c r="H2" s="11"/>
      <c r="I2" s="9"/>
      <c r="J2" s="2" t="s">
        <v>9</v>
      </c>
      <c r="K2" s="2" t="s">
        <v>10</v>
      </c>
      <c r="L2" s="2" t="s">
        <v>11</v>
      </c>
      <c r="M2" s="2" t="s">
        <v>12</v>
      </c>
      <c r="N2" s="9"/>
      <c r="O2" s="4" t="s">
        <v>9</v>
      </c>
      <c r="P2" s="4" t="s">
        <v>10</v>
      </c>
      <c r="Q2" s="4" t="s">
        <v>11</v>
      </c>
      <c r="R2" s="4" t="s">
        <v>12</v>
      </c>
      <c r="S2" s="10"/>
      <c r="T2" s="9"/>
      <c r="U2" s="9"/>
      <c r="V2" s="9"/>
      <c r="W2" s="9"/>
      <c r="X2" s="9"/>
    </row>
    <row r="3" spans="1:24" x14ac:dyDescent="0.3">
      <c r="A3" s="9"/>
      <c r="B3" s="9"/>
      <c r="C3" s="9"/>
      <c r="D3" s="9"/>
      <c r="E3" s="3" t="s">
        <v>13</v>
      </c>
      <c r="F3" s="3" t="s">
        <v>14</v>
      </c>
      <c r="G3" s="3" t="s">
        <v>13</v>
      </c>
      <c r="H3" s="3" t="s">
        <v>14</v>
      </c>
      <c r="I3" s="9"/>
      <c r="J3" s="1">
        <v>150</v>
      </c>
      <c r="K3" s="1">
        <v>175</v>
      </c>
      <c r="L3" s="1">
        <v>200</v>
      </c>
      <c r="M3" s="1">
        <v>225</v>
      </c>
      <c r="N3" s="9"/>
      <c r="O3" s="3">
        <v>150</v>
      </c>
      <c r="P3" s="3">
        <v>175</v>
      </c>
      <c r="Q3" s="3">
        <v>200</v>
      </c>
      <c r="R3" s="3">
        <v>225</v>
      </c>
      <c r="S3" s="10"/>
      <c r="T3" s="9"/>
      <c r="U3" s="9"/>
      <c r="V3" s="9"/>
      <c r="W3" s="9"/>
      <c r="X3" s="9"/>
    </row>
    <row r="4" spans="1:24" x14ac:dyDescent="0.3">
      <c r="A4" s="1">
        <v>1</v>
      </c>
      <c r="B4" s="9" t="s">
        <v>16</v>
      </c>
      <c r="C4" s="9"/>
      <c r="D4" s="1">
        <v>14</v>
      </c>
      <c r="E4" s="3">
        <v>1</v>
      </c>
      <c r="F4" s="3">
        <f>FLOOR(D4*E4,1)</f>
        <v>14</v>
      </c>
      <c r="G4" s="3">
        <v>2</v>
      </c>
      <c r="H4" s="3">
        <f>FLOOR(D4*G4,1)</f>
        <v>28</v>
      </c>
      <c r="I4" s="1">
        <v>173</v>
      </c>
      <c r="J4" s="1">
        <f>CEILING(J$3/$D4,1)</f>
        <v>11</v>
      </c>
      <c r="K4" s="1">
        <f t="shared" ref="K4:M6" si="0">CEILING(K$3/$D4,1)</f>
        <v>13</v>
      </c>
      <c r="L4" s="1">
        <f t="shared" si="0"/>
        <v>15</v>
      </c>
      <c r="M4" s="1">
        <f t="shared" si="0"/>
        <v>17</v>
      </c>
      <c r="N4" s="2">
        <v>1200</v>
      </c>
      <c r="O4" s="3">
        <f t="shared" ref="O4:R5" si="1">(J4-1)*(60/$N4)</f>
        <v>0.5</v>
      </c>
      <c r="P4" s="3">
        <f t="shared" si="1"/>
        <v>0.60000000000000009</v>
      </c>
      <c r="Q4" s="3">
        <f t="shared" si="1"/>
        <v>0.70000000000000007</v>
      </c>
      <c r="R4" s="3">
        <f t="shared" si="1"/>
        <v>0.8</v>
      </c>
      <c r="S4" s="1">
        <f>TRUNC($D4*($N4/60))</f>
        <v>280</v>
      </c>
      <c r="T4" s="9"/>
      <c r="U4" s="9"/>
      <c r="V4" s="9"/>
      <c r="W4" s="9"/>
      <c r="X4" s="9"/>
    </row>
    <row r="5" spans="1:24" x14ac:dyDescent="0.3">
      <c r="A5" s="9">
        <v>2</v>
      </c>
      <c r="B5" s="9" t="s">
        <v>17</v>
      </c>
      <c r="C5" s="1" t="s">
        <v>18</v>
      </c>
      <c r="D5" s="1">
        <v>16</v>
      </c>
      <c r="E5" s="3">
        <v>0.9</v>
      </c>
      <c r="F5" s="3">
        <f t="shared" ref="F5:F32" si="2">FLOOR(D5*E5,1)</f>
        <v>14</v>
      </c>
      <c r="G5" s="3">
        <v>1.25</v>
      </c>
      <c r="H5" s="3">
        <f t="shared" ref="H5:H48" si="3">FLOOR(D5*G5,1)</f>
        <v>20</v>
      </c>
      <c r="I5" s="9" t="s">
        <v>108</v>
      </c>
      <c r="J5" s="1">
        <f>CEILING(J$3/$D5,1)</f>
        <v>10</v>
      </c>
      <c r="K5" s="1">
        <f t="shared" si="0"/>
        <v>11</v>
      </c>
      <c r="L5" s="1">
        <f t="shared" si="0"/>
        <v>13</v>
      </c>
      <c r="M5" s="1">
        <f t="shared" si="0"/>
        <v>15</v>
      </c>
      <c r="N5" s="1">
        <v>900</v>
      </c>
      <c r="O5" s="3">
        <f t="shared" si="1"/>
        <v>0.6</v>
      </c>
      <c r="P5" s="3">
        <f t="shared" si="1"/>
        <v>0.66666666666666663</v>
      </c>
      <c r="Q5" s="3">
        <f t="shared" si="1"/>
        <v>0.8</v>
      </c>
      <c r="R5" s="3">
        <f t="shared" si="1"/>
        <v>0.93333333333333335</v>
      </c>
      <c r="S5" s="1">
        <f t="shared" ref="S5:S48" si="4">TRUNC($D5*($N5/60))</f>
        <v>240</v>
      </c>
      <c r="T5" s="9"/>
      <c r="U5" s="9"/>
      <c r="V5" s="9"/>
      <c r="W5" s="9"/>
      <c r="X5" s="9"/>
    </row>
    <row r="6" spans="1:24" x14ac:dyDescent="0.3">
      <c r="A6" s="9"/>
      <c r="B6" s="9"/>
      <c r="C6" s="1" t="s">
        <v>19</v>
      </c>
      <c r="D6" s="1">
        <v>16</v>
      </c>
      <c r="E6" s="3">
        <v>0.9</v>
      </c>
      <c r="F6" s="3">
        <f t="shared" si="2"/>
        <v>14</v>
      </c>
      <c r="G6" s="3">
        <v>1.25</v>
      </c>
      <c r="H6" s="3">
        <f t="shared" si="3"/>
        <v>20</v>
      </c>
      <c r="I6" s="9"/>
      <c r="J6" s="1">
        <f t="shared" ref="J6:M21" si="5">CEILING(J$3/$D6,1)</f>
        <v>10</v>
      </c>
      <c r="K6" s="1">
        <f t="shared" si="0"/>
        <v>11</v>
      </c>
      <c r="L6" s="1">
        <f t="shared" si="0"/>
        <v>13</v>
      </c>
      <c r="M6" s="1">
        <f t="shared" si="0"/>
        <v>15</v>
      </c>
      <c r="N6" s="1">
        <v>300</v>
      </c>
      <c r="O6" s="3">
        <f t="shared" ref="O6:O48" si="6">(J6-1)*(60/$N6)</f>
        <v>1.8</v>
      </c>
      <c r="P6" s="3">
        <f t="shared" ref="P6:R21" si="7">(K6-1)*(60/$N6)</f>
        <v>2</v>
      </c>
      <c r="Q6" s="3">
        <f t="shared" si="7"/>
        <v>2.4000000000000004</v>
      </c>
      <c r="R6" s="3">
        <f t="shared" si="7"/>
        <v>2.8000000000000003</v>
      </c>
      <c r="S6" s="1">
        <f>TRUNC($D6*($N6/60))</f>
        <v>80</v>
      </c>
      <c r="T6" s="9"/>
      <c r="U6" s="9"/>
      <c r="V6" s="9"/>
      <c r="W6" s="9"/>
      <c r="X6" s="9"/>
    </row>
    <row r="7" spans="1:24" x14ac:dyDescent="0.3">
      <c r="A7" s="1">
        <v>3</v>
      </c>
      <c r="B7" s="1" t="s">
        <v>22</v>
      </c>
      <c r="C7" s="1" t="s">
        <v>23</v>
      </c>
      <c r="D7" s="1">
        <v>22</v>
      </c>
      <c r="E7" s="3">
        <v>0.8</v>
      </c>
      <c r="F7" s="3">
        <f t="shared" si="2"/>
        <v>17</v>
      </c>
      <c r="G7" s="3">
        <v>1.25</v>
      </c>
      <c r="H7" s="3">
        <f t="shared" si="3"/>
        <v>27</v>
      </c>
      <c r="I7" s="1">
        <v>28</v>
      </c>
      <c r="J7" s="1">
        <f t="shared" si="5"/>
        <v>7</v>
      </c>
      <c r="K7" s="1">
        <f t="shared" ref="K7:K13" si="8">CEILING(K$3/$D7,1)</f>
        <v>8</v>
      </c>
      <c r="L7" s="1">
        <f t="shared" si="5"/>
        <v>10</v>
      </c>
      <c r="M7" s="1">
        <f t="shared" si="5"/>
        <v>11</v>
      </c>
      <c r="N7" s="1">
        <v>600</v>
      </c>
      <c r="O7" s="3">
        <f t="shared" si="6"/>
        <v>0.60000000000000009</v>
      </c>
      <c r="P7" s="3">
        <f t="shared" si="7"/>
        <v>0.70000000000000007</v>
      </c>
      <c r="Q7" s="3">
        <f t="shared" si="7"/>
        <v>0.9</v>
      </c>
      <c r="R7" s="3">
        <f t="shared" ref="R7:R48" si="9">(M7-1)*(60/$N7)</f>
        <v>1</v>
      </c>
      <c r="S7" s="1">
        <f t="shared" si="4"/>
        <v>220</v>
      </c>
      <c r="T7" s="9"/>
      <c r="U7" s="9"/>
      <c r="V7" s="9"/>
      <c r="W7" s="9"/>
      <c r="X7" s="9"/>
    </row>
    <row r="8" spans="1:24" x14ac:dyDescent="0.3">
      <c r="A8" s="9">
        <v>4</v>
      </c>
      <c r="B8" s="9" t="s">
        <v>24</v>
      </c>
      <c r="C8" s="1" t="s">
        <v>25</v>
      </c>
      <c r="D8" s="1">
        <v>17</v>
      </c>
      <c r="E8" s="3">
        <v>0.8</v>
      </c>
      <c r="F8" s="3">
        <f t="shared" si="2"/>
        <v>13</v>
      </c>
      <c r="G8" s="3">
        <v>1.2</v>
      </c>
      <c r="H8" s="3">
        <f t="shared" si="3"/>
        <v>20</v>
      </c>
      <c r="I8" s="9" t="s">
        <v>27</v>
      </c>
      <c r="J8" s="1">
        <f t="shared" si="5"/>
        <v>9</v>
      </c>
      <c r="K8" s="1">
        <f t="shared" si="8"/>
        <v>11</v>
      </c>
      <c r="L8" s="1">
        <f t="shared" si="5"/>
        <v>12</v>
      </c>
      <c r="M8" s="1">
        <f t="shared" si="5"/>
        <v>14</v>
      </c>
      <c r="N8" s="1">
        <v>800</v>
      </c>
      <c r="O8" s="3">
        <f t="shared" si="6"/>
        <v>0.6</v>
      </c>
      <c r="P8" s="3">
        <f t="shared" si="7"/>
        <v>0.75</v>
      </c>
      <c r="Q8" s="3">
        <f t="shared" si="7"/>
        <v>0.82499999999999996</v>
      </c>
      <c r="R8" s="3">
        <f t="shared" si="9"/>
        <v>0.97499999999999998</v>
      </c>
      <c r="S8" s="1">
        <f t="shared" si="4"/>
        <v>226</v>
      </c>
      <c r="T8" s="9"/>
      <c r="U8" s="9"/>
      <c r="V8" s="9"/>
      <c r="W8" s="9"/>
      <c r="X8" s="9"/>
    </row>
    <row r="9" spans="1:24" x14ac:dyDescent="0.3">
      <c r="A9" s="9"/>
      <c r="B9" s="9"/>
      <c r="C9" s="1" t="s">
        <v>26</v>
      </c>
      <c r="D9" s="1">
        <v>16</v>
      </c>
      <c r="E9" s="3">
        <v>0.8</v>
      </c>
      <c r="F9" s="3">
        <f t="shared" si="2"/>
        <v>12</v>
      </c>
      <c r="G9" s="3">
        <v>1.2</v>
      </c>
      <c r="H9" s="3">
        <f t="shared" si="3"/>
        <v>19</v>
      </c>
      <c r="I9" s="9"/>
      <c r="J9" s="1">
        <f t="shared" si="5"/>
        <v>10</v>
      </c>
      <c r="K9" s="1">
        <f t="shared" si="8"/>
        <v>11</v>
      </c>
      <c r="L9" s="1">
        <f t="shared" si="5"/>
        <v>13</v>
      </c>
      <c r="M9" s="1">
        <f t="shared" si="5"/>
        <v>15</v>
      </c>
      <c r="N9" s="1">
        <v>820</v>
      </c>
      <c r="O9" s="3">
        <f t="shared" si="6"/>
        <v>0.65853658536585358</v>
      </c>
      <c r="P9" s="3">
        <f t="shared" si="7"/>
        <v>0.73170731707317072</v>
      </c>
      <c r="Q9" s="3">
        <f t="shared" si="7"/>
        <v>0.87804878048780477</v>
      </c>
      <c r="R9" s="3">
        <f t="shared" si="9"/>
        <v>1.024390243902439</v>
      </c>
      <c r="S9" s="1">
        <f t="shared" si="4"/>
        <v>218</v>
      </c>
      <c r="T9" s="9"/>
      <c r="U9" s="9"/>
      <c r="V9" s="9"/>
      <c r="W9" s="9"/>
      <c r="X9" s="9"/>
    </row>
    <row r="10" spans="1:24" x14ac:dyDescent="0.3">
      <c r="A10" s="1">
        <v>5</v>
      </c>
      <c r="B10" s="9" t="s">
        <v>28</v>
      </c>
      <c r="C10" s="9"/>
      <c r="D10" s="1">
        <v>20</v>
      </c>
      <c r="E10" s="3">
        <v>0.75</v>
      </c>
      <c r="F10" s="3">
        <f t="shared" si="2"/>
        <v>15</v>
      </c>
      <c r="G10" s="3">
        <v>1.25</v>
      </c>
      <c r="H10" s="3">
        <f t="shared" si="3"/>
        <v>25</v>
      </c>
      <c r="I10" s="1" t="s">
        <v>29</v>
      </c>
      <c r="J10" s="1">
        <f t="shared" si="5"/>
        <v>8</v>
      </c>
      <c r="K10" s="1">
        <f t="shared" si="8"/>
        <v>9</v>
      </c>
      <c r="L10" s="1">
        <f t="shared" si="5"/>
        <v>10</v>
      </c>
      <c r="M10" s="1">
        <f t="shared" si="5"/>
        <v>12</v>
      </c>
      <c r="N10" s="1">
        <v>672</v>
      </c>
      <c r="O10" s="3">
        <f t="shared" si="6"/>
        <v>0.625</v>
      </c>
      <c r="P10" s="3">
        <f t="shared" si="7"/>
        <v>0.7142857142857143</v>
      </c>
      <c r="Q10" s="3">
        <f t="shared" si="7"/>
        <v>0.8035714285714286</v>
      </c>
      <c r="R10" s="3">
        <f t="shared" si="9"/>
        <v>0.98214285714285721</v>
      </c>
      <c r="S10" s="1">
        <f t="shared" si="4"/>
        <v>224</v>
      </c>
      <c r="T10" s="9"/>
      <c r="U10" s="9"/>
      <c r="V10" s="9"/>
      <c r="W10" s="9"/>
      <c r="X10" s="9"/>
    </row>
    <row r="11" spans="1:24" x14ac:dyDescent="0.3">
      <c r="A11" s="9">
        <v>6</v>
      </c>
      <c r="B11" s="9" t="s">
        <v>30</v>
      </c>
      <c r="C11" s="1" t="s">
        <v>31</v>
      </c>
      <c r="D11" s="1">
        <v>56</v>
      </c>
      <c r="E11" s="3">
        <v>1</v>
      </c>
      <c r="F11" s="3">
        <f t="shared" si="2"/>
        <v>56</v>
      </c>
      <c r="G11" s="3">
        <v>1</v>
      </c>
      <c r="H11" s="3">
        <f t="shared" si="3"/>
        <v>56</v>
      </c>
      <c r="I11" s="9">
        <v>8</v>
      </c>
      <c r="J11" s="1">
        <f t="shared" si="5"/>
        <v>3</v>
      </c>
      <c r="K11" s="1">
        <f t="shared" si="8"/>
        <v>4</v>
      </c>
      <c r="L11" s="1">
        <f t="shared" si="5"/>
        <v>4</v>
      </c>
      <c r="M11" s="1">
        <f t="shared" si="5"/>
        <v>5</v>
      </c>
      <c r="N11" s="1">
        <v>200</v>
      </c>
      <c r="O11" s="3">
        <f t="shared" si="6"/>
        <v>0.6</v>
      </c>
      <c r="P11" s="3">
        <f t="shared" si="7"/>
        <v>0.89999999999999991</v>
      </c>
      <c r="Q11" s="3">
        <f t="shared" si="7"/>
        <v>0.89999999999999991</v>
      </c>
      <c r="R11" s="3">
        <f t="shared" si="9"/>
        <v>1.2</v>
      </c>
      <c r="S11" s="1">
        <f t="shared" si="4"/>
        <v>186</v>
      </c>
      <c r="T11" s="10" t="s">
        <v>33</v>
      </c>
      <c r="U11" s="9"/>
      <c r="V11" s="9"/>
      <c r="W11" s="9"/>
      <c r="X11" s="9"/>
    </row>
    <row r="12" spans="1:24" x14ac:dyDescent="0.3">
      <c r="A12" s="9"/>
      <c r="B12" s="9"/>
      <c r="C12" s="1" t="s">
        <v>32</v>
      </c>
      <c r="D12" s="1">
        <v>102</v>
      </c>
      <c r="E12" s="3">
        <v>1</v>
      </c>
      <c r="F12" s="3">
        <f t="shared" si="2"/>
        <v>102</v>
      </c>
      <c r="G12" s="3">
        <v>1.25</v>
      </c>
      <c r="H12" s="3">
        <f t="shared" si="3"/>
        <v>127</v>
      </c>
      <c r="I12" s="9"/>
      <c r="J12" s="1">
        <f t="shared" si="5"/>
        <v>2</v>
      </c>
      <c r="K12" s="1">
        <f t="shared" si="8"/>
        <v>2</v>
      </c>
      <c r="L12" s="1">
        <f t="shared" si="5"/>
        <v>2</v>
      </c>
      <c r="M12" s="1">
        <f t="shared" si="5"/>
        <v>3</v>
      </c>
      <c r="N12" s="1">
        <v>43</v>
      </c>
      <c r="O12" s="3">
        <f t="shared" si="6"/>
        <v>1.3953488372093024</v>
      </c>
      <c r="P12" s="3">
        <f t="shared" si="7"/>
        <v>1.3953488372093024</v>
      </c>
      <c r="Q12" s="3">
        <f t="shared" si="7"/>
        <v>1.3953488372093024</v>
      </c>
      <c r="R12" s="3">
        <f t="shared" si="9"/>
        <v>2.7906976744186047</v>
      </c>
      <c r="S12" s="1">
        <f t="shared" si="4"/>
        <v>73</v>
      </c>
      <c r="T12" s="9"/>
      <c r="U12" s="9"/>
      <c r="V12" s="9"/>
      <c r="W12" s="9"/>
      <c r="X12" s="9"/>
    </row>
    <row r="13" spans="1:24" x14ac:dyDescent="0.3">
      <c r="A13" s="1">
        <v>7</v>
      </c>
      <c r="B13" s="1" t="s">
        <v>34</v>
      </c>
      <c r="C13" s="1" t="s">
        <v>36</v>
      </c>
      <c r="D13" s="1">
        <v>51</v>
      </c>
      <c r="E13" s="3">
        <v>1</v>
      </c>
      <c r="F13" s="3">
        <f t="shared" si="2"/>
        <v>51</v>
      </c>
      <c r="G13" s="3">
        <v>1.25</v>
      </c>
      <c r="H13" s="3">
        <f t="shared" si="3"/>
        <v>63</v>
      </c>
      <c r="I13" s="1">
        <v>10</v>
      </c>
      <c r="J13" s="1">
        <f t="shared" si="5"/>
        <v>3</v>
      </c>
      <c r="K13" s="1">
        <f t="shared" si="8"/>
        <v>4</v>
      </c>
      <c r="L13" s="1">
        <f t="shared" si="5"/>
        <v>4</v>
      </c>
      <c r="M13" s="1">
        <f>CEILING(M$3/$D13,1)</f>
        <v>5</v>
      </c>
      <c r="N13" s="1">
        <v>210</v>
      </c>
      <c r="O13" s="3">
        <f t="shared" si="6"/>
        <v>0.5714285714285714</v>
      </c>
      <c r="P13" s="3">
        <f t="shared" si="7"/>
        <v>0.8571428571428571</v>
      </c>
      <c r="Q13" s="3">
        <f t="shared" si="7"/>
        <v>0.8571428571428571</v>
      </c>
      <c r="R13" s="3">
        <f t="shared" si="9"/>
        <v>1.1428571428571428</v>
      </c>
      <c r="S13" s="1">
        <f t="shared" si="4"/>
        <v>178</v>
      </c>
      <c r="T13" s="9"/>
      <c r="U13" s="9"/>
      <c r="V13" s="9"/>
      <c r="W13" s="9"/>
      <c r="X13" s="9"/>
    </row>
    <row r="14" spans="1:24" x14ac:dyDescent="0.3">
      <c r="A14" s="9">
        <v>8</v>
      </c>
      <c r="B14" s="9" t="s">
        <v>37</v>
      </c>
      <c r="C14" s="1" t="s">
        <v>38</v>
      </c>
      <c r="D14" s="1">
        <v>17</v>
      </c>
      <c r="E14" s="3">
        <v>0.75</v>
      </c>
      <c r="F14" s="3">
        <f t="shared" si="2"/>
        <v>12</v>
      </c>
      <c r="G14" s="3">
        <v>1.3</v>
      </c>
      <c r="H14" s="3">
        <f t="shared" si="3"/>
        <v>22</v>
      </c>
      <c r="I14" s="9" t="s">
        <v>40</v>
      </c>
      <c r="J14" s="1">
        <f t="shared" si="5"/>
        <v>9</v>
      </c>
      <c r="K14" s="1">
        <f t="shared" si="5"/>
        <v>11</v>
      </c>
      <c r="L14" s="1">
        <f t="shared" si="5"/>
        <v>12</v>
      </c>
      <c r="M14" s="1">
        <f t="shared" si="5"/>
        <v>14</v>
      </c>
      <c r="N14" s="1">
        <v>630</v>
      </c>
      <c r="O14" s="3">
        <f t="shared" si="6"/>
        <v>0.76190476190476186</v>
      </c>
      <c r="P14" s="3">
        <f t="shared" si="7"/>
        <v>0.95238095238095233</v>
      </c>
      <c r="Q14" s="3">
        <f t="shared" si="7"/>
        <v>1.0476190476190474</v>
      </c>
      <c r="R14" s="3">
        <f t="shared" si="9"/>
        <v>1.2380952380952381</v>
      </c>
      <c r="S14" s="1">
        <f t="shared" si="4"/>
        <v>178</v>
      </c>
      <c r="T14" s="9"/>
      <c r="U14" s="9"/>
      <c r="V14" s="9"/>
      <c r="W14" s="9"/>
      <c r="X14" s="9"/>
    </row>
    <row r="15" spans="1:24" x14ac:dyDescent="0.3">
      <c r="A15" s="9"/>
      <c r="B15" s="9"/>
      <c r="C15" s="1" t="s">
        <v>39</v>
      </c>
      <c r="D15" s="1">
        <v>17</v>
      </c>
      <c r="E15" s="3">
        <v>0.75</v>
      </c>
      <c r="F15" s="3">
        <f t="shared" si="2"/>
        <v>12</v>
      </c>
      <c r="G15" s="3">
        <v>1.3</v>
      </c>
      <c r="H15" s="3">
        <f t="shared" si="3"/>
        <v>22</v>
      </c>
      <c r="I15" s="9"/>
      <c r="J15" s="1">
        <f t="shared" si="5"/>
        <v>9</v>
      </c>
      <c r="K15" s="1">
        <f t="shared" si="5"/>
        <v>11</v>
      </c>
      <c r="L15" s="1">
        <f t="shared" si="5"/>
        <v>12</v>
      </c>
      <c r="M15" s="1">
        <f t="shared" si="5"/>
        <v>14</v>
      </c>
      <c r="N15" s="1">
        <v>560</v>
      </c>
      <c r="O15" s="3">
        <f t="shared" si="6"/>
        <v>0.8571428571428571</v>
      </c>
      <c r="P15" s="3">
        <f t="shared" si="7"/>
        <v>1.0714285714285714</v>
      </c>
      <c r="Q15" s="3">
        <f t="shared" si="7"/>
        <v>1.1785714285714286</v>
      </c>
      <c r="R15" s="3">
        <f t="shared" si="9"/>
        <v>1.3928571428571428</v>
      </c>
      <c r="S15" s="1">
        <f t="shared" si="4"/>
        <v>158</v>
      </c>
      <c r="T15" s="9"/>
      <c r="U15" s="9"/>
      <c r="V15" s="9"/>
      <c r="W15" s="9"/>
      <c r="X15" s="9"/>
    </row>
    <row r="16" spans="1:24" x14ac:dyDescent="0.3">
      <c r="A16" s="1">
        <v>9</v>
      </c>
      <c r="B16" s="9" t="s">
        <v>41</v>
      </c>
      <c r="C16" s="9"/>
      <c r="D16" s="1">
        <v>14</v>
      </c>
      <c r="E16" s="3">
        <v>0.8</v>
      </c>
      <c r="F16" s="3">
        <f t="shared" si="2"/>
        <v>11</v>
      </c>
      <c r="G16" s="3">
        <v>1.3</v>
      </c>
      <c r="H16" s="3">
        <f t="shared" si="3"/>
        <v>18</v>
      </c>
      <c r="I16" s="1" t="s">
        <v>42</v>
      </c>
      <c r="J16" s="1">
        <f t="shared" si="5"/>
        <v>11</v>
      </c>
      <c r="K16" s="1">
        <f t="shared" si="5"/>
        <v>13</v>
      </c>
      <c r="L16" s="1">
        <f t="shared" si="5"/>
        <v>15</v>
      </c>
      <c r="M16" s="1">
        <f t="shared" si="5"/>
        <v>17</v>
      </c>
      <c r="N16" s="1">
        <v>930</v>
      </c>
      <c r="O16" s="3">
        <f t="shared" si="6"/>
        <v>0.64516129032258063</v>
      </c>
      <c r="P16" s="3">
        <f t="shared" si="7"/>
        <v>0.77419354838709675</v>
      </c>
      <c r="Q16" s="3">
        <f t="shared" si="7"/>
        <v>0.90322580645161288</v>
      </c>
      <c r="R16" s="3">
        <f t="shared" si="9"/>
        <v>1.032258064516129</v>
      </c>
      <c r="S16" s="1">
        <f t="shared" si="4"/>
        <v>217</v>
      </c>
      <c r="T16" s="9"/>
      <c r="U16" s="9"/>
      <c r="V16" s="9"/>
      <c r="W16" s="9"/>
      <c r="X16" s="9"/>
    </row>
    <row r="17" spans="1:24" x14ac:dyDescent="0.3">
      <c r="A17" s="9">
        <v>10</v>
      </c>
      <c r="B17" s="9" t="s">
        <v>43</v>
      </c>
      <c r="C17" s="1" t="s">
        <v>44</v>
      </c>
      <c r="D17" s="1">
        <v>18</v>
      </c>
      <c r="E17" s="3">
        <v>0.8</v>
      </c>
      <c r="F17" s="3">
        <f t="shared" si="2"/>
        <v>14</v>
      </c>
      <c r="G17" s="3">
        <v>1.25</v>
      </c>
      <c r="H17" s="3">
        <f t="shared" si="3"/>
        <v>22</v>
      </c>
      <c r="I17" s="9" t="s">
        <v>46</v>
      </c>
      <c r="J17" s="1">
        <f t="shared" si="5"/>
        <v>9</v>
      </c>
      <c r="K17" s="1">
        <f t="shared" si="5"/>
        <v>10</v>
      </c>
      <c r="L17" s="1">
        <f t="shared" si="5"/>
        <v>12</v>
      </c>
      <c r="M17" s="1">
        <f t="shared" si="5"/>
        <v>13</v>
      </c>
      <c r="N17" s="1">
        <v>600</v>
      </c>
      <c r="O17" s="3">
        <f t="shared" si="6"/>
        <v>0.8</v>
      </c>
      <c r="P17" s="3">
        <f t="shared" si="7"/>
        <v>0.9</v>
      </c>
      <c r="Q17" s="3">
        <f t="shared" si="7"/>
        <v>1.1000000000000001</v>
      </c>
      <c r="R17" s="3">
        <f t="shared" si="9"/>
        <v>1.2000000000000002</v>
      </c>
      <c r="S17" s="1">
        <f t="shared" si="4"/>
        <v>180</v>
      </c>
      <c r="T17" s="9"/>
      <c r="U17" s="9"/>
      <c r="V17" s="9"/>
      <c r="W17" s="9"/>
      <c r="X17" s="9"/>
    </row>
    <row r="18" spans="1:24" x14ac:dyDescent="0.3">
      <c r="A18" s="9"/>
      <c r="B18" s="9"/>
      <c r="C18" s="1" t="s">
        <v>45</v>
      </c>
      <c r="D18" s="1">
        <f>14*2</f>
        <v>28</v>
      </c>
      <c r="E18" s="3">
        <v>0.8</v>
      </c>
      <c r="F18" s="3">
        <f t="shared" si="2"/>
        <v>22</v>
      </c>
      <c r="G18" s="3">
        <v>1.25</v>
      </c>
      <c r="H18" s="3">
        <f t="shared" si="3"/>
        <v>35</v>
      </c>
      <c r="I18" s="9"/>
      <c r="J18" s="1">
        <f t="shared" si="5"/>
        <v>6</v>
      </c>
      <c r="K18" s="1">
        <f t="shared" si="5"/>
        <v>7</v>
      </c>
      <c r="L18" s="1">
        <f t="shared" si="5"/>
        <v>8</v>
      </c>
      <c r="M18" s="1">
        <f t="shared" si="5"/>
        <v>9</v>
      </c>
      <c r="N18" s="1">
        <v>460</v>
      </c>
      <c r="O18" s="3">
        <f t="shared" si="6"/>
        <v>0.65217391304347827</v>
      </c>
      <c r="P18" s="3">
        <f t="shared" si="7"/>
        <v>0.78260869565217384</v>
      </c>
      <c r="Q18" s="3">
        <f t="shared" si="7"/>
        <v>0.91304347826086951</v>
      </c>
      <c r="R18" s="3">
        <f t="shared" si="9"/>
        <v>1.0434782608695652</v>
      </c>
      <c r="S18" s="1">
        <f t="shared" si="4"/>
        <v>214</v>
      </c>
      <c r="T18" s="9"/>
      <c r="U18" s="9"/>
      <c r="V18" s="9"/>
      <c r="W18" s="9"/>
      <c r="X18" s="9"/>
    </row>
    <row r="19" spans="1:24" x14ac:dyDescent="0.3">
      <c r="A19" s="9">
        <v>11</v>
      </c>
      <c r="B19" s="9" t="s">
        <v>47</v>
      </c>
      <c r="C19" s="1" t="s">
        <v>44</v>
      </c>
      <c r="D19" s="1">
        <v>20</v>
      </c>
      <c r="E19" s="3">
        <v>0.75</v>
      </c>
      <c r="F19" s="3">
        <f t="shared" si="2"/>
        <v>15</v>
      </c>
      <c r="G19" s="3">
        <v>1.3</v>
      </c>
      <c r="H19" s="3">
        <f t="shared" si="3"/>
        <v>26</v>
      </c>
      <c r="I19" s="1" t="s">
        <v>49</v>
      </c>
      <c r="J19" s="1">
        <f t="shared" si="5"/>
        <v>8</v>
      </c>
      <c r="K19" s="1">
        <f t="shared" si="5"/>
        <v>9</v>
      </c>
      <c r="L19" s="1">
        <f t="shared" si="5"/>
        <v>10</v>
      </c>
      <c r="M19" s="1">
        <f t="shared" si="5"/>
        <v>12</v>
      </c>
      <c r="N19" s="1">
        <v>600</v>
      </c>
      <c r="O19" s="3">
        <f t="shared" si="6"/>
        <v>0.70000000000000007</v>
      </c>
      <c r="P19" s="3">
        <f t="shared" si="7"/>
        <v>0.8</v>
      </c>
      <c r="Q19" s="3">
        <f t="shared" si="7"/>
        <v>0.9</v>
      </c>
      <c r="R19" s="3">
        <f t="shared" si="9"/>
        <v>1.1000000000000001</v>
      </c>
      <c r="S19" s="1">
        <f t="shared" si="4"/>
        <v>200</v>
      </c>
      <c r="T19" s="9"/>
      <c r="U19" s="9"/>
      <c r="V19" s="9"/>
      <c r="W19" s="9"/>
      <c r="X19" s="9"/>
    </row>
    <row r="20" spans="1:24" x14ac:dyDescent="0.3">
      <c r="A20" s="9"/>
      <c r="B20" s="9"/>
      <c r="C20" s="1" t="s">
        <v>48</v>
      </c>
      <c r="D20" s="1">
        <v>20</v>
      </c>
      <c r="E20" s="3">
        <v>0.75</v>
      </c>
      <c r="F20" s="3">
        <f t="shared" si="2"/>
        <v>15</v>
      </c>
      <c r="G20" s="3">
        <v>1.3</v>
      </c>
      <c r="H20" s="3">
        <f t="shared" si="3"/>
        <v>26</v>
      </c>
      <c r="I20" s="1" t="s">
        <v>50</v>
      </c>
      <c r="J20" s="1">
        <f t="shared" si="5"/>
        <v>8</v>
      </c>
      <c r="K20" s="1">
        <f t="shared" si="5"/>
        <v>9</v>
      </c>
      <c r="L20" s="1">
        <f t="shared" si="5"/>
        <v>10</v>
      </c>
      <c r="M20" s="1">
        <f t="shared" si="5"/>
        <v>12</v>
      </c>
      <c r="N20" s="1">
        <v>600</v>
      </c>
      <c r="O20" s="3">
        <f t="shared" si="6"/>
        <v>0.70000000000000007</v>
      </c>
      <c r="P20" s="3">
        <f t="shared" si="7"/>
        <v>0.8</v>
      </c>
      <c r="Q20" s="3">
        <f t="shared" si="7"/>
        <v>0.9</v>
      </c>
      <c r="R20" s="3">
        <f t="shared" si="9"/>
        <v>1.1000000000000001</v>
      </c>
      <c r="S20" s="1">
        <f t="shared" si="4"/>
        <v>200</v>
      </c>
      <c r="T20" s="9"/>
      <c r="U20" s="9"/>
      <c r="V20" s="9"/>
      <c r="W20" s="9"/>
      <c r="X20" s="9"/>
    </row>
    <row r="21" spans="1:24" x14ac:dyDescent="0.3">
      <c r="A21" s="9">
        <v>12</v>
      </c>
      <c r="B21" s="9" t="s">
        <v>51</v>
      </c>
      <c r="C21" s="1" t="s">
        <v>35</v>
      </c>
      <c r="D21" s="1">
        <v>24</v>
      </c>
      <c r="E21" s="3">
        <v>0.9</v>
      </c>
      <c r="F21" s="3">
        <f t="shared" si="2"/>
        <v>21</v>
      </c>
      <c r="G21" s="3">
        <v>1.25</v>
      </c>
      <c r="H21" s="3">
        <f t="shared" si="3"/>
        <v>30</v>
      </c>
      <c r="I21" s="9" t="s">
        <v>53</v>
      </c>
      <c r="J21" s="1">
        <f t="shared" si="5"/>
        <v>7</v>
      </c>
      <c r="K21" s="1">
        <f t="shared" si="5"/>
        <v>8</v>
      </c>
      <c r="L21" s="1">
        <f t="shared" si="5"/>
        <v>9</v>
      </c>
      <c r="M21" s="1">
        <f t="shared" si="5"/>
        <v>10</v>
      </c>
      <c r="N21" s="1">
        <v>450</v>
      </c>
      <c r="O21" s="3">
        <f t="shared" si="6"/>
        <v>0.8</v>
      </c>
      <c r="P21" s="3">
        <f t="shared" si="7"/>
        <v>0.93333333333333335</v>
      </c>
      <c r="Q21" s="3">
        <f t="shared" si="7"/>
        <v>1.0666666666666667</v>
      </c>
      <c r="R21" s="3">
        <f t="shared" si="9"/>
        <v>1.2</v>
      </c>
      <c r="S21" s="1">
        <f t="shared" si="4"/>
        <v>180</v>
      </c>
      <c r="T21" s="9"/>
      <c r="U21" s="9"/>
      <c r="V21" s="9"/>
      <c r="W21" s="9"/>
      <c r="X21" s="9"/>
    </row>
    <row r="22" spans="1:24" x14ac:dyDescent="0.3">
      <c r="A22" s="9"/>
      <c r="B22" s="9"/>
      <c r="C22" s="1" t="s">
        <v>52</v>
      </c>
      <c r="D22" s="1">
        <v>24</v>
      </c>
      <c r="E22" s="3">
        <v>0.9</v>
      </c>
      <c r="F22" s="3">
        <f t="shared" si="2"/>
        <v>21</v>
      </c>
      <c r="G22" s="3">
        <v>1.25</v>
      </c>
      <c r="H22" s="3">
        <f t="shared" si="3"/>
        <v>30</v>
      </c>
      <c r="I22" s="9"/>
      <c r="J22" s="1">
        <f t="shared" ref="J22:M41" si="10">CEILING(J$3/$D22,1)</f>
        <v>7</v>
      </c>
      <c r="K22" s="1">
        <f t="shared" si="10"/>
        <v>8</v>
      </c>
      <c r="L22" s="1">
        <f t="shared" si="10"/>
        <v>9</v>
      </c>
      <c r="M22" s="1">
        <f t="shared" si="10"/>
        <v>10</v>
      </c>
      <c r="N22" s="1">
        <v>450</v>
      </c>
      <c r="O22" s="3">
        <f t="shared" si="6"/>
        <v>0.8</v>
      </c>
      <c r="P22" s="3">
        <f t="shared" ref="P22:P48" si="11">(K22-1)*(60/$N22)</f>
        <v>0.93333333333333335</v>
      </c>
      <c r="Q22" s="3">
        <f t="shared" ref="Q22:Q48" si="12">(L22-1)*(60/$N22)</f>
        <v>1.0666666666666667</v>
      </c>
      <c r="R22" s="3">
        <f t="shared" si="9"/>
        <v>1.2</v>
      </c>
      <c r="S22" s="1">
        <f t="shared" si="4"/>
        <v>180</v>
      </c>
      <c r="T22" s="9"/>
      <c r="U22" s="9"/>
      <c r="V22" s="9"/>
      <c r="W22" s="9"/>
      <c r="X22" s="9"/>
    </row>
    <row r="23" spans="1:24" x14ac:dyDescent="0.3">
      <c r="A23" s="1">
        <v>13</v>
      </c>
      <c r="B23" s="9" t="s">
        <v>54</v>
      </c>
      <c r="C23" s="9"/>
      <c r="D23" s="1">
        <v>12</v>
      </c>
      <c r="E23" s="3">
        <v>0.8</v>
      </c>
      <c r="F23" s="3">
        <f t="shared" si="2"/>
        <v>9</v>
      </c>
      <c r="G23" s="3">
        <v>1.25</v>
      </c>
      <c r="H23" s="3">
        <f t="shared" si="3"/>
        <v>15</v>
      </c>
      <c r="I23" s="1" t="s">
        <v>53</v>
      </c>
      <c r="J23" s="1">
        <f t="shared" si="10"/>
        <v>13</v>
      </c>
      <c r="K23" s="1">
        <f t="shared" si="10"/>
        <v>15</v>
      </c>
      <c r="L23" s="1">
        <f t="shared" si="10"/>
        <v>17</v>
      </c>
      <c r="M23" s="1">
        <f t="shared" si="10"/>
        <v>19</v>
      </c>
      <c r="N23" s="1">
        <v>1080</v>
      </c>
      <c r="O23" s="3">
        <f t="shared" si="6"/>
        <v>0.66666666666666663</v>
      </c>
      <c r="P23" s="3">
        <f t="shared" si="11"/>
        <v>0.77777777777777768</v>
      </c>
      <c r="Q23" s="3">
        <f t="shared" si="12"/>
        <v>0.88888888888888884</v>
      </c>
      <c r="R23" s="3">
        <f t="shared" si="9"/>
        <v>1</v>
      </c>
      <c r="S23" s="1">
        <f t="shared" si="4"/>
        <v>216</v>
      </c>
      <c r="T23" s="9"/>
      <c r="U23" s="9"/>
      <c r="V23" s="9"/>
      <c r="W23" s="9"/>
      <c r="X23" s="9"/>
    </row>
    <row r="24" spans="1:24" x14ac:dyDescent="0.3">
      <c r="A24" s="9">
        <v>14</v>
      </c>
      <c r="B24" s="9" t="s">
        <v>56</v>
      </c>
      <c r="C24" s="1" t="s">
        <v>44</v>
      </c>
      <c r="D24" s="1">
        <v>29</v>
      </c>
      <c r="E24" s="3">
        <v>0.85</v>
      </c>
      <c r="F24" s="3">
        <f t="shared" si="2"/>
        <v>24</v>
      </c>
      <c r="G24" s="3">
        <v>1.25</v>
      </c>
      <c r="H24" s="3">
        <f t="shared" si="3"/>
        <v>36</v>
      </c>
      <c r="I24" s="9" t="s">
        <v>58</v>
      </c>
      <c r="J24" s="1">
        <f t="shared" si="10"/>
        <v>6</v>
      </c>
      <c r="K24" s="1">
        <f t="shared" si="10"/>
        <v>7</v>
      </c>
      <c r="L24" s="1">
        <f t="shared" si="10"/>
        <v>7</v>
      </c>
      <c r="M24" s="1">
        <f t="shared" si="10"/>
        <v>8</v>
      </c>
      <c r="N24" s="1">
        <v>300</v>
      </c>
      <c r="O24" s="3">
        <f t="shared" si="6"/>
        <v>1</v>
      </c>
      <c r="P24" s="3">
        <f t="shared" si="11"/>
        <v>1.2000000000000002</v>
      </c>
      <c r="Q24" s="3">
        <f t="shared" si="12"/>
        <v>1.2000000000000002</v>
      </c>
      <c r="R24" s="3">
        <f t="shared" si="9"/>
        <v>1.4000000000000001</v>
      </c>
      <c r="S24" s="1">
        <f t="shared" si="4"/>
        <v>145</v>
      </c>
      <c r="T24" s="9"/>
      <c r="U24" s="9"/>
      <c r="V24" s="9"/>
      <c r="W24" s="9"/>
      <c r="X24" s="9"/>
    </row>
    <row r="25" spans="1:24" x14ac:dyDescent="0.3">
      <c r="A25" s="9"/>
      <c r="B25" s="9"/>
      <c r="C25" s="1" t="s">
        <v>57</v>
      </c>
      <c r="D25" s="1">
        <v>29</v>
      </c>
      <c r="E25" s="3">
        <v>0.85</v>
      </c>
      <c r="F25" s="3">
        <f t="shared" si="2"/>
        <v>24</v>
      </c>
      <c r="G25" s="3">
        <v>1.25</v>
      </c>
      <c r="H25" s="3">
        <f t="shared" si="3"/>
        <v>36</v>
      </c>
      <c r="I25" s="9"/>
      <c r="J25" s="1">
        <f t="shared" si="10"/>
        <v>6</v>
      </c>
      <c r="K25" s="1">
        <f t="shared" si="10"/>
        <v>7</v>
      </c>
      <c r="L25" s="1">
        <f t="shared" si="10"/>
        <v>7</v>
      </c>
      <c r="M25" s="1">
        <f t="shared" si="10"/>
        <v>8</v>
      </c>
      <c r="N25" s="1">
        <v>390</v>
      </c>
      <c r="O25" s="3">
        <f t="shared" si="6"/>
        <v>0.76923076923076927</v>
      </c>
      <c r="P25" s="3">
        <f t="shared" si="11"/>
        <v>0.92307692307692313</v>
      </c>
      <c r="Q25" s="3">
        <f t="shared" si="12"/>
        <v>0.92307692307692313</v>
      </c>
      <c r="R25" s="3">
        <f t="shared" si="9"/>
        <v>1.0769230769230771</v>
      </c>
      <c r="S25" s="1">
        <f t="shared" si="4"/>
        <v>188</v>
      </c>
      <c r="T25" s="9"/>
      <c r="U25" s="9"/>
      <c r="V25" s="9"/>
      <c r="W25" s="9"/>
      <c r="X25" s="9"/>
    </row>
    <row r="26" spans="1:24" x14ac:dyDescent="0.3">
      <c r="A26" s="1">
        <v>15</v>
      </c>
      <c r="B26" s="9" t="s">
        <v>55</v>
      </c>
      <c r="C26" s="9"/>
      <c r="D26" s="1">
        <v>15</v>
      </c>
      <c r="E26" s="3">
        <v>0.75</v>
      </c>
      <c r="F26" s="3">
        <f t="shared" si="2"/>
        <v>11</v>
      </c>
      <c r="G26" s="3">
        <v>1.3</v>
      </c>
      <c r="H26" s="3">
        <f t="shared" si="3"/>
        <v>19</v>
      </c>
      <c r="I26" s="1" t="s">
        <v>59</v>
      </c>
      <c r="J26" s="1">
        <f t="shared" si="10"/>
        <v>10</v>
      </c>
      <c r="K26" s="1">
        <f t="shared" si="10"/>
        <v>12</v>
      </c>
      <c r="L26" s="1">
        <f t="shared" si="10"/>
        <v>14</v>
      </c>
      <c r="M26" s="1">
        <f t="shared" si="10"/>
        <v>15</v>
      </c>
      <c r="N26" s="1">
        <v>810</v>
      </c>
      <c r="O26" s="3">
        <f t="shared" si="6"/>
        <v>0.66666666666666663</v>
      </c>
      <c r="P26" s="3">
        <f t="shared" si="11"/>
        <v>0.81481481481481477</v>
      </c>
      <c r="Q26" s="3">
        <f t="shared" si="12"/>
        <v>0.96296296296296291</v>
      </c>
      <c r="R26" s="3">
        <f t="shared" si="9"/>
        <v>1.037037037037037</v>
      </c>
      <c r="S26" s="1">
        <f t="shared" si="4"/>
        <v>202</v>
      </c>
      <c r="T26" s="9"/>
      <c r="U26" s="9"/>
      <c r="V26" s="9"/>
      <c r="W26" s="9"/>
      <c r="X26" s="9"/>
    </row>
    <row r="27" spans="1:24" x14ac:dyDescent="0.3">
      <c r="A27" s="1">
        <v>16</v>
      </c>
      <c r="B27" s="9" t="s">
        <v>61</v>
      </c>
      <c r="C27" s="9"/>
      <c r="D27" s="1">
        <v>16</v>
      </c>
      <c r="E27" s="3">
        <v>0.9</v>
      </c>
      <c r="F27" s="3">
        <f t="shared" si="2"/>
        <v>14</v>
      </c>
      <c r="G27" s="3">
        <v>1.25</v>
      </c>
      <c r="H27" s="3">
        <f t="shared" si="3"/>
        <v>20</v>
      </c>
      <c r="I27" s="1" t="s">
        <v>62</v>
      </c>
      <c r="J27" s="1">
        <f t="shared" si="10"/>
        <v>10</v>
      </c>
      <c r="K27" s="1">
        <f t="shared" si="10"/>
        <v>11</v>
      </c>
      <c r="L27" s="1">
        <f t="shared" si="10"/>
        <v>13</v>
      </c>
      <c r="M27" s="1">
        <f t="shared" si="10"/>
        <v>15</v>
      </c>
      <c r="N27" s="1">
        <v>780</v>
      </c>
      <c r="O27" s="3">
        <f t="shared" si="6"/>
        <v>0.69230769230769229</v>
      </c>
      <c r="P27" s="3">
        <f t="shared" si="11"/>
        <v>0.76923076923076927</v>
      </c>
      <c r="Q27" s="3">
        <f t="shared" si="12"/>
        <v>0.92307692307692313</v>
      </c>
      <c r="R27" s="3">
        <f t="shared" si="9"/>
        <v>1.0769230769230771</v>
      </c>
      <c r="S27" s="1">
        <f t="shared" si="4"/>
        <v>208</v>
      </c>
      <c r="T27" s="9"/>
      <c r="U27" s="9"/>
      <c r="V27" s="9"/>
      <c r="W27" s="9"/>
      <c r="X27" s="9"/>
    </row>
    <row r="28" spans="1:24" x14ac:dyDescent="0.3">
      <c r="A28" s="1">
        <v>17</v>
      </c>
      <c r="B28" s="9" t="s">
        <v>60</v>
      </c>
      <c r="C28" s="9"/>
      <c r="D28" s="1">
        <v>21</v>
      </c>
      <c r="E28" s="3">
        <v>0.8</v>
      </c>
      <c r="F28" s="3">
        <f t="shared" si="2"/>
        <v>16</v>
      </c>
      <c r="G28" s="3">
        <v>1.25</v>
      </c>
      <c r="H28" s="3">
        <f t="shared" si="3"/>
        <v>26</v>
      </c>
      <c r="I28" s="1" t="s">
        <v>63</v>
      </c>
      <c r="J28" s="1">
        <f t="shared" si="10"/>
        <v>8</v>
      </c>
      <c r="K28" s="1">
        <f t="shared" si="10"/>
        <v>9</v>
      </c>
      <c r="L28" s="1">
        <f t="shared" si="10"/>
        <v>10</v>
      </c>
      <c r="M28" s="1">
        <f t="shared" si="10"/>
        <v>11</v>
      </c>
      <c r="N28" s="1">
        <v>540</v>
      </c>
      <c r="O28" s="3">
        <f t="shared" si="6"/>
        <v>0.77777777777777768</v>
      </c>
      <c r="P28" s="3">
        <f t="shared" si="11"/>
        <v>0.88888888888888884</v>
      </c>
      <c r="Q28" s="3">
        <f t="shared" si="12"/>
        <v>1</v>
      </c>
      <c r="R28" s="3">
        <f t="shared" si="9"/>
        <v>1.1111111111111112</v>
      </c>
      <c r="S28" s="1">
        <f t="shared" si="4"/>
        <v>189</v>
      </c>
      <c r="T28" s="9"/>
      <c r="U28" s="9"/>
      <c r="V28" s="9"/>
      <c r="W28" s="9"/>
      <c r="X28" s="9"/>
    </row>
    <row r="29" spans="1:24" x14ac:dyDescent="0.3">
      <c r="A29" s="9">
        <v>18</v>
      </c>
      <c r="B29" s="9" t="s">
        <v>64</v>
      </c>
      <c r="C29" s="1" t="s">
        <v>66</v>
      </c>
      <c r="D29" s="1">
        <v>50</v>
      </c>
      <c r="E29" s="3">
        <v>0.9</v>
      </c>
      <c r="F29" s="3">
        <f t="shared" si="2"/>
        <v>45</v>
      </c>
      <c r="G29" s="3">
        <v>1.5</v>
      </c>
      <c r="H29" s="3">
        <f t="shared" si="3"/>
        <v>75</v>
      </c>
      <c r="I29" s="1" t="s">
        <v>68</v>
      </c>
      <c r="J29" s="1">
        <f t="shared" si="10"/>
        <v>3</v>
      </c>
      <c r="K29" s="1">
        <f t="shared" si="10"/>
        <v>4</v>
      </c>
      <c r="L29" s="1">
        <f t="shared" si="10"/>
        <v>4</v>
      </c>
      <c r="M29" s="1">
        <f t="shared" si="10"/>
        <v>5</v>
      </c>
      <c r="N29" s="1">
        <v>160</v>
      </c>
      <c r="O29" s="3">
        <f t="shared" si="6"/>
        <v>0.75</v>
      </c>
      <c r="P29" s="3">
        <f t="shared" si="11"/>
        <v>1.125</v>
      </c>
      <c r="Q29" s="3">
        <f t="shared" si="12"/>
        <v>1.125</v>
      </c>
      <c r="R29" s="3">
        <f t="shared" si="9"/>
        <v>1.5</v>
      </c>
      <c r="S29" s="1">
        <f t="shared" si="4"/>
        <v>133</v>
      </c>
      <c r="T29" s="9"/>
      <c r="U29" s="9"/>
      <c r="V29" s="9"/>
      <c r="W29" s="9"/>
      <c r="X29" s="9"/>
    </row>
    <row r="30" spans="1:24" x14ac:dyDescent="0.3">
      <c r="A30" s="9"/>
      <c r="B30" s="9"/>
      <c r="C30" s="1" t="s">
        <v>67</v>
      </c>
      <c r="D30" s="1">
        <v>50</v>
      </c>
      <c r="E30" s="3">
        <v>0.9</v>
      </c>
      <c r="F30" s="3">
        <f t="shared" si="2"/>
        <v>45</v>
      </c>
      <c r="G30" s="3">
        <v>1.5</v>
      </c>
      <c r="H30" s="3">
        <f t="shared" si="3"/>
        <v>75</v>
      </c>
      <c r="I30" s="1" t="s">
        <v>69</v>
      </c>
      <c r="J30" s="1">
        <f t="shared" si="10"/>
        <v>3</v>
      </c>
      <c r="K30" s="1">
        <f t="shared" si="10"/>
        <v>4</v>
      </c>
      <c r="L30" s="1">
        <f t="shared" si="10"/>
        <v>4</v>
      </c>
      <c r="M30" s="1">
        <f t="shared" si="10"/>
        <v>5</v>
      </c>
      <c r="N30" s="1">
        <v>160</v>
      </c>
      <c r="O30" s="3">
        <f t="shared" si="6"/>
        <v>0.75</v>
      </c>
      <c r="P30" s="3">
        <f t="shared" si="11"/>
        <v>1.125</v>
      </c>
      <c r="Q30" s="3">
        <f t="shared" si="12"/>
        <v>1.125</v>
      </c>
      <c r="R30" s="3">
        <f t="shared" si="9"/>
        <v>1.5</v>
      </c>
      <c r="S30" s="1">
        <f t="shared" si="4"/>
        <v>133</v>
      </c>
      <c r="T30" s="9"/>
      <c r="U30" s="9"/>
      <c r="V30" s="9"/>
      <c r="W30" s="9"/>
      <c r="X30" s="9"/>
    </row>
    <row r="31" spans="1:24" x14ac:dyDescent="0.3">
      <c r="A31" s="9">
        <v>19</v>
      </c>
      <c r="B31" s="9" t="s">
        <v>65</v>
      </c>
      <c r="C31" s="1" t="s">
        <v>66</v>
      </c>
      <c r="D31" s="1">
        <v>16</v>
      </c>
      <c r="E31" s="3">
        <v>0.8</v>
      </c>
      <c r="F31" s="3">
        <f t="shared" si="2"/>
        <v>12</v>
      </c>
      <c r="G31" s="3">
        <v>1.2</v>
      </c>
      <c r="H31" s="3">
        <f t="shared" si="3"/>
        <v>19</v>
      </c>
      <c r="I31" s="1" t="s">
        <v>70</v>
      </c>
      <c r="J31" s="1">
        <f t="shared" si="10"/>
        <v>10</v>
      </c>
      <c r="K31" s="1">
        <f t="shared" si="10"/>
        <v>11</v>
      </c>
      <c r="L31" s="1">
        <f t="shared" si="10"/>
        <v>13</v>
      </c>
      <c r="M31" s="1">
        <f t="shared" si="10"/>
        <v>15</v>
      </c>
      <c r="N31" s="1">
        <v>720</v>
      </c>
      <c r="O31" s="3">
        <f t="shared" si="6"/>
        <v>0.75</v>
      </c>
      <c r="P31" s="3">
        <f t="shared" si="11"/>
        <v>0.83333333333333326</v>
      </c>
      <c r="Q31" s="3">
        <f t="shared" si="12"/>
        <v>1</v>
      </c>
      <c r="R31" s="3">
        <f t="shared" si="9"/>
        <v>1.1666666666666665</v>
      </c>
      <c r="S31" s="1">
        <f t="shared" si="4"/>
        <v>192</v>
      </c>
      <c r="T31" s="9"/>
      <c r="U31" s="9"/>
      <c r="V31" s="9"/>
      <c r="W31" s="9"/>
      <c r="X31" s="9"/>
    </row>
    <row r="32" spans="1:24" x14ac:dyDescent="0.3">
      <c r="A32" s="9"/>
      <c r="B32" s="9"/>
      <c r="C32" s="1" t="s">
        <v>67</v>
      </c>
      <c r="D32" s="1">
        <v>16</v>
      </c>
      <c r="E32" s="3">
        <v>0.8</v>
      </c>
      <c r="F32" s="3">
        <f t="shared" si="2"/>
        <v>12</v>
      </c>
      <c r="G32" s="3">
        <v>1.2</v>
      </c>
      <c r="H32" s="3">
        <f t="shared" si="3"/>
        <v>19</v>
      </c>
      <c r="I32" s="1" t="s">
        <v>71</v>
      </c>
      <c r="J32" s="1">
        <f t="shared" si="10"/>
        <v>10</v>
      </c>
      <c r="K32" s="1">
        <f t="shared" si="10"/>
        <v>11</v>
      </c>
      <c r="L32" s="1">
        <f t="shared" si="10"/>
        <v>13</v>
      </c>
      <c r="M32" s="1">
        <f t="shared" si="10"/>
        <v>15</v>
      </c>
      <c r="N32" s="1">
        <v>720</v>
      </c>
      <c r="O32" s="3">
        <f t="shared" si="6"/>
        <v>0.75</v>
      </c>
      <c r="P32" s="3">
        <f t="shared" si="11"/>
        <v>0.83333333333333326</v>
      </c>
      <c r="Q32" s="3">
        <f t="shared" si="12"/>
        <v>1</v>
      </c>
      <c r="R32" s="3">
        <f t="shared" si="9"/>
        <v>1.1666666666666665</v>
      </c>
      <c r="S32" s="1">
        <f t="shared" si="4"/>
        <v>192</v>
      </c>
      <c r="T32" s="9"/>
      <c r="U32" s="9"/>
      <c r="V32" s="9"/>
      <c r="W32" s="9"/>
      <c r="X32" s="9"/>
    </row>
    <row r="33" spans="1:24" x14ac:dyDescent="0.3">
      <c r="A33" s="1">
        <v>20</v>
      </c>
      <c r="B33" s="1" t="s">
        <v>72</v>
      </c>
      <c r="C33" s="1" t="s">
        <v>44</v>
      </c>
      <c r="D33" s="1">
        <v>21</v>
      </c>
      <c r="E33" s="3">
        <v>0.75</v>
      </c>
      <c r="F33" s="3">
        <f>FLOOR(D33*E33,1)</f>
        <v>15</v>
      </c>
      <c r="G33" s="3">
        <v>1.4</v>
      </c>
      <c r="H33" s="3">
        <f t="shared" si="3"/>
        <v>29</v>
      </c>
      <c r="I33" s="1" t="s">
        <v>73</v>
      </c>
      <c r="J33" s="1">
        <f t="shared" si="10"/>
        <v>8</v>
      </c>
      <c r="K33" s="1">
        <f t="shared" si="10"/>
        <v>9</v>
      </c>
      <c r="L33" s="1">
        <f t="shared" si="10"/>
        <v>10</v>
      </c>
      <c r="M33" s="1">
        <f t="shared" si="10"/>
        <v>11</v>
      </c>
      <c r="N33" s="1">
        <v>462</v>
      </c>
      <c r="O33" s="3">
        <f t="shared" si="6"/>
        <v>0.90909090909090895</v>
      </c>
      <c r="P33" s="3">
        <f t="shared" si="11"/>
        <v>1.0389610389610389</v>
      </c>
      <c r="Q33" s="3">
        <f t="shared" si="12"/>
        <v>1.1688311688311688</v>
      </c>
      <c r="R33" s="3">
        <f t="shared" si="9"/>
        <v>1.2987012987012987</v>
      </c>
      <c r="S33" s="1">
        <f t="shared" si="4"/>
        <v>161</v>
      </c>
      <c r="T33" s="9"/>
      <c r="U33" s="9"/>
      <c r="V33" s="9"/>
      <c r="W33" s="9"/>
      <c r="X33" s="9"/>
    </row>
    <row r="34" spans="1:24" x14ac:dyDescent="0.3">
      <c r="A34" s="9">
        <v>21</v>
      </c>
      <c r="B34" s="9" t="s">
        <v>74</v>
      </c>
      <c r="C34" s="1" t="s">
        <v>75</v>
      </c>
      <c r="D34" s="1">
        <v>71</v>
      </c>
      <c r="E34" s="3">
        <v>0.85</v>
      </c>
      <c r="F34" s="3">
        <f t="shared" ref="F34:F48" si="13">FLOOR(D34*E34,1)</f>
        <v>60</v>
      </c>
      <c r="G34" s="3">
        <v>1.4</v>
      </c>
      <c r="H34" s="3">
        <f t="shared" si="3"/>
        <v>99</v>
      </c>
      <c r="I34" s="1">
        <v>10</v>
      </c>
      <c r="J34" s="1">
        <f t="shared" si="10"/>
        <v>3</v>
      </c>
      <c r="K34" s="1">
        <f t="shared" si="10"/>
        <v>3</v>
      </c>
      <c r="L34" s="1">
        <f t="shared" si="10"/>
        <v>3</v>
      </c>
      <c r="M34" s="1">
        <f t="shared" si="10"/>
        <v>4</v>
      </c>
      <c r="N34" s="1">
        <v>105</v>
      </c>
      <c r="O34" s="3">
        <f t="shared" si="6"/>
        <v>1.1428571428571428</v>
      </c>
      <c r="P34" s="3">
        <f t="shared" si="11"/>
        <v>1.1428571428571428</v>
      </c>
      <c r="Q34" s="3">
        <f t="shared" si="12"/>
        <v>1.1428571428571428</v>
      </c>
      <c r="R34" s="3">
        <f t="shared" si="9"/>
        <v>1.7142857142857142</v>
      </c>
      <c r="S34" s="1">
        <f t="shared" si="4"/>
        <v>124</v>
      </c>
      <c r="T34" s="9"/>
      <c r="U34" s="9"/>
      <c r="V34" s="9"/>
      <c r="W34" s="9"/>
      <c r="X34" s="9"/>
    </row>
    <row r="35" spans="1:24" x14ac:dyDescent="0.3">
      <c r="A35" s="9"/>
      <c r="B35" s="9"/>
      <c r="C35" s="1" t="s">
        <v>77</v>
      </c>
      <c r="D35" s="1">
        <v>56</v>
      </c>
      <c r="E35" s="3">
        <v>1</v>
      </c>
      <c r="F35" s="3">
        <f t="shared" si="13"/>
        <v>56</v>
      </c>
      <c r="G35" s="3">
        <v>1.25</v>
      </c>
      <c r="H35" s="3">
        <f t="shared" si="3"/>
        <v>70</v>
      </c>
      <c r="I35" s="1">
        <v>10</v>
      </c>
      <c r="J35" s="1">
        <f t="shared" si="10"/>
        <v>3</v>
      </c>
      <c r="K35" s="1">
        <f t="shared" si="10"/>
        <v>4</v>
      </c>
      <c r="L35" s="1">
        <f t="shared" si="10"/>
        <v>4</v>
      </c>
      <c r="M35" s="1">
        <f t="shared" si="10"/>
        <v>5</v>
      </c>
      <c r="N35" s="1">
        <v>140</v>
      </c>
      <c r="O35" s="3">
        <f t="shared" si="6"/>
        <v>0.8571428571428571</v>
      </c>
      <c r="P35" s="3">
        <f t="shared" si="11"/>
        <v>1.2857142857142856</v>
      </c>
      <c r="Q35" s="3">
        <f t="shared" si="12"/>
        <v>1.2857142857142856</v>
      </c>
      <c r="R35" s="3">
        <f t="shared" si="9"/>
        <v>1.7142857142857142</v>
      </c>
      <c r="S35" s="1">
        <f t="shared" si="4"/>
        <v>130</v>
      </c>
      <c r="T35" s="9"/>
      <c r="U35" s="9"/>
      <c r="V35" s="9"/>
      <c r="W35" s="9"/>
      <c r="X35" s="9"/>
    </row>
    <row r="36" spans="1:24" x14ac:dyDescent="0.3">
      <c r="A36" s="9">
        <v>22</v>
      </c>
      <c r="B36" s="9" t="s">
        <v>78</v>
      </c>
      <c r="C36" s="1" t="s">
        <v>79</v>
      </c>
      <c r="D36" s="1">
        <v>60</v>
      </c>
      <c r="E36" s="3">
        <v>0.8</v>
      </c>
      <c r="F36" s="3">
        <f t="shared" si="13"/>
        <v>48</v>
      </c>
      <c r="G36" s="3">
        <v>1.5</v>
      </c>
      <c r="H36" s="3">
        <f t="shared" si="3"/>
        <v>90</v>
      </c>
      <c r="I36" s="1">
        <v>40</v>
      </c>
      <c r="J36" s="1">
        <f t="shared" si="10"/>
        <v>3</v>
      </c>
      <c r="K36" s="1">
        <f t="shared" si="10"/>
        <v>3</v>
      </c>
      <c r="L36" s="1">
        <f t="shared" si="10"/>
        <v>4</v>
      </c>
      <c r="M36" s="1">
        <f t="shared" si="10"/>
        <v>4</v>
      </c>
      <c r="N36" s="1">
        <v>70</v>
      </c>
      <c r="O36" s="3">
        <f t="shared" si="6"/>
        <v>1.7142857142857142</v>
      </c>
      <c r="P36" s="3">
        <f t="shared" si="11"/>
        <v>1.7142857142857142</v>
      </c>
      <c r="Q36" s="3">
        <f t="shared" si="12"/>
        <v>2.5714285714285712</v>
      </c>
      <c r="R36" s="3">
        <f t="shared" si="9"/>
        <v>2.5714285714285712</v>
      </c>
      <c r="S36" s="1">
        <f t="shared" si="4"/>
        <v>70</v>
      </c>
      <c r="T36" s="9"/>
      <c r="U36" s="9"/>
      <c r="V36" s="9"/>
      <c r="W36" s="9"/>
      <c r="X36" s="9"/>
    </row>
    <row r="37" spans="1:24" x14ac:dyDescent="0.3">
      <c r="A37" s="9"/>
      <c r="B37" s="9"/>
      <c r="C37" s="1" t="s">
        <v>80</v>
      </c>
      <c r="D37" s="1">
        <f>50+25</f>
        <v>75</v>
      </c>
      <c r="E37" s="3">
        <v>0.8</v>
      </c>
      <c r="F37" s="3">
        <f t="shared" si="13"/>
        <v>60</v>
      </c>
      <c r="G37" s="3">
        <v>1.5</v>
      </c>
      <c r="H37" s="3">
        <f t="shared" si="3"/>
        <v>112</v>
      </c>
      <c r="I37" s="1">
        <v>40</v>
      </c>
      <c r="J37" s="1">
        <f t="shared" si="10"/>
        <v>2</v>
      </c>
      <c r="K37" s="1">
        <f t="shared" si="10"/>
        <v>3</v>
      </c>
      <c r="L37" s="1">
        <f t="shared" si="10"/>
        <v>3</v>
      </c>
      <c r="M37" s="1">
        <f t="shared" si="10"/>
        <v>3</v>
      </c>
      <c r="N37" s="1">
        <v>70</v>
      </c>
      <c r="O37" s="3">
        <f t="shared" si="6"/>
        <v>0.8571428571428571</v>
      </c>
      <c r="P37" s="3">
        <f t="shared" si="11"/>
        <v>1.7142857142857142</v>
      </c>
      <c r="Q37" s="3">
        <f t="shared" si="12"/>
        <v>1.7142857142857142</v>
      </c>
      <c r="R37" s="3">
        <f t="shared" si="9"/>
        <v>1.7142857142857142</v>
      </c>
      <c r="S37" s="1">
        <f t="shared" si="4"/>
        <v>87</v>
      </c>
      <c r="T37" s="9"/>
      <c r="U37" s="9"/>
      <c r="V37" s="9"/>
      <c r="W37" s="9"/>
      <c r="X37" s="9"/>
    </row>
    <row r="38" spans="1:24" x14ac:dyDescent="0.3">
      <c r="A38" s="1">
        <v>23</v>
      </c>
      <c r="B38" s="9" t="s">
        <v>81</v>
      </c>
      <c r="C38" s="9"/>
      <c r="D38" s="1">
        <v>33</v>
      </c>
      <c r="E38" s="3">
        <v>0.75</v>
      </c>
      <c r="F38" s="3">
        <f t="shared" si="13"/>
        <v>24</v>
      </c>
      <c r="G38" s="3">
        <v>1.45</v>
      </c>
      <c r="H38" s="3">
        <f t="shared" si="3"/>
        <v>47</v>
      </c>
      <c r="I38" s="1" t="s">
        <v>82</v>
      </c>
      <c r="J38" s="1">
        <f t="shared" si="10"/>
        <v>5</v>
      </c>
      <c r="K38" s="1">
        <f t="shared" si="10"/>
        <v>6</v>
      </c>
      <c r="L38" s="1">
        <f t="shared" si="10"/>
        <v>7</v>
      </c>
      <c r="M38" s="1">
        <f t="shared" si="10"/>
        <v>7</v>
      </c>
      <c r="N38" s="1">
        <v>246</v>
      </c>
      <c r="O38" s="3">
        <f t="shared" si="6"/>
        <v>0.97560975609756095</v>
      </c>
      <c r="P38" s="3">
        <f t="shared" si="11"/>
        <v>1.2195121951219512</v>
      </c>
      <c r="Q38" s="3">
        <f t="shared" si="12"/>
        <v>1.4634146341463414</v>
      </c>
      <c r="R38" s="3">
        <f t="shared" si="9"/>
        <v>1.4634146341463414</v>
      </c>
      <c r="S38" s="1">
        <f t="shared" si="4"/>
        <v>135</v>
      </c>
      <c r="T38" s="9"/>
      <c r="U38" s="9"/>
      <c r="V38" s="9"/>
      <c r="W38" s="9"/>
      <c r="X38" s="9"/>
    </row>
    <row r="39" spans="1:24" x14ac:dyDescent="0.3">
      <c r="A39" s="1">
        <v>24</v>
      </c>
      <c r="B39" s="1" t="s">
        <v>83</v>
      </c>
      <c r="C39" s="1" t="s">
        <v>84</v>
      </c>
      <c r="D39" s="1">
        <v>95</v>
      </c>
      <c r="E39" s="3">
        <v>1</v>
      </c>
      <c r="F39" s="3">
        <f t="shared" si="13"/>
        <v>95</v>
      </c>
      <c r="G39" s="3">
        <v>1</v>
      </c>
      <c r="H39" s="3">
        <f t="shared" si="3"/>
        <v>95</v>
      </c>
      <c r="I39" s="1">
        <v>5</v>
      </c>
      <c r="J39" s="1">
        <f t="shared" si="10"/>
        <v>2</v>
      </c>
      <c r="K39" s="1">
        <f t="shared" si="10"/>
        <v>2</v>
      </c>
      <c r="L39" s="1">
        <f t="shared" si="10"/>
        <v>3</v>
      </c>
      <c r="M39" s="1">
        <f t="shared" si="10"/>
        <v>3</v>
      </c>
      <c r="N39" s="1">
        <v>79</v>
      </c>
      <c r="O39" s="3">
        <f t="shared" si="6"/>
        <v>0.759493670886076</v>
      </c>
      <c r="P39" s="3">
        <f t="shared" si="11"/>
        <v>0.759493670886076</v>
      </c>
      <c r="Q39" s="3">
        <f t="shared" si="12"/>
        <v>1.518987341772152</v>
      </c>
      <c r="R39" s="3">
        <f t="shared" si="9"/>
        <v>1.518987341772152</v>
      </c>
      <c r="S39" s="1">
        <f t="shared" si="4"/>
        <v>125</v>
      </c>
      <c r="T39" s="9"/>
      <c r="U39" s="9"/>
      <c r="V39" s="9"/>
      <c r="W39" s="9"/>
      <c r="X39" s="9"/>
    </row>
    <row r="40" spans="1:24" x14ac:dyDescent="0.3">
      <c r="A40" s="9">
        <v>25</v>
      </c>
      <c r="B40" s="9" t="s">
        <v>85</v>
      </c>
      <c r="C40" s="1" t="s">
        <v>86</v>
      </c>
      <c r="D40" s="1">
        <v>66</v>
      </c>
      <c r="E40" s="3">
        <v>0.9</v>
      </c>
      <c r="F40" s="3">
        <f t="shared" si="13"/>
        <v>59</v>
      </c>
      <c r="G40" s="3">
        <v>1.5</v>
      </c>
      <c r="H40" s="3">
        <f t="shared" si="3"/>
        <v>99</v>
      </c>
      <c r="I40" s="9" t="s">
        <v>88</v>
      </c>
      <c r="J40" s="1">
        <f t="shared" si="10"/>
        <v>3</v>
      </c>
      <c r="K40" s="1">
        <f t="shared" si="10"/>
        <v>3</v>
      </c>
      <c r="L40" s="1">
        <f t="shared" si="10"/>
        <v>4</v>
      </c>
      <c r="M40" s="1">
        <f t="shared" si="10"/>
        <v>4</v>
      </c>
      <c r="N40" s="1">
        <v>77</v>
      </c>
      <c r="O40" s="3">
        <f t="shared" si="6"/>
        <v>1.5584415584415585</v>
      </c>
      <c r="P40" s="3">
        <f t="shared" si="11"/>
        <v>1.5584415584415585</v>
      </c>
      <c r="Q40" s="3">
        <f t="shared" si="12"/>
        <v>2.337662337662338</v>
      </c>
      <c r="R40" s="3">
        <f t="shared" si="9"/>
        <v>2.337662337662338</v>
      </c>
      <c r="S40" s="1">
        <f t="shared" si="4"/>
        <v>84</v>
      </c>
      <c r="T40" s="9"/>
      <c r="U40" s="9"/>
      <c r="V40" s="9"/>
      <c r="W40" s="9"/>
      <c r="X40" s="9"/>
    </row>
    <row r="41" spans="1:24" x14ac:dyDescent="0.3">
      <c r="A41" s="9"/>
      <c r="B41" s="9"/>
      <c r="C41" s="1" t="s">
        <v>87</v>
      </c>
      <c r="D41" s="1">
        <v>66</v>
      </c>
      <c r="E41" s="3">
        <v>0.9</v>
      </c>
      <c r="F41" s="3">
        <f t="shared" si="13"/>
        <v>59</v>
      </c>
      <c r="G41" s="3">
        <v>1.5</v>
      </c>
      <c r="H41" s="3">
        <f t="shared" si="3"/>
        <v>99</v>
      </c>
      <c r="I41" s="9"/>
      <c r="J41" s="1">
        <f t="shared" si="10"/>
        <v>3</v>
      </c>
      <c r="K41" s="1">
        <f t="shared" si="10"/>
        <v>3</v>
      </c>
      <c r="L41" s="1">
        <f t="shared" si="10"/>
        <v>4</v>
      </c>
      <c r="M41" s="1">
        <f t="shared" si="10"/>
        <v>4</v>
      </c>
      <c r="N41" s="1">
        <v>107</v>
      </c>
      <c r="O41" s="3">
        <f t="shared" si="6"/>
        <v>1.1214953271028036</v>
      </c>
      <c r="P41" s="3">
        <f t="shared" si="11"/>
        <v>1.1214953271028036</v>
      </c>
      <c r="Q41" s="3">
        <f t="shared" si="12"/>
        <v>1.6822429906542054</v>
      </c>
      <c r="R41" s="3">
        <f t="shared" si="9"/>
        <v>1.6822429906542054</v>
      </c>
      <c r="S41" s="1">
        <f t="shared" si="4"/>
        <v>117</v>
      </c>
      <c r="T41" s="9"/>
      <c r="U41" s="9"/>
      <c r="V41" s="9"/>
      <c r="W41" s="9"/>
      <c r="X41" s="9"/>
    </row>
    <row r="42" spans="1:24" x14ac:dyDescent="0.3">
      <c r="A42" s="9">
        <v>26</v>
      </c>
      <c r="B42" s="9" t="s">
        <v>89</v>
      </c>
      <c r="C42" s="1" t="s">
        <v>44</v>
      </c>
      <c r="D42" s="1">
        <v>75</v>
      </c>
      <c r="E42" s="3">
        <v>0.9</v>
      </c>
      <c r="F42" s="3">
        <f t="shared" si="13"/>
        <v>67</v>
      </c>
      <c r="G42" s="3">
        <v>1.8</v>
      </c>
      <c r="H42" s="3">
        <f t="shared" si="3"/>
        <v>135</v>
      </c>
      <c r="I42" s="9" t="s">
        <v>91</v>
      </c>
      <c r="J42" s="1">
        <f t="shared" ref="J42:M47" si="14">CEILING(J$3/$D42,1)</f>
        <v>2</v>
      </c>
      <c r="K42" s="1">
        <f t="shared" si="14"/>
        <v>3</v>
      </c>
      <c r="L42" s="1">
        <f t="shared" si="14"/>
        <v>3</v>
      </c>
      <c r="M42" s="1">
        <f t="shared" si="14"/>
        <v>3</v>
      </c>
      <c r="N42" s="1">
        <v>41</v>
      </c>
      <c r="O42" s="3">
        <f t="shared" si="6"/>
        <v>1.4634146341463414</v>
      </c>
      <c r="P42" s="3">
        <f t="shared" si="11"/>
        <v>2.9268292682926829</v>
      </c>
      <c r="Q42" s="3">
        <f t="shared" si="12"/>
        <v>2.9268292682926829</v>
      </c>
      <c r="R42" s="3">
        <f t="shared" si="9"/>
        <v>2.9268292682926829</v>
      </c>
      <c r="S42" s="1">
        <f t="shared" si="4"/>
        <v>51</v>
      </c>
      <c r="T42" s="9"/>
      <c r="U42" s="9"/>
      <c r="V42" s="9"/>
      <c r="W42" s="9"/>
      <c r="X42" s="9"/>
    </row>
    <row r="43" spans="1:24" x14ac:dyDescent="0.3">
      <c r="A43" s="9"/>
      <c r="B43" s="9"/>
      <c r="C43" s="1" t="s">
        <v>90</v>
      </c>
      <c r="D43" s="1">
        <v>45</v>
      </c>
      <c r="E43" s="3">
        <v>0.9</v>
      </c>
      <c r="F43" s="3">
        <f t="shared" si="13"/>
        <v>40</v>
      </c>
      <c r="G43" s="3">
        <v>1.8</v>
      </c>
      <c r="H43" s="3">
        <f t="shared" si="3"/>
        <v>81</v>
      </c>
      <c r="I43" s="9"/>
      <c r="J43" s="1">
        <f t="shared" si="14"/>
        <v>4</v>
      </c>
      <c r="K43" s="1">
        <f t="shared" si="14"/>
        <v>4</v>
      </c>
      <c r="L43" s="1">
        <f t="shared" si="14"/>
        <v>5</v>
      </c>
      <c r="M43" s="1">
        <f t="shared" si="14"/>
        <v>5</v>
      </c>
      <c r="N43" s="1">
        <v>99</v>
      </c>
      <c r="O43" s="3">
        <f t="shared" si="6"/>
        <v>1.8181818181818183</v>
      </c>
      <c r="P43" s="3">
        <f t="shared" si="11"/>
        <v>1.8181818181818183</v>
      </c>
      <c r="Q43" s="3">
        <f t="shared" si="12"/>
        <v>2.4242424242424243</v>
      </c>
      <c r="R43" s="3">
        <f t="shared" si="9"/>
        <v>2.4242424242424243</v>
      </c>
      <c r="S43" s="1">
        <f t="shared" si="4"/>
        <v>74</v>
      </c>
      <c r="T43" s="9"/>
      <c r="U43" s="9"/>
      <c r="V43" s="9"/>
      <c r="W43" s="9"/>
      <c r="X43" s="9"/>
    </row>
    <row r="44" spans="1:24" x14ac:dyDescent="0.3">
      <c r="A44" s="1">
        <v>27</v>
      </c>
      <c r="B44" s="1" t="s">
        <v>93</v>
      </c>
      <c r="C44" s="1" t="s">
        <v>44</v>
      </c>
      <c r="D44" s="1">
        <v>60</v>
      </c>
      <c r="E44" s="3">
        <v>0.8</v>
      </c>
      <c r="F44" s="3">
        <f t="shared" si="13"/>
        <v>48</v>
      </c>
      <c r="G44" s="3">
        <v>1.8</v>
      </c>
      <c r="H44" s="3">
        <f t="shared" si="3"/>
        <v>108</v>
      </c>
      <c r="I44" s="1" t="s">
        <v>94</v>
      </c>
      <c r="J44" s="1">
        <f t="shared" si="14"/>
        <v>3</v>
      </c>
      <c r="K44" s="1">
        <f t="shared" si="14"/>
        <v>3</v>
      </c>
      <c r="L44" s="1">
        <f t="shared" si="14"/>
        <v>4</v>
      </c>
      <c r="M44" s="1">
        <f t="shared" si="14"/>
        <v>4</v>
      </c>
      <c r="N44" s="1">
        <v>78</v>
      </c>
      <c r="O44" s="3">
        <f t="shared" si="6"/>
        <v>1.5384615384615385</v>
      </c>
      <c r="P44" s="3">
        <f t="shared" si="11"/>
        <v>1.5384615384615385</v>
      </c>
      <c r="Q44" s="3">
        <f t="shared" si="12"/>
        <v>2.3076923076923079</v>
      </c>
      <c r="R44" s="3">
        <f t="shared" si="9"/>
        <v>2.3076923076923079</v>
      </c>
      <c r="S44" s="1">
        <f t="shared" si="4"/>
        <v>78</v>
      </c>
      <c r="T44" s="9"/>
      <c r="U44" s="9"/>
      <c r="V44" s="9"/>
      <c r="W44" s="9"/>
      <c r="X44" s="9"/>
    </row>
    <row r="45" spans="1:24" x14ac:dyDescent="0.3">
      <c r="A45" s="1">
        <v>28</v>
      </c>
      <c r="B45" s="1" t="s">
        <v>95</v>
      </c>
      <c r="C45" s="1" t="s">
        <v>84</v>
      </c>
      <c r="D45" s="1">
        <v>99</v>
      </c>
      <c r="E45" s="3">
        <v>1</v>
      </c>
      <c r="F45" s="3">
        <f t="shared" si="13"/>
        <v>99</v>
      </c>
      <c r="G45" s="3">
        <v>1</v>
      </c>
      <c r="H45" s="3">
        <f t="shared" si="3"/>
        <v>99</v>
      </c>
      <c r="I45" s="1">
        <v>5</v>
      </c>
      <c r="J45" s="1">
        <f t="shared" si="14"/>
        <v>2</v>
      </c>
      <c r="K45" s="1">
        <f t="shared" si="14"/>
        <v>2</v>
      </c>
      <c r="L45" s="1">
        <f t="shared" si="14"/>
        <v>3</v>
      </c>
      <c r="M45" s="1">
        <f t="shared" si="14"/>
        <v>3</v>
      </c>
      <c r="N45" s="1">
        <v>57</v>
      </c>
      <c r="O45" s="3">
        <f t="shared" si="6"/>
        <v>1.0526315789473684</v>
      </c>
      <c r="P45" s="3">
        <f t="shared" si="11"/>
        <v>1.0526315789473684</v>
      </c>
      <c r="Q45" s="3">
        <f t="shared" si="12"/>
        <v>2.1052631578947367</v>
      </c>
      <c r="R45" s="3">
        <f t="shared" si="9"/>
        <v>2.1052631578947367</v>
      </c>
      <c r="S45" s="1">
        <f t="shared" si="4"/>
        <v>94</v>
      </c>
      <c r="T45" s="9"/>
      <c r="U45" s="9"/>
      <c r="V45" s="9"/>
      <c r="W45" s="9"/>
      <c r="X45" s="9"/>
    </row>
    <row r="46" spans="1:24" x14ac:dyDescent="0.3">
      <c r="A46" s="1">
        <v>29</v>
      </c>
      <c r="B46" s="1" t="s">
        <v>96</v>
      </c>
      <c r="C46" s="1" t="s">
        <v>76</v>
      </c>
      <c r="D46" s="1">
        <v>150</v>
      </c>
      <c r="E46" s="3">
        <v>0.8</v>
      </c>
      <c r="F46" s="3">
        <f t="shared" si="13"/>
        <v>120</v>
      </c>
      <c r="G46" s="3">
        <v>1.4</v>
      </c>
      <c r="H46" s="3">
        <f t="shared" si="3"/>
        <v>210</v>
      </c>
      <c r="I46" s="1">
        <v>4</v>
      </c>
      <c r="J46" s="1">
        <f t="shared" si="14"/>
        <v>1</v>
      </c>
      <c r="K46" s="1">
        <f t="shared" si="14"/>
        <v>2</v>
      </c>
      <c r="L46" s="1">
        <f t="shared" si="14"/>
        <v>2</v>
      </c>
      <c r="M46" s="1">
        <f t="shared" si="14"/>
        <v>2</v>
      </c>
      <c r="N46" s="1">
        <v>28</v>
      </c>
      <c r="O46" s="3">
        <f t="shared" si="6"/>
        <v>0</v>
      </c>
      <c r="P46" s="3">
        <f t="shared" si="11"/>
        <v>2.1428571428571428</v>
      </c>
      <c r="Q46" s="3">
        <f t="shared" si="12"/>
        <v>2.1428571428571428</v>
      </c>
      <c r="R46" s="3">
        <f t="shared" si="9"/>
        <v>2.1428571428571428</v>
      </c>
      <c r="S46" s="1">
        <f>TRUNC($D46*($N46/60))</f>
        <v>70</v>
      </c>
      <c r="T46" s="9"/>
      <c r="U46" s="9"/>
      <c r="V46" s="9"/>
      <c r="W46" s="9"/>
      <c r="X46" s="9"/>
    </row>
    <row r="47" spans="1:24" x14ac:dyDescent="0.3">
      <c r="A47" s="9">
        <v>30</v>
      </c>
      <c r="B47" s="9" t="s">
        <v>97</v>
      </c>
      <c r="C47" s="1" t="s">
        <v>44</v>
      </c>
      <c r="D47" s="1">
        <v>70</v>
      </c>
      <c r="E47" s="3">
        <v>0.9</v>
      </c>
      <c r="F47" s="3">
        <f t="shared" si="13"/>
        <v>63</v>
      </c>
      <c r="G47" s="3">
        <v>1.8</v>
      </c>
      <c r="H47" s="3">
        <f t="shared" si="3"/>
        <v>126</v>
      </c>
      <c r="I47" s="9" t="s">
        <v>92</v>
      </c>
      <c r="J47" s="1">
        <f t="shared" si="14"/>
        <v>3</v>
      </c>
      <c r="K47" s="1">
        <f t="shared" si="14"/>
        <v>3</v>
      </c>
      <c r="L47" s="1">
        <f t="shared" si="14"/>
        <v>3</v>
      </c>
      <c r="M47" s="1">
        <f t="shared" si="14"/>
        <v>4</v>
      </c>
      <c r="N47" s="1">
        <v>38</v>
      </c>
      <c r="O47" s="3">
        <f t="shared" si="6"/>
        <v>3.1578947368421053</v>
      </c>
      <c r="P47" s="3">
        <f t="shared" si="11"/>
        <v>3.1578947368421053</v>
      </c>
      <c r="Q47" s="3">
        <f t="shared" si="12"/>
        <v>3.1578947368421053</v>
      </c>
      <c r="R47" s="3">
        <f t="shared" si="9"/>
        <v>4.7368421052631575</v>
      </c>
      <c r="S47" s="1">
        <f t="shared" si="4"/>
        <v>44</v>
      </c>
      <c r="T47" s="9"/>
      <c r="U47" s="9"/>
      <c r="V47" s="9"/>
      <c r="W47" s="9"/>
      <c r="X47" s="9"/>
    </row>
    <row r="48" spans="1:24" x14ac:dyDescent="0.3">
      <c r="A48" s="9"/>
      <c r="B48" s="9"/>
      <c r="C48" s="1" t="s">
        <v>98</v>
      </c>
      <c r="D48" s="1">
        <v>88</v>
      </c>
      <c r="E48" s="3">
        <v>0.9</v>
      </c>
      <c r="F48" s="3">
        <f t="shared" si="13"/>
        <v>79</v>
      </c>
      <c r="G48" s="3">
        <v>1.8</v>
      </c>
      <c r="H48" s="3">
        <f t="shared" si="3"/>
        <v>158</v>
      </c>
      <c r="I48" s="9"/>
      <c r="J48" s="1">
        <f t="shared" ref="J48:M48" si="15">CEILING(J$3/$D48,1)</f>
        <v>2</v>
      </c>
      <c r="K48" s="1">
        <f t="shared" si="15"/>
        <v>2</v>
      </c>
      <c r="L48" s="1">
        <f t="shared" si="15"/>
        <v>3</v>
      </c>
      <c r="M48" s="1">
        <f t="shared" si="15"/>
        <v>3</v>
      </c>
      <c r="N48" s="1">
        <v>38</v>
      </c>
      <c r="O48" s="3">
        <f t="shared" si="6"/>
        <v>1.5789473684210527</v>
      </c>
      <c r="P48" s="3">
        <f t="shared" si="11"/>
        <v>1.5789473684210527</v>
      </c>
      <c r="Q48" s="3">
        <f t="shared" si="12"/>
        <v>3.1578947368421053</v>
      </c>
      <c r="R48" s="3">
        <f t="shared" si="9"/>
        <v>3.1578947368421053</v>
      </c>
      <c r="S48" s="1">
        <f t="shared" si="4"/>
        <v>55</v>
      </c>
      <c r="T48" s="9"/>
      <c r="U48" s="9"/>
      <c r="V48" s="9"/>
      <c r="W48" s="9"/>
      <c r="X48" s="9"/>
    </row>
  </sheetData>
  <mergeCells count="102">
    <mergeCell ref="A34:A35"/>
    <mergeCell ref="B34:B35"/>
    <mergeCell ref="A36:A37"/>
    <mergeCell ref="B36:B37"/>
    <mergeCell ref="B38:C38"/>
    <mergeCell ref="A47:A48"/>
    <mergeCell ref="B47:B48"/>
    <mergeCell ref="I47:I48"/>
    <mergeCell ref="A40:A41"/>
    <mergeCell ref="B40:B41"/>
    <mergeCell ref="I40:I41"/>
    <mergeCell ref="A42:A43"/>
    <mergeCell ref="B42:B43"/>
    <mergeCell ref="I42:I43"/>
    <mergeCell ref="B23:C23"/>
    <mergeCell ref="A24:A25"/>
    <mergeCell ref="B24:B25"/>
    <mergeCell ref="B26:C26"/>
    <mergeCell ref="I24:I25"/>
    <mergeCell ref="A31:A32"/>
    <mergeCell ref="B31:B32"/>
    <mergeCell ref="B27:C27"/>
    <mergeCell ref="B28:C28"/>
    <mergeCell ref="B29:B30"/>
    <mergeCell ref="A29:A30"/>
    <mergeCell ref="A21:A22"/>
    <mergeCell ref="B21:B22"/>
    <mergeCell ref="I21:I22"/>
    <mergeCell ref="B10:C10"/>
    <mergeCell ref="A11:A12"/>
    <mergeCell ref="B11:B12"/>
    <mergeCell ref="I11:I12"/>
    <mergeCell ref="B17:B18"/>
    <mergeCell ref="A17:A18"/>
    <mergeCell ref="I17:I18"/>
    <mergeCell ref="A19:A20"/>
    <mergeCell ref="B19:B20"/>
    <mergeCell ref="A14:A15"/>
    <mergeCell ref="B14:B15"/>
    <mergeCell ref="I14:I15"/>
    <mergeCell ref="B16:C16"/>
    <mergeCell ref="A8:A9"/>
    <mergeCell ref="B8:B9"/>
    <mergeCell ref="I8:I9"/>
    <mergeCell ref="I5:I6"/>
    <mergeCell ref="A5:A6"/>
    <mergeCell ref="B5:B6"/>
    <mergeCell ref="D2:D3"/>
    <mergeCell ref="A1:A3"/>
    <mergeCell ref="B1:C3"/>
    <mergeCell ref="B4:C4"/>
    <mergeCell ref="D1:H1"/>
    <mergeCell ref="E2:F2"/>
    <mergeCell ref="G2:H2"/>
    <mergeCell ref="T10:X10"/>
    <mergeCell ref="T13:X13"/>
    <mergeCell ref="T14:X14"/>
    <mergeCell ref="T15:X15"/>
    <mergeCell ref="T16:X16"/>
    <mergeCell ref="T7:X7"/>
    <mergeCell ref="O1:R1"/>
    <mergeCell ref="S1:S3"/>
    <mergeCell ref="I1:I3"/>
    <mergeCell ref="T1:X3"/>
    <mergeCell ref="T4:X4"/>
    <mergeCell ref="N1:N3"/>
    <mergeCell ref="J1:M1"/>
    <mergeCell ref="T11:X12"/>
    <mergeCell ref="T22:X22"/>
    <mergeCell ref="T23:X23"/>
    <mergeCell ref="T24:X24"/>
    <mergeCell ref="T25:X25"/>
    <mergeCell ref="T26:X26"/>
    <mergeCell ref="T17:X17"/>
    <mergeCell ref="T18:X18"/>
    <mergeCell ref="T19:X19"/>
    <mergeCell ref="T20:X20"/>
    <mergeCell ref="T21:X21"/>
    <mergeCell ref="T47:X47"/>
    <mergeCell ref="T48:X48"/>
    <mergeCell ref="T8:X9"/>
    <mergeCell ref="T5:X6"/>
    <mergeCell ref="T42:X42"/>
    <mergeCell ref="T43:X43"/>
    <mergeCell ref="T44:X44"/>
    <mergeCell ref="T45:X45"/>
    <mergeCell ref="T46:X46"/>
    <mergeCell ref="T37:X37"/>
    <mergeCell ref="T38:X38"/>
    <mergeCell ref="T39:X39"/>
    <mergeCell ref="T40:X40"/>
    <mergeCell ref="T41:X41"/>
    <mergeCell ref="T32:X32"/>
    <mergeCell ref="T33:X33"/>
    <mergeCell ref="T34:X34"/>
    <mergeCell ref="T35:X35"/>
    <mergeCell ref="T36:X36"/>
    <mergeCell ref="T27:X27"/>
    <mergeCell ref="T28:X28"/>
    <mergeCell ref="T29:X29"/>
    <mergeCell ref="T30:X30"/>
    <mergeCell ref="T31:X31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5BF9-3C16-4FC6-8D27-DC97BAB15A4C}">
  <dimension ref="A1:X19"/>
  <sheetViews>
    <sheetView workbookViewId="0">
      <selection activeCell="G29" sqref="G29"/>
    </sheetView>
  </sheetViews>
  <sheetFormatPr defaultRowHeight="14" x14ac:dyDescent="0.3"/>
  <cols>
    <col min="1" max="1" width="8.6640625" style="1"/>
    <col min="2" max="2" width="12.33203125" style="1" bestFit="1" customWidth="1"/>
    <col min="3" max="3" width="15.33203125" style="1" bestFit="1" customWidth="1"/>
    <col min="4" max="8" width="8.6640625" style="1"/>
    <col min="9" max="9" width="11.25" style="1" bestFit="1" customWidth="1"/>
    <col min="10" max="17" width="8.6640625" style="1"/>
    <col min="18" max="18" width="8.6640625" style="1" customWidth="1"/>
    <col min="19" max="19" width="13.25" style="1" customWidth="1"/>
    <col min="20" max="16384" width="8.6640625" style="1"/>
  </cols>
  <sheetData>
    <row r="1" spans="1:24" x14ac:dyDescent="0.3">
      <c r="A1" s="9" t="s">
        <v>99</v>
      </c>
      <c r="B1" s="9" t="s">
        <v>1</v>
      </c>
      <c r="C1" s="9"/>
      <c r="D1" s="9" t="s">
        <v>2</v>
      </c>
      <c r="E1" s="9"/>
      <c r="F1" s="9"/>
      <c r="G1" s="9"/>
      <c r="H1" s="9"/>
      <c r="I1" s="9" t="s">
        <v>6</v>
      </c>
      <c r="J1" s="9" t="s">
        <v>7</v>
      </c>
      <c r="K1" s="9"/>
      <c r="L1" s="9"/>
      <c r="M1" s="9"/>
      <c r="N1" s="9" t="s">
        <v>20</v>
      </c>
      <c r="O1" s="11" t="s">
        <v>21</v>
      </c>
      <c r="P1" s="11"/>
      <c r="Q1" s="11"/>
      <c r="R1" s="11"/>
      <c r="S1" s="10" t="s">
        <v>8</v>
      </c>
      <c r="T1" s="9" t="s">
        <v>15</v>
      </c>
      <c r="U1" s="9"/>
      <c r="V1" s="9"/>
      <c r="W1" s="9"/>
      <c r="X1" s="9"/>
    </row>
    <row r="2" spans="1:24" ht="28" x14ac:dyDescent="0.3">
      <c r="A2" s="9"/>
      <c r="B2" s="9"/>
      <c r="C2" s="9"/>
      <c r="D2" s="9" t="s">
        <v>3</v>
      </c>
      <c r="E2" s="11" t="s">
        <v>4</v>
      </c>
      <c r="F2" s="11"/>
      <c r="G2" s="11" t="s">
        <v>5</v>
      </c>
      <c r="H2" s="11"/>
      <c r="I2" s="9"/>
      <c r="J2" s="2" t="s">
        <v>9</v>
      </c>
      <c r="K2" s="2" t="s">
        <v>10</v>
      </c>
      <c r="L2" s="2" t="s">
        <v>11</v>
      </c>
      <c r="M2" s="2" t="s">
        <v>12</v>
      </c>
      <c r="N2" s="9"/>
      <c r="O2" s="4" t="s">
        <v>9</v>
      </c>
      <c r="P2" s="4" t="s">
        <v>10</v>
      </c>
      <c r="Q2" s="4" t="s">
        <v>11</v>
      </c>
      <c r="R2" s="4" t="s">
        <v>12</v>
      </c>
      <c r="S2" s="10"/>
      <c r="T2" s="9"/>
      <c r="U2" s="9"/>
      <c r="V2" s="9"/>
      <c r="W2" s="9"/>
      <c r="X2" s="9"/>
    </row>
    <row r="3" spans="1:24" x14ac:dyDescent="0.3">
      <c r="A3" s="9"/>
      <c r="B3" s="9"/>
      <c r="C3" s="9"/>
      <c r="D3" s="9"/>
      <c r="E3" s="3" t="s">
        <v>13</v>
      </c>
      <c r="F3" s="3" t="s">
        <v>14</v>
      </c>
      <c r="G3" s="3" t="s">
        <v>13</v>
      </c>
      <c r="H3" s="3" t="s">
        <v>14</v>
      </c>
      <c r="I3" s="9"/>
      <c r="J3" s="1">
        <v>150</v>
      </c>
      <c r="K3" s="1">
        <v>175</v>
      </c>
      <c r="L3" s="1">
        <v>200</v>
      </c>
      <c r="M3" s="1">
        <v>225</v>
      </c>
      <c r="N3" s="9"/>
      <c r="O3" s="3">
        <v>150</v>
      </c>
      <c r="P3" s="3">
        <v>175</v>
      </c>
      <c r="Q3" s="3">
        <v>200</v>
      </c>
      <c r="R3" s="3">
        <v>225</v>
      </c>
      <c r="S3" s="10"/>
      <c r="T3" s="9"/>
      <c r="U3" s="9"/>
      <c r="V3" s="9"/>
      <c r="W3" s="9"/>
      <c r="X3" s="9"/>
    </row>
    <row r="4" spans="1:24" x14ac:dyDescent="0.3">
      <c r="A4" s="9">
        <v>29</v>
      </c>
      <c r="B4" s="9" t="s">
        <v>43</v>
      </c>
      <c r="C4" s="1" t="s">
        <v>44</v>
      </c>
      <c r="D4" s="1">
        <v>19</v>
      </c>
      <c r="E4" s="3">
        <v>0.8</v>
      </c>
      <c r="F4" s="3">
        <f t="shared" ref="F4:F5" si="0">FLOOR(D4*E4,1)</f>
        <v>15</v>
      </c>
      <c r="G4" s="3">
        <v>1.25</v>
      </c>
      <c r="H4" s="3">
        <f t="shared" ref="H4:H5" si="1">FLOOR(D4*G4,1)</f>
        <v>23</v>
      </c>
      <c r="I4" s="9" t="s">
        <v>100</v>
      </c>
      <c r="J4" s="1">
        <f t="shared" ref="J4:M19" si="2">CEILING(J$3/$D4,1)</f>
        <v>8</v>
      </c>
      <c r="K4" s="1">
        <f t="shared" si="2"/>
        <v>10</v>
      </c>
      <c r="L4" s="1">
        <f t="shared" si="2"/>
        <v>11</v>
      </c>
      <c r="M4" s="1">
        <f t="shared" si="2"/>
        <v>12</v>
      </c>
      <c r="N4" s="1">
        <v>600</v>
      </c>
      <c r="O4" s="3">
        <f t="shared" ref="O4:R5" si="3">(J4-1)*(60/$N4)</f>
        <v>0.70000000000000007</v>
      </c>
      <c r="P4" s="3">
        <f t="shared" si="3"/>
        <v>0.9</v>
      </c>
      <c r="Q4" s="3">
        <f t="shared" si="3"/>
        <v>1</v>
      </c>
      <c r="R4" s="3">
        <f t="shared" si="3"/>
        <v>1.1000000000000001</v>
      </c>
      <c r="S4" s="1">
        <f t="shared" ref="S4:S19" si="4">TRUNC($D4*($N4/60))</f>
        <v>190</v>
      </c>
      <c r="T4" s="9" t="s">
        <v>101</v>
      </c>
      <c r="U4" s="9"/>
      <c r="V4" s="9"/>
      <c r="W4" s="9"/>
      <c r="X4" s="9"/>
    </row>
    <row r="5" spans="1:24" x14ac:dyDescent="0.3">
      <c r="A5" s="9"/>
      <c r="B5" s="9"/>
      <c r="C5" s="1" t="s">
        <v>45</v>
      </c>
      <c r="D5" s="1">
        <f>15*2</f>
        <v>30</v>
      </c>
      <c r="E5" s="3">
        <v>0.8</v>
      </c>
      <c r="F5" s="3">
        <f t="shared" si="0"/>
        <v>24</v>
      </c>
      <c r="G5" s="3">
        <v>1.25</v>
      </c>
      <c r="H5" s="3">
        <f t="shared" si="1"/>
        <v>37</v>
      </c>
      <c r="I5" s="9"/>
      <c r="J5" s="1">
        <f t="shared" si="2"/>
        <v>5</v>
      </c>
      <c r="K5" s="1">
        <f t="shared" si="2"/>
        <v>6</v>
      </c>
      <c r="L5" s="1">
        <f t="shared" si="2"/>
        <v>7</v>
      </c>
      <c r="M5" s="1">
        <f t="shared" si="2"/>
        <v>8</v>
      </c>
      <c r="N5" s="1">
        <v>460</v>
      </c>
      <c r="O5" s="3">
        <f t="shared" si="3"/>
        <v>0.52173913043478259</v>
      </c>
      <c r="P5" s="3">
        <f t="shared" si="3"/>
        <v>0.65217391304347827</v>
      </c>
      <c r="Q5" s="3">
        <f t="shared" si="3"/>
        <v>0.78260869565217384</v>
      </c>
      <c r="R5" s="3">
        <f t="shared" si="3"/>
        <v>0.91304347826086951</v>
      </c>
      <c r="S5" s="1">
        <f t="shared" si="4"/>
        <v>230</v>
      </c>
      <c r="T5" s="9"/>
      <c r="U5" s="9"/>
      <c r="V5" s="9"/>
      <c r="W5" s="9"/>
      <c r="X5" s="9"/>
    </row>
    <row r="6" spans="1:24" x14ac:dyDescent="0.3">
      <c r="A6" s="9">
        <v>30</v>
      </c>
      <c r="B6" s="9" t="s">
        <v>43</v>
      </c>
      <c r="C6" s="1" t="s">
        <v>44</v>
      </c>
      <c r="D6" s="5">
        <v>18</v>
      </c>
      <c r="E6" s="3">
        <v>0.8</v>
      </c>
      <c r="F6" s="3">
        <f t="shared" ref="F6:F11" si="5">FLOOR(D6*E6,1)</f>
        <v>14</v>
      </c>
      <c r="G6" s="3">
        <v>1.25</v>
      </c>
      <c r="H6" s="3">
        <f t="shared" ref="H6:H19" si="6">FLOOR(D6*G6,1)</f>
        <v>22</v>
      </c>
      <c r="I6" s="9" t="s">
        <v>46</v>
      </c>
      <c r="J6" s="1">
        <f t="shared" si="2"/>
        <v>9</v>
      </c>
      <c r="K6" s="1">
        <f t="shared" si="2"/>
        <v>10</v>
      </c>
      <c r="L6" s="1">
        <f t="shared" si="2"/>
        <v>12</v>
      </c>
      <c r="M6" s="1">
        <f t="shared" si="2"/>
        <v>13</v>
      </c>
      <c r="N6" s="1">
        <v>600</v>
      </c>
      <c r="O6" s="3">
        <f t="shared" ref="O6:O19" si="7">(J6-1)*(60/$N6)</f>
        <v>0.8</v>
      </c>
      <c r="P6" s="3">
        <f t="shared" ref="P6:P19" si="8">(K6-1)*(60/$N6)</f>
        <v>0.9</v>
      </c>
      <c r="Q6" s="3">
        <f t="shared" ref="Q6:Q19" si="9">(L6-1)*(60/$N6)</f>
        <v>1.1000000000000001</v>
      </c>
      <c r="R6" s="3">
        <f t="shared" ref="R6:R19" si="10">(M6-1)*(60/$N6)</f>
        <v>1.2000000000000002</v>
      </c>
      <c r="S6" s="1">
        <f t="shared" si="4"/>
        <v>180</v>
      </c>
      <c r="T6" s="9"/>
      <c r="U6" s="9"/>
      <c r="V6" s="9"/>
      <c r="W6" s="9"/>
      <c r="X6" s="9"/>
    </row>
    <row r="7" spans="1:24" x14ac:dyDescent="0.3">
      <c r="A7" s="9"/>
      <c r="B7" s="9"/>
      <c r="C7" s="1" t="s">
        <v>45</v>
      </c>
      <c r="D7" s="5">
        <f>14*2</f>
        <v>28</v>
      </c>
      <c r="E7" s="3">
        <v>0.8</v>
      </c>
      <c r="F7" s="3">
        <f t="shared" si="5"/>
        <v>22</v>
      </c>
      <c r="G7" s="3">
        <v>1.25</v>
      </c>
      <c r="H7" s="3">
        <f t="shared" si="6"/>
        <v>35</v>
      </c>
      <c r="I7" s="9"/>
      <c r="J7" s="1">
        <f t="shared" si="2"/>
        <v>6</v>
      </c>
      <c r="K7" s="1">
        <f t="shared" si="2"/>
        <v>7</v>
      </c>
      <c r="L7" s="1">
        <f t="shared" si="2"/>
        <v>8</v>
      </c>
      <c r="M7" s="1">
        <f t="shared" si="2"/>
        <v>9</v>
      </c>
      <c r="N7" s="1">
        <v>460</v>
      </c>
      <c r="O7" s="3">
        <f t="shared" si="7"/>
        <v>0.65217391304347827</v>
      </c>
      <c r="P7" s="3">
        <f t="shared" si="8"/>
        <v>0.78260869565217384</v>
      </c>
      <c r="Q7" s="3">
        <f t="shared" si="9"/>
        <v>0.91304347826086951</v>
      </c>
      <c r="R7" s="3">
        <f t="shared" si="10"/>
        <v>1.0434782608695652</v>
      </c>
      <c r="S7" s="1">
        <f t="shared" si="4"/>
        <v>214</v>
      </c>
      <c r="T7" s="9"/>
      <c r="U7" s="9"/>
      <c r="V7" s="9"/>
      <c r="W7" s="9"/>
      <c r="X7" s="9"/>
    </row>
    <row r="8" spans="1:24" x14ac:dyDescent="0.3">
      <c r="A8" s="1">
        <v>29</v>
      </c>
      <c r="B8" s="9" t="s">
        <v>54</v>
      </c>
      <c r="C8" s="9"/>
      <c r="D8" s="1">
        <v>13</v>
      </c>
      <c r="E8" s="3">
        <v>0.8</v>
      </c>
      <c r="F8" s="3">
        <f t="shared" si="5"/>
        <v>10</v>
      </c>
      <c r="G8" s="3">
        <v>1.25</v>
      </c>
      <c r="H8" s="3">
        <f t="shared" si="6"/>
        <v>16</v>
      </c>
      <c r="I8" s="1" t="s">
        <v>53</v>
      </c>
      <c r="J8" s="1">
        <f t="shared" si="2"/>
        <v>12</v>
      </c>
      <c r="K8" s="1">
        <f t="shared" si="2"/>
        <v>14</v>
      </c>
      <c r="L8" s="1">
        <f t="shared" si="2"/>
        <v>16</v>
      </c>
      <c r="M8" s="1">
        <f t="shared" si="2"/>
        <v>18</v>
      </c>
      <c r="N8" s="1">
        <v>1080</v>
      </c>
      <c r="O8" s="3">
        <f t="shared" si="7"/>
        <v>0.61111111111111105</v>
      </c>
      <c r="P8" s="3">
        <f t="shared" si="8"/>
        <v>0.72222222222222221</v>
      </c>
      <c r="Q8" s="3">
        <f t="shared" si="9"/>
        <v>0.83333333333333326</v>
      </c>
      <c r="R8" s="3">
        <f t="shared" si="10"/>
        <v>0.94444444444444442</v>
      </c>
      <c r="S8" s="1">
        <f t="shared" si="4"/>
        <v>234</v>
      </c>
      <c r="T8" s="9" t="s">
        <v>101</v>
      </c>
      <c r="U8" s="9"/>
      <c r="V8" s="9"/>
      <c r="W8" s="9"/>
      <c r="X8" s="9"/>
    </row>
    <row r="9" spans="1:24" x14ac:dyDescent="0.3">
      <c r="A9" s="1">
        <v>30</v>
      </c>
      <c r="B9" s="9" t="s">
        <v>54</v>
      </c>
      <c r="C9" s="9"/>
      <c r="D9" s="5">
        <v>12</v>
      </c>
      <c r="E9" s="3">
        <v>0.8</v>
      </c>
      <c r="F9" s="3">
        <f t="shared" si="5"/>
        <v>9</v>
      </c>
      <c r="G9" s="3">
        <v>1.25</v>
      </c>
      <c r="H9" s="3">
        <f t="shared" si="6"/>
        <v>15</v>
      </c>
      <c r="I9" s="1" t="s">
        <v>53</v>
      </c>
      <c r="J9" s="1">
        <f t="shared" si="2"/>
        <v>13</v>
      </c>
      <c r="K9" s="1">
        <f t="shared" si="2"/>
        <v>15</v>
      </c>
      <c r="L9" s="1">
        <f t="shared" si="2"/>
        <v>17</v>
      </c>
      <c r="M9" s="1">
        <f t="shared" si="2"/>
        <v>19</v>
      </c>
      <c r="N9" s="1">
        <v>1080</v>
      </c>
      <c r="O9" s="3">
        <f t="shared" si="7"/>
        <v>0.66666666666666663</v>
      </c>
      <c r="P9" s="3">
        <f t="shared" si="8"/>
        <v>0.77777777777777768</v>
      </c>
      <c r="Q9" s="3">
        <f t="shared" si="9"/>
        <v>0.88888888888888884</v>
      </c>
      <c r="R9" s="3">
        <f t="shared" si="10"/>
        <v>1</v>
      </c>
      <c r="S9" s="1">
        <f t="shared" si="4"/>
        <v>216</v>
      </c>
      <c r="T9" s="9"/>
      <c r="U9" s="9"/>
      <c r="V9" s="9"/>
      <c r="W9" s="9"/>
      <c r="X9" s="9"/>
    </row>
    <row r="10" spans="1:24" x14ac:dyDescent="0.3">
      <c r="A10" s="1">
        <v>29</v>
      </c>
      <c r="B10" s="9" t="s">
        <v>61</v>
      </c>
      <c r="C10" s="9"/>
      <c r="D10" s="1">
        <v>17</v>
      </c>
      <c r="E10" s="3">
        <v>0.9</v>
      </c>
      <c r="F10" s="3">
        <f t="shared" si="5"/>
        <v>15</v>
      </c>
      <c r="G10" s="3">
        <v>1.25</v>
      </c>
      <c r="H10" s="3">
        <f t="shared" si="6"/>
        <v>21</v>
      </c>
      <c r="I10" s="1" t="s">
        <v>62</v>
      </c>
      <c r="J10" s="1">
        <f t="shared" si="2"/>
        <v>9</v>
      </c>
      <c r="K10" s="1">
        <f t="shared" si="2"/>
        <v>11</v>
      </c>
      <c r="L10" s="1">
        <f t="shared" si="2"/>
        <v>12</v>
      </c>
      <c r="M10" s="1">
        <f t="shared" si="2"/>
        <v>14</v>
      </c>
      <c r="N10" s="1">
        <v>780</v>
      </c>
      <c r="O10" s="3">
        <f t="shared" si="7"/>
        <v>0.61538461538461542</v>
      </c>
      <c r="P10" s="3">
        <f t="shared" si="8"/>
        <v>0.76923076923076927</v>
      </c>
      <c r="Q10" s="3">
        <f t="shared" si="9"/>
        <v>0.84615384615384626</v>
      </c>
      <c r="R10" s="3">
        <f t="shared" si="10"/>
        <v>1</v>
      </c>
      <c r="S10" s="1">
        <f t="shared" si="4"/>
        <v>221</v>
      </c>
      <c r="T10" s="9" t="s">
        <v>101</v>
      </c>
      <c r="U10" s="9"/>
      <c r="V10" s="9"/>
      <c r="W10" s="9"/>
      <c r="X10" s="9"/>
    </row>
    <row r="11" spans="1:24" x14ac:dyDescent="0.3">
      <c r="A11" s="1">
        <v>30</v>
      </c>
      <c r="B11" s="9" t="s">
        <v>61</v>
      </c>
      <c r="C11" s="9"/>
      <c r="D11" s="1">
        <v>16</v>
      </c>
      <c r="E11" s="3">
        <v>0.9</v>
      </c>
      <c r="F11" s="3">
        <f t="shared" si="5"/>
        <v>14</v>
      </c>
      <c r="G11" s="3">
        <v>1.25</v>
      </c>
      <c r="H11" s="3">
        <f t="shared" si="6"/>
        <v>20</v>
      </c>
      <c r="I11" s="1" t="s">
        <v>62</v>
      </c>
      <c r="J11" s="1">
        <f t="shared" si="2"/>
        <v>10</v>
      </c>
      <c r="K11" s="1">
        <f t="shared" si="2"/>
        <v>11</v>
      </c>
      <c r="L11" s="1">
        <f t="shared" si="2"/>
        <v>13</v>
      </c>
      <c r="M11" s="1">
        <f t="shared" si="2"/>
        <v>15</v>
      </c>
      <c r="N11" s="1">
        <v>780</v>
      </c>
      <c r="O11" s="3">
        <f t="shared" si="7"/>
        <v>0.69230769230769229</v>
      </c>
      <c r="P11" s="3">
        <f t="shared" si="8"/>
        <v>0.76923076923076927</v>
      </c>
      <c r="Q11" s="3">
        <f t="shared" si="9"/>
        <v>0.92307692307692313</v>
      </c>
      <c r="R11" s="3">
        <f t="shared" si="10"/>
        <v>1.0769230769230771</v>
      </c>
      <c r="S11" s="1">
        <f t="shared" si="4"/>
        <v>208</v>
      </c>
      <c r="T11" s="9"/>
      <c r="U11" s="9"/>
      <c r="V11" s="9"/>
      <c r="W11" s="9"/>
      <c r="X11" s="9"/>
    </row>
    <row r="12" spans="1:24" x14ac:dyDescent="0.3">
      <c r="A12" s="1">
        <v>29</v>
      </c>
      <c r="B12" s="1" t="s">
        <v>72</v>
      </c>
      <c r="C12" s="1" t="s">
        <v>44</v>
      </c>
      <c r="D12" s="1">
        <v>22</v>
      </c>
      <c r="E12" s="3">
        <v>0.75</v>
      </c>
      <c r="F12" s="3">
        <f>FLOOR(D12*E12,1)</f>
        <v>16</v>
      </c>
      <c r="G12" s="3">
        <v>1.4</v>
      </c>
      <c r="H12" s="3">
        <f t="shared" si="6"/>
        <v>30</v>
      </c>
      <c r="I12" s="1" t="s">
        <v>73</v>
      </c>
      <c r="J12" s="1">
        <f t="shared" si="2"/>
        <v>7</v>
      </c>
      <c r="K12" s="1">
        <f t="shared" si="2"/>
        <v>8</v>
      </c>
      <c r="L12" s="1">
        <f t="shared" si="2"/>
        <v>10</v>
      </c>
      <c r="M12" s="1">
        <f t="shared" si="2"/>
        <v>11</v>
      </c>
      <c r="N12" s="1">
        <v>462</v>
      </c>
      <c r="O12" s="3">
        <f t="shared" si="7"/>
        <v>0.77922077922077915</v>
      </c>
      <c r="P12" s="3">
        <f t="shared" si="8"/>
        <v>0.90909090909090895</v>
      </c>
      <c r="Q12" s="3">
        <f t="shared" si="9"/>
        <v>1.1688311688311688</v>
      </c>
      <c r="R12" s="3">
        <f t="shared" si="10"/>
        <v>1.2987012987012987</v>
      </c>
      <c r="S12" s="1">
        <f t="shared" si="4"/>
        <v>169</v>
      </c>
      <c r="T12" s="9" t="s">
        <v>101</v>
      </c>
      <c r="U12" s="9"/>
      <c r="V12" s="9"/>
      <c r="W12" s="9"/>
      <c r="X12" s="9"/>
    </row>
    <row r="13" spans="1:24" x14ac:dyDescent="0.3">
      <c r="A13" s="1">
        <v>30</v>
      </c>
      <c r="B13" s="1" t="s">
        <v>72</v>
      </c>
      <c r="C13" s="1" t="s">
        <v>44</v>
      </c>
      <c r="D13" s="5">
        <v>21</v>
      </c>
      <c r="E13" s="3">
        <v>0.75</v>
      </c>
      <c r="F13" s="3">
        <f>FLOOR(D13*E13,1)</f>
        <v>15</v>
      </c>
      <c r="G13" s="3">
        <v>1.4</v>
      </c>
      <c r="H13" s="3">
        <f t="shared" si="6"/>
        <v>29</v>
      </c>
      <c r="I13" s="1" t="s">
        <v>73</v>
      </c>
      <c r="J13" s="1">
        <f t="shared" si="2"/>
        <v>8</v>
      </c>
      <c r="K13" s="1">
        <f t="shared" si="2"/>
        <v>9</v>
      </c>
      <c r="L13" s="1">
        <f t="shared" si="2"/>
        <v>10</v>
      </c>
      <c r="M13" s="1">
        <f t="shared" si="2"/>
        <v>11</v>
      </c>
      <c r="N13" s="1">
        <v>462</v>
      </c>
      <c r="O13" s="3">
        <f t="shared" si="7"/>
        <v>0.90909090909090895</v>
      </c>
      <c r="P13" s="3">
        <f t="shared" si="8"/>
        <v>1.0389610389610389</v>
      </c>
      <c r="Q13" s="3">
        <f t="shared" si="9"/>
        <v>1.1688311688311688</v>
      </c>
      <c r="R13" s="3">
        <f t="shared" si="10"/>
        <v>1.2987012987012987</v>
      </c>
      <c r="S13" s="1">
        <f t="shared" si="4"/>
        <v>161</v>
      </c>
      <c r="T13" s="9"/>
      <c r="U13" s="9"/>
      <c r="V13" s="9"/>
      <c r="W13" s="9"/>
      <c r="X13" s="9"/>
    </row>
    <row r="14" spans="1:24" x14ac:dyDescent="0.3">
      <c r="A14" s="9">
        <v>29</v>
      </c>
      <c r="B14" s="9" t="s">
        <v>74</v>
      </c>
      <c r="C14" s="1" t="s">
        <v>75</v>
      </c>
      <c r="D14" s="1">
        <v>60</v>
      </c>
      <c r="E14" s="3">
        <v>0.85</v>
      </c>
      <c r="F14" s="3">
        <f t="shared" ref="F14:F19" si="11">FLOOR(D14*E14,1)</f>
        <v>51</v>
      </c>
      <c r="G14" s="3">
        <v>1.4</v>
      </c>
      <c r="H14" s="3">
        <f t="shared" si="6"/>
        <v>84</v>
      </c>
      <c r="I14" s="1">
        <v>10</v>
      </c>
      <c r="J14" s="1">
        <f t="shared" si="2"/>
        <v>3</v>
      </c>
      <c r="K14" s="1">
        <f t="shared" si="2"/>
        <v>3</v>
      </c>
      <c r="L14" s="1">
        <f t="shared" si="2"/>
        <v>4</v>
      </c>
      <c r="M14" s="1">
        <f t="shared" si="2"/>
        <v>4</v>
      </c>
      <c r="N14" s="1">
        <v>105</v>
      </c>
      <c r="O14" s="3">
        <f t="shared" si="7"/>
        <v>1.1428571428571428</v>
      </c>
      <c r="P14" s="3">
        <f t="shared" si="8"/>
        <v>1.1428571428571428</v>
      </c>
      <c r="Q14" s="3">
        <f t="shared" si="9"/>
        <v>1.7142857142857142</v>
      </c>
      <c r="R14" s="3">
        <f t="shared" si="10"/>
        <v>1.7142857142857142</v>
      </c>
      <c r="S14" s="1">
        <f t="shared" si="4"/>
        <v>105</v>
      </c>
      <c r="T14" s="9" t="s">
        <v>102</v>
      </c>
      <c r="U14" s="9"/>
      <c r="V14" s="9"/>
      <c r="W14" s="9"/>
      <c r="X14" s="9"/>
    </row>
    <row r="15" spans="1:24" x14ac:dyDescent="0.3">
      <c r="A15" s="9"/>
      <c r="B15" s="9"/>
      <c r="C15" s="1" t="s">
        <v>77</v>
      </c>
      <c r="D15" s="1">
        <v>56</v>
      </c>
      <c r="E15" s="3">
        <v>1</v>
      </c>
      <c r="F15" s="3">
        <f t="shared" si="11"/>
        <v>56</v>
      </c>
      <c r="G15" s="3">
        <v>1.25</v>
      </c>
      <c r="H15" s="3">
        <f t="shared" si="6"/>
        <v>70</v>
      </c>
      <c r="I15" s="1">
        <v>10</v>
      </c>
      <c r="J15" s="1">
        <f t="shared" si="2"/>
        <v>3</v>
      </c>
      <c r="K15" s="1">
        <f t="shared" si="2"/>
        <v>4</v>
      </c>
      <c r="L15" s="1">
        <f t="shared" si="2"/>
        <v>4</v>
      </c>
      <c r="M15" s="1">
        <f t="shared" si="2"/>
        <v>5</v>
      </c>
      <c r="N15" s="1">
        <v>140</v>
      </c>
      <c r="O15" s="3">
        <f t="shared" si="7"/>
        <v>0.8571428571428571</v>
      </c>
      <c r="P15" s="3">
        <f t="shared" si="8"/>
        <v>1.2857142857142856</v>
      </c>
      <c r="Q15" s="3">
        <f t="shared" si="9"/>
        <v>1.2857142857142856</v>
      </c>
      <c r="R15" s="3">
        <f t="shared" si="10"/>
        <v>1.7142857142857142</v>
      </c>
      <c r="S15" s="1">
        <f t="shared" si="4"/>
        <v>130</v>
      </c>
      <c r="T15" s="9"/>
      <c r="U15" s="9"/>
      <c r="V15" s="9"/>
      <c r="W15" s="9"/>
      <c r="X15" s="9"/>
    </row>
    <row r="16" spans="1:24" x14ac:dyDescent="0.3">
      <c r="A16" s="9">
        <v>30</v>
      </c>
      <c r="B16" s="9" t="s">
        <v>74</v>
      </c>
      <c r="C16" s="1" t="s">
        <v>75</v>
      </c>
      <c r="D16" s="6">
        <v>71</v>
      </c>
      <c r="E16" s="3">
        <v>0.85</v>
      </c>
      <c r="F16" s="3">
        <f t="shared" si="11"/>
        <v>60</v>
      </c>
      <c r="G16" s="3">
        <v>1.4</v>
      </c>
      <c r="H16" s="3">
        <f t="shared" si="6"/>
        <v>99</v>
      </c>
      <c r="I16" s="1">
        <v>10</v>
      </c>
      <c r="J16" s="1">
        <f t="shared" si="2"/>
        <v>3</v>
      </c>
      <c r="K16" s="1">
        <f t="shared" si="2"/>
        <v>3</v>
      </c>
      <c r="L16" s="1">
        <f t="shared" si="2"/>
        <v>3</v>
      </c>
      <c r="M16" s="1">
        <f t="shared" si="2"/>
        <v>4</v>
      </c>
      <c r="N16" s="1">
        <v>105</v>
      </c>
      <c r="O16" s="3">
        <f t="shared" si="7"/>
        <v>1.1428571428571428</v>
      </c>
      <c r="P16" s="3">
        <f t="shared" si="8"/>
        <v>1.1428571428571428</v>
      </c>
      <c r="Q16" s="3">
        <f t="shared" si="9"/>
        <v>1.1428571428571428</v>
      </c>
      <c r="R16" s="3">
        <f t="shared" si="10"/>
        <v>1.7142857142857142</v>
      </c>
      <c r="S16" s="1">
        <f t="shared" si="4"/>
        <v>124</v>
      </c>
      <c r="T16" s="9"/>
      <c r="U16" s="9"/>
      <c r="V16" s="9"/>
      <c r="W16" s="9"/>
      <c r="X16" s="9"/>
    </row>
    <row r="17" spans="1:24" x14ac:dyDescent="0.3">
      <c r="A17" s="9"/>
      <c r="B17" s="9"/>
      <c r="C17" s="1" t="s">
        <v>77</v>
      </c>
      <c r="D17" s="1">
        <v>56</v>
      </c>
      <c r="E17" s="3">
        <v>1</v>
      </c>
      <c r="F17" s="3">
        <f t="shared" si="11"/>
        <v>56</v>
      </c>
      <c r="G17" s="3">
        <v>1.25</v>
      </c>
      <c r="H17" s="3">
        <f t="shared" si="6"/>
        <v>70</v>
      </c>
      <c r="I17" s="1">
        <v>10</v>
      </c>
      <c r="J17" s="1">
        <f t="shared" si="2"/>
        <v>3</v>
      </c>
      <c r="K17" s="1">
        <f t="shared" si="2"/>
        <v>4</v>
      </c>
      <c r="L17" s="1">
        <f t="shared" si="2"/>
        <v>4</v>
      </c>
      <c r="M17" s="1">
        <f t="shared" si="2"/>
        <v>5</v>
      </c>
      <c r="N17" s="1">
        <v>140</v>
      </c>
      <c r="O17" s="3">
        <f t="shared" si="7"/>
        <v>0.8571428571428571</v>
      </c>
      <c r="P17" s="3">
        <f t="shared" si="8"/>
        <v>1.2857142857142856</v>
      </c>
      <c r="Q17" s="3">
        <f t="shared" si="9"/>
        <v>1.2857142857142856</v>
      </c>
      <c r="R17" s="3">
        <f t="shared" si="10"/>
        <v>1.7142857142857142</v>
      </c>
      <c r="S17" s="1">
        <f t="shared" si="4"/>
        <v>130</v>
      </c>
      <c r="T17" s="9"/>
      <c r="U17" s="9"/>
      <c r="V17" s="9"/>
      <c r="W17" s="9"/>
      <c r="X17" s="9"/>
    </row>
    <row r="18" spans="1:24" x14ac:dyDescent="0.3">
      <c r="A18" s="1">
        <v>29</v>
      </c>
      <c r="B18" s="1" t="s">
        <v>81</v>
      </c>
      <c r="C18" s="1" t="s">
        <v>23</v>
      </c>
      <c r="D18" s="1">
        <v>37</v>
      </c>
      <c r="E18" s="3">
        <v>0.75</v>
      </c>
      <c r="F18" s="3">
        <f t="shared" si="11"/>
        <v>27</v>
      </c>
      <c r="G18" s="3">
        <v>1.45</v>
      </c>
      <c r="H18" s="3">
        <f t="shared" si="6"/>
        <v>53</v>
      </c>
      <c r="I18" s="1">
        <v>18</v>
      </c>
      <c r="J18" s="1">
        <f t="shared" si="2"/>
        <v>5</v>
      </c>
      <c r="K18" s="1">
        <f t="shared" si="2"/>
        <v>5</v>
      </c>
      <c r="L18" s="1">
        <f t="shared" si="2"/>
        <v>6</v>
      </c>
      <c r="M18" s="1">
        <f t="shared" si="2"/>
        <v>7</v>
      </c>
      <c r="N18" s="1">
        <v>246</v>
      </c>
      <c r="O18" s="3">
        <f t="shared" si="7"/>
        <v>0.97560975609756095</v>
      </c>
      <c r="P18" s="3">
        <f t="shared" si="8"/>
        <v>0.97560975609756095</v>
      </c>
      <c r="Q18" s="3">
        <f t="shared" si="9"/>
        <v>1.2195121951219512</v>
      </c>
      <c r="R18" s="3">
        <f t="shared" si="10"/>
        <v>1.4634146341463414</v>
      </c>
      <c r="S18" s="1">
        <f t="shared" si="4"/>
        <v>151</v>
      </c>
      <c r="T18" s="9" t="s">
        <v>103</v>
      </c>
      <c r="U18" s="9"/>
      <c r="V18" s="9"/>
      <c r="W18" s="9"/>
      <c r="X18" s="9"/>
    </row>
    <row r="19" spans="1:24" x14ac:dyDescent="0.3">
      <c r="A19" s="1">
        <v>30</v>
      </c>
      <c r="B19" s="9" t="s">
        <v>81</v>
      </c>
      <c r="C19" s="9"/>
      <c r="D19" s="5">
        <v>33</v>
      </c>
      <c r="E19" s="3">
        <v>0.75</v>
      </c>
      <c r="F19" s="3">
        <f t="shared" si="11"/>
        <v>24</v>
      </c>
      <c r="G19" s="3">
        <v>1.45</v>
      </c>
      <c r="H19" s="3">
        <f t="shared" si="6"/>
        <v>47</v>
      </c>
      <c r="I19" s="1" t="s">
        <v>82</v>
      </c>
      <c r="J19" s="1">
        <f t="shared" si="2"/>
        <v>5</v>
      </c>
      <c r="K19" s="1">
        <f t="shared" si="2"/>
        <v>6</v>
      </c>
      <c r="L19" s="1">
        <f t="shared" si="2"/>
        <v>7</v>
      </c>
      <c r="M19" s="1">
        <f t="shared" si="2"/>
        <v>7</v>
      </c>
      <c r="N19" s="1">
        <v>246</v>
      </c>
      <c r="O19" s="3">
        <f t="shared" si="7"/>
        <v>0.97560975609756095</v>
      </c>
      <c r="P19" s="3">
        <f t="shared" si="8"/>
        <v>1.2195121951219512</v>
      </c>
      <c r="Q19" s="3">
        <f t="shared" si="9"/>
        <v>1.4634146341463414</v>
      </c>
      <c r="R19" s="3">
        <f t="shared" si="10"/>
        <v>1.4634146341463414</v>
      </c>
      <c r="S19" s="1">
        <f t="shared" si="4"/>
        <v>135</v>
      </c>
      <c r="T19" s="9"/>
      <c r="U19" s="9"/>
      <c r="V19" s="9"/>
      <c r="W19" s="9"/>
      <c r="X19" s="9"/>
    </row>
  </sheetData>
  <mergeCells count="33">
    <mergeCell ref="A1:A3"/>
    <mergeCell ref="B1:C3"/>
    <mergeCell ref="D1:H1"/>
    <mergeCell ref="I1:I3"/>
    <mergeCell ref="J1:M1"/>
    <mergeCell ref="A14:A15"/>
    <mergeCell ref="A16:A17"/>
    <mergeCell ref="A4:A5"/>
    <mergeCell ref="A6:A7"/>
    <mergeCell ref="B6:B7"/>
    <mergeCell ref="B8:C8"/>
    <mergeCell ref="B9:C9"/>
    <mergeCell ref="B4:B5"/>
    <mergeCell ref="B19:C19"/>
    <mergeCell ref="T1:X3"/>
    <mergeCell ref="B10:C10"/>
    <mergeCell ref="B11:C11"/>
    <mergeCell ref="B14:B15"/>
    <mergeCell ref="B16:B17"/>
    <mergeCell ref="I6:I7"/>
    <mergeCell ref="O1:R1"/>
    <mergeCell ref="S1:S3"/>
    <mergeCell ref="D2:D3"/>
    <mergeCell ref="E2:F2"/>
    <mergeCell ref="G2:H2"/>
    <mergeCell ref="I4:I5"/>
    <mergeCell ref="N1:N3"/>
    <mergeCell ref="T18:X19"/>
    <mergeCell ref="T4:X7"/>
    <mergeCell ref="T8:X9"/>
    <mergeCell ref="T10:X11"/>
    <mergeCell ref="T12:X13"/>
    <mergeCell ref="T14:X1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62B4-8F0B-443B-BBB7-A4C6592C3D9B}">
  <dimension ref="A1:Q48"/>
  <sheetViews>
    <sheetView tabSelected="1" topLeftCell="A11" workbookViewId="0">
      <selection activeCell="M36" sqref="M36:Q37"/>
    </sheetView>
  </sheetViews>
  <sheetFormatPr defaultRowHeight="14" x14ac:dyDescent="0.3"/>
  <cols>
    <col min="1" max="1" width="8.6640625" style="1"/>
    <col min="2" max="2" width="12.33203125" style="1" bestFit="1" customWidth="1"/>
    <col min="3" max="3" width="15.6640625" style="1" bestFit="1" customWidth="1"/>
    <col min="4" max="4" width="15.6640625" style="1" customWidth="1"/>
    <col min="5" max="5" width="12" style="1" bestFit="1" customWidth="1"/>
    <col min="6" max="7" width="13.08203125" style="1" customWidth="1"/>
    <col min="8" max="8" width="8.6640625" style="8"/>
    <col min="9" max="9" width="8.6640625" style="1"/>
    <col min="10" max="11" width="20.58203125" style="3" customWidth="1"/>
    <col min="12" max="12" width="14.1640625" style="1" customWidth="1"/>
    <col min="13" max="16384" width="8.6640625" style="1"/>
  </cols>
  <sheetData>
    <row r="1" spans="1:17" ht="42" customHeight="1" x14ac:dyDescent="0.3">
      <c r="A1" s="9" t="s">
        <v>0</v>
      </c>
      <c r="B1" s="9" t="s">
        <v>107</v>
      </c>
      <c r="C1" s="9"/>
      <c r="D1" s="10" t="s">
        <v>109</v>
      </c>
      <c r="E1" s="9" t="s">
        <v>104</v>
      </c>
      <c r="F1" s="10" t="s">
        <v>105</v>
      </c>
      <c r="G1" s="10" t="s">
        <v>110</v>
      </c>
      <c r="H1" s="10" t="s">
        <v>106</v>
      </c>
      <c r="I1" s="9" t="s">
        <v>20</v>
      </c>
      <c r="J1" s="10" t="s">
        <v>111</v>
      </c>
      <c r="K1" s="10" t="s">
        <v>113</v>
      </c>
      <c r="L1" s="10" t="s">
        <v>112</v>
      </c>
      <c r="M1" s="9" t="s">
        <v>15</v>
      </c>
      <c r="N1" s="9"/>
      <c r="O1" s="9"/>
      <c r="P1" s="9"/>
      <c r="Q1" s="9"/>
    </row>
    <row r="2" spans="1:17" x14ac:dyDescent="0.3">
      <c r="A2" s="9"/>
      <c r="B2" s="9"/>
      <c r="C2" s="9"/>
      <c r="D2" s="9"/>
      <c r="E2" s="9"/>
      <c r="F2" s="10"/>
      <c r="G2" s="10"/>
      <c r="H2" s="10"/>
      <c r="I2" s="9"/>
      <c r="J2" s="10"/>
      <c r="K2" s="10"/>
      <c r="L2" s="9"/>
      <c r="M2" s="9"/>
      <c r="N2" s="9"/>
      <c r="O2" s="9"/>
      <c r="P2" s="9"/>
      <c r="Q2" s="9"/>
    </row>
    <row r="3" spans="1:17" x14ac:dyDescent="0.3">
      <c r="A3" s="9"/>
      <c r="B3" s="9"/>
      <c r="C3" s="9"/>
      <c r="D3" s="9"/>
      <c r="E3" s="9"/>
      <c r="F3" s="10"/>
      <c r="G3" s="10"/>
      <c r="H3" s="10"/>
      <c r="I3" s="9"/>
      <c r="J3" s="10"/>
      <c r="K3" s="10"/>
      <c r="L3" s="9"/>
      <c r="M3" s="9"/>
      <c r="N3" s="9"/>
      <c r="O3" s="9"/>
      <c r="P3" s="9"/>
      <c r="Q3" s="9"/>
    </row>
    <row r="4" spans="1:17" x14ac:dyDescent="0.3">
      <c r="A4" s="1">
        <v>1</v>
      </c>
      <c r="B4" s="9" t="s">
        <v>16</v>
      </c>
      <c r="C4" s="9"/>
      <c r="D4" s="1">
        <f>ttk_dfs!D4</f>
        <v>14</v>
      </c>
      <c r="E4" s="1">
        <v>173</v>
      </c>
      <c r="F4" s="1">
        <f>ttk_dfs!L4</f>
        <v>15</v>
      </c>
      <c r="G4" s="1">
        <f>FLOOR((D4*E4-200)/D4,1)</f>
        <v>158</v>
      </c>
      <c r="H4" s="8">
        <f>G4/E4</f>
        <v>0.91329479768786126</v>
      </c>
      <c r="I4" s="2">
        <v>1200</v>
      </c>
      <c r="J4" s="3">
        <f>(E4-1)*(60/I4)</f>
        <v>8.6</v>
      </c>
      <c r="K4" s="3">
        <f>ttk_dfs!Q4</f>
        <v>0.70000000000000007</v>
      </c>
      <c r="L4" s="3">
        <f>J4-K4</f>
        <v>7.8999999999999995</v>
      </c>
    </row>
    <row r="5" spans="1:17" x14ac:dyDescent="0.3">
      <c r="A5" s="9">
        <v>2</v>
      </c>
      <c r="B5" s="9" t="s">
        <v>17</v>
      </c>
      <c r="C5" s="1" t="s">
        <v>18</v>
      </c>
      <c r="D5" s="1">
        <f>ttk_dfs!D5</f>
        <v>16</v>
      </c>
      <c r="E5" s="1">
        <v>48</v>
      </c>
      <c r="F5" s="1">
        <f>ttk_dfs!L5</f>
        <v>13</v>
      </c>
      <c r="G5" s="1">
        <f t="shared" ref="G5:G48" si="0">FLOOR((D5*E5-200)/D5,1)</f>
        <v>35</v>
      </c>
      <c r="H5" s="8">
        <f t="shared" ref="H5:H48" si="1">G5/E5</f>
        <v>0.72916666666666663</v>
      </c>
      <c r="I5" s="1">
        <v>900</v>
      </c>
      <c r="J5" s="3">
        <f t="shared" ref="J5:J48" si="2">(E5-1)*(60/I5)</f>
        <v>3.1333333333333333</v>
      </c>
      <c r="K5" s="3">
        <f>ttk_dfs!Q5</f>
        <v>0.8</v>
      </c>
      <c r="L5" s="3">
        <f t="shared" ref="L5:L48" si="3">J5-K5</f>
        <v>2.333333333333333</v>
      </c>
    </row>
    <row r="6" spans="1:17" x14ac:dyDescent="0.3">
      <c r="A6" s="9"/>
      <c r="B6" s="9"/>
      <c r="C6" s="1" t="s">
        <v>19</v>
      </c>
      <c r="D6" s="1">
        <f>ttk_dfs!D6</f>
        <v>16</v>
      </c>
      <c r="E6" s="1">
        <v>48</v>
      </c>
      <c r="F6" s="1">
        <f>ttk_dfs!L6</f>
        <v>13</v>
      </c>
      <c r="G6" s="1">
        <f t="shared" si="0"/>
        <v>35</v>
      </c>
      <c r="H6" s="8">
        <f t="shared" si="1"/>
        <v>0.72916666666666663</v>
      </c>
      <c r="I6" s="1">
        <v>300</v>
      </c>
      <c r="J6" s="3">
        <f t="shared" si="2"/>
        <v>9.4</v>
      </c>
      <c r="K6" s="3">
        <f>ttk_dfs!Q6</f>
        <v>2.4000000000000004</v>
      </c>
      <c r="L6" s="3">
        <f t="shared" si="3"/>
        <v>7</v>
      </c>
    </row>
    <row r="7" spans="1:17" x14ac:dyDescent="0.3">
      <c r="A7" s="1">
        <v>3</v>
      </c>
      <c r="B7" s="1" t="s">
        <v>22</v>
      </c>
      <c r="C7" s="1" t="s">
        <v>23</v>
      </c>
      <c r="D7" s="1">
        <f>ttk_dfs!D7</f>
        <v>22</v>
      </c>
      <c r="E7" s="1">
        <v>28</v>
      </c>
      <c r="F7" s="1">
        <f>ttk_dfs!L7</f>
        <v>10</v>
      </c>
      <c r="G7" s="1">
        <f t="shared" si="0"/>
        <v>18</v>
      </c>
      <c r="H7" s="8">
        <f t="shared" si="1"/>
        <v>0.6428571428571429</v>
      </c>
      <c r="I7" s="1">
        <v>600</v>
      </c>
      <c r="J7" s="3">
        <f t="shared" si="2"/>
        <v>2.7</v>
      </c>
      <c r="K7" s="3">
        <f>ttk_dfs!Q7</f>
        <v>0.9</v>
      </c>
      <c r="L7" s="3">
        <f t="shared" si="3"/>
        <v>1.8000000000000003</v>
      </c>
    </row>
    <row r="8" spans="1:17" x14ac:dyDescent="0.3">
      <c r="A8" s="9">
        <v>4</v>
      </c>
      <c r="B8" s="9" t="s">
        <v>24</v>
      </c>
      <c r="C8" s="1" t="s">
        <v>25</v>
      </c>
      <c r="D8" s="1">
        <f>ttk_dfs!D8</f>
        <v>17</v>
      </c>
      <c r="E8" s="1">
        <v>35</v>
      </c>
      <c r="F8" s="1">
        <f>ttk_dfs!L8</f>
        <v>12</v>
      </c>
      <c r="G8" s="1">
        <f t="shared" si="0"/>
        <v>23</v>
      </c>
      <c r="H8" s="8">
        <f t="shared" si="1"/>
        <v>0.65714285714285714</v>
      </c>
      <c r="I8" s="1">
        <v>800</v>
      </c>
      <c r="J8" s="3">
        <f t="shared" si="2"/>
        <v>2.5499999999999998</v>
      </c>
      <c r="K8" s="3">
        <f>ttk_dfs!Q8</f>
        <v>0.82499999999999996</v>
      </c>
      <c r="L8" s="3">
        <f t="shared" si="3"/>
        <v>1.7249999999999999</v>
      </c>
    </row>
    <row r="9" spans="1:17" x14ac:dyDescent="0.3">
      <c r="A9" s="9"/>
      <c r="B9" s="9"/>
      <c r="C9" s="1" t="s">
        <v>26</v>
      </c>
      <c r="D9" s="1">
        <f>ttk_dfs!D9</f>
        <v>16</v>
      </c>
      <c r="E9" s="1">
        <v>35</v>
      </c>
      <c r="F9" s="1">
        <f>ttk_dfs!L9</f>
        <v>13</v>
      </c>
      <c r="G9" s="1">
        <f t="shared" si="0"/>
        <v>22</v>
      </c>
      <c r="H9" s="8">
        <f t="shared" si="1"/>
        <v>0.62857142857142856</v>
      </c>
      <c r="I9" s="1">
        <v>820</v>
      </c>
      <c r="J9" s="3">
        <f t="shared" si="2"/>
        <v>2.4878048780487805</v>
      </c>
      <c r="K9" s="3">
        <f>ttk_dfs!Q9</f>
        <v>0.87804878048780477</v>
      </c>
      <c r="L9" s="3">
        <f t="shared" si="3"/>
        <v>1.6097560975609757</v>
      </c>
    </row>
    <row r="10" spans="1:17" x14ac:dyDescent="0.3">
      <c r="A10" s="1">
        <v>5</v>
      </c>
      <c r="B10" s="9" t="s">
        <v>28</v>
      </c>
      <c r="C10" s="9"/>
      <c r="D10" s="1">
        <f>ttk_dfs!D10</f>
        <v>20</v>
      </c>
      <c r="E10" s="1">
        <v>29</v>
      </c>
      <c r="F10" s="1">
        <f>ttk_dfs!L10</f>
        <v>10</v>
      </c>
      <c r="G10" s="1">
        <f t="shared" si="0"/>
        <v>19</v>
      </c>
      <c r="H10" s="8">
        <f t="shared" si="1"/>
        <v>0.65517241379310343</v>
      </c>
      <c r="I10" s="1">
        <v>672</v>
      </c>
      <c r="J10" s="3">
        <f t="shared" si="2"/>
        <v>2.5</v>
      </c>
      <c r="K10" s="3">
        <f>ttk_dfs!Q10</f>
        <v>0.8035714285714286</v>
      </c>
      <c r="L10" s="3">
        <f t="shared" si="3"/>
        <v>1.6964285714285714</v>
      </c>
    </row>
    <row r="11" spans="1:17" x14ac:dyDescent="0.3">
      <c r="A11" s="9">
        <v>6</v>
      </c>
      <c r="B11" s="9" t="s">
        <v>30</v>
      </c>
      <c r="C11" s="1" t="s">
        <v>31</v>
      </c>
      <c r="D11" s="1">
        <f>ttk_dfs!D11</f>
        <v>56</v>
      </c>
      <c r="E11" s="1">
        <v>8</v>
      </c>
      <c r="F11" s="1">
        <f>ttk_dfs!L11</f>
        <v>4</v>
      </c>
      <c r="G11" s="1">
        <f t="shared" si="0"/>
        <v>4</v>
      </c>
      <c r="H11" s="8">
        <f t="shared" si="1"/>
        <v>0.5</v>
      </c>
      <c r="I11" s="1">
        <v>200</v>
      </c>
      <c r="J11" s="3">
        <f t="shared" si="2"/>
        <v>2.1</v>
      </c>
      <c r="K11" s="3">
        <f>ttk_dfs!Q11</f>
        <v>0.89999999999999991</v>
      </c>
      <c r="L11" s="3">
        <f t="shared" si="3"/>
        <v>1.2000000000000002</v>
      </c>
    </row>
    <row r="12" spans="1:17" x14ac:dyDescent="0.3">
      <c r="A12" s="9"/>
      <c r="B12" s="9"/>
      <c r="C12" s="1" t="s">
        <v>32</v>
      </c>
      <c r="D12" s="1">
        <f>ttk_dfs!D12</f>
        <v>102</v>
      </c>
      <c r="E12" s="1">
        <v>8</v>
      </c>
      <c r="F12" s="1">
        <f>ttk_dfs!L12</f>
        <v>2</v>
      </c>
      <c r="G12" s="1">
        <f t="shared" si="0"/>
        <v>6</v>
      </c>
      <c r="H12" s="8">
        <f t="shared" si="1"/>
        <v>0.75</v>
      </c>
      <c r="I12" s="1">
        <v>43</v>
      </c>
      <c r="J12" s="3">
        <f t="shared" si="2"/>
        <v>9.7674418604651159</v>
      </c>
      <c r="K12" s="3">
        <f>ttk_dfs!Q12</f>
        <v>1.3953488372093024</v>
      </c>
      <c r="L12" s="3">
        <f t="shared" si="3"/>
        <v>8.3720930232558128</v>
      </c>
    </row>
    <row r="13" spans="1:17" x14ac:dyDescent="0.3">
      <c r="A13" s="1">
        <v>7</v>
      </c>
      <c r="B13" s="1" t="s">
        <v>34</v>
      </c>
      <c r="C13" s="1" t="s">
        <v>36</v>
      </c>
      <c r="D13" s="1">
        <f>ttk_dfs!D13</f>
        <v>51</v>
      </c>
      <c r="E13" s="1">
        <v>10</v>
      </c>
      <c r="F13" s="1">
        <f>ttk_dfs!L13</f>
        <v>4</v>
      </c>
      <c r="G13" s="1">
        <f t="shared" si="0"/>
        <v>6</v>
      </c>
      <c r="H13" s="8">
        <f t="shared" si="1"/>
        <v>0.6</v>
      </c>
      <c r="I13" s="1">
        <v>210</v>
      </c>
      <c r="J13" s="3">
        <f t="shared" si="2"/>
        <v>2.5714285714285712</v>
      </c>
      <c r="K13" s="3">
        <f>ttk_dfs!Q13</f>
        <v>0.8571428571428571</v>
      </c>
      <c r="L13" s="3">
        <f t="shared" si="3"/>
        <v>1.714285714285714</v>
      </c>
    </row>
    <row r="14" spans="1:17" x14ac:dyDescent="0.3">
      <c r="A14" s="9">
        <v>8</v>
      </c>
      <c r="B14" s="9" t="s">
        <v>37</v>
      </c>
      <c r="C14" s="1" t="s">
        <v>38</v>
      </c>
      <c r="D14" s="1">
        <f>ttk_dfs!D14</f>
        <v>17</v>
      </c>
      <c r="E14" s="1">
        <v>32</v>
      </c>
      <c r="F14" s="1">
        <f>ttk_dfs!L14</f>
        <v>12</v>
      </c>
      <c r="G14" s="1">
        <f t="shared" si="0"/>
        <v>20</v>
      </c>
      <c r="H14" s="8">
        <f t="shared" si="1"/>
        <v>0.625</v>
      </c>
      <c r="I14" s="1">
        <v>630</v>
      </c>
      <c r="J14" s="3">
        <f t="shared" si="2"/>
        <v>2.9523809523809521</v>
      </c>
      <c r="K14" s="3">
        <f>ttk_dfs!Q14</f>
        <v>1.0476190476190474</v>
      </c>
      <c r="L14" s="3">
        <f t="shared" si="3"/>
        <v>1.9047619047619047</v>
      </c>
    </row>
    <row r="15" spans="1:17" x14ac:dyDescent="0.3">
      <c r="A15" s="9"/>
      <c r="B15" s="9"/>
      <c r="C15" s="1" t="s">
        <v>19</v>
      </c>
      <c r="D15" s="1">
        <f>ttk_dfs!D15</f>
        <v>17</v>
      </c>
      <c r="E15" s="1">
        <v>32</v>
      </c>
      <c r="F15" s="1">
        <f>ttk_dfs!L15</f>
        <v>12</v>
      </c>
      <c r="G15" s="1">
        <f t="shared" si="0"/>
        <v>20</v>
      </c>
      <c r="H15" s="8">
        <f t="shared" si="1"/>
        <v>0.625</v>
      </c>
      <c r="I15" s="1">
        <v>560</v>
      </c>
      <c r="J15" s="3">
        <f t="shared" si="2"/>
        <v>3.3214285714285712</v>
      </c>
      <c r="K15" s="3">
        <f>ttk_dfs!Q15</f>
        <v>1.1785714285714286</v>
      </c>
      <c r="L15" s="3">
        <f t="shared" si="3"/>
        <v>2.1428571428571423</v>
      </c>
    </row>
    <row r="16" spans="1:17" x14ac:dyDescent="0.3">
      <c r="A16" s="1">
        <v>9</v>
      </c>
      <c r="B16" s="9" t="s">
        <v>41</v>
      </c>
      <c r="C16" s="9"/>
      <c r="D16" s="1">
        <f>ttk_dfs!D16</f>
        <v>14</v>
      </c>
      <c r="E16" s="1">
        <v>30</v>
      </c>
      <c r="F16" s="1">
        <f>ttk_dfs!L16</f>
        <v>15</v>
      </c>
      <c r="G16" s="1">
        <f t="shared" si="0"/>
        <v>15</v>
      </c>
      <c r="H16" s="8">
        <f t="shared" si="1"/>
        <v>0.5</v>
      </c>
      <c r="I16" s="1">
        <v>930</v>
      </c>
      <c r="J16" s="3">
        <f t="shared" si="2"/>
        <v>1.8709677419354838</v>
      </c>
      <c r="K16" s="3">
        <f>ttk_dfs!Q16</f>
        <v>0.90322580645161288</v>
      </c>
      <c r="L16" s="3">
        <f t="shared" si="3"/>
        <v>0.96774193548387089</v>
      </c>
    </row>
    <row r="17" spans="1:12" x14ac:dyDescent="0.3">
      <c r="A17" s="9">
        <v>10</v>
      </c>
      <c r="B17" s="9" t="s">
        <v>43</v>
      </c>
      <c r="C17" s="1" t="s">
        <v>44</v>
      </c>
      <c r="D17" s="1">
        <f>ttk_dfs!D17</f>
        <v>18</v>
      </c>
      <c r="E17" s="1">
        <v>26</v>
      </c>
      <c r="F17" s="1">
        <f>ttk_dfs!L17</f>
        <v>12</v>
      </c>
      <c r="G17" s="1">
        <f t="shared" si="0"/>
        <v>14</v>
      </c>
      <c r="H17" s="8">
        <f t="shared" si="1"/>
        <v>0.53846153846153844</v>
      </c>
      <c r="I17" s="1">
        <v>600</v>
      </c>
      <c r="J17" s="3">
        <f t="shared" si="2"/>
        <v>2.5</v>
      </c>
      <c r="K17" s="3">
        <f>ttk_dfs!Q17</f>
        <v>1.1000000000000001</v>
      </c>
      <c r="L17" s="3">
        <f t="shared" si="3"/>
        <v>1.4</v>
      </c>
    </row>
    <row r="18" spans="1:12" x14ac:dyDescent="0.3">
      <c r="A18" s="9"/>
      <c r="B18" s="9"/>
      <c r="C18" s="7" t="s">
        <v>45</v>
      </c>
      <c r="D18" s="1">
        <f>ttk_dfs!D18</f>
        <v>28</v>
      </c>
      <c r="E18" s="1">
        <v>26</v>
      </c>
      <c r="F18" s="1">
        <f>ttk_dfs!L18*2</f>
        <v>16</v>
      </c>
      <c r="G18" s="1">
        <f t="shared" si="0"/>
        <v>18</v>
      </c>
      <c r="H18" s="8">
        <f t="shared" si="1"/>
        <v>0.69230769230769229</v>
      </c>
      <c r="I18" s="1">
        <v>460</v>
      </c>
      <c r="J18" s="3">
        <f t="shared" si="2"/>
        <v>3.2608695652173911</v>
      </c>
      <c r="K18" s="3">
        <f>ttk_dfs!Q18</f>
        <v>0.91304347826086951</v>
      </c>
      <c r="L18" s="3">
        <f t="shared" si="3"/>
        <v>2.3478260869565215</v>
      </c>
    </row>
    <row r="19" spans="1:12" x14ac:dyDescent="0.3">
      <c r="A19" s="9">
        <v>11</v>
      </c>
      <c r="B19" s="9" t="s">
        <v>47</v>
      </c>
      <c r="C19" s="1" t="s">
        <v>44</v>
      </c>
      <c r="D19" s="1">
        <f>ttk_dfs!D19</f>
        <v>20</v>
      </c>
      <c r="E19" s="1">
        <v>29</v>
      </c>
      <c r="F19" s="1">
        <f>ttk_dfs!L19</f>
        <v>10</v>
      </c>
      <c r="G19" s="1">
        <f t="shared" si="0"/>
        <v>19</v>
      </c>
      <c r="H19" s="8">
        <f t="shared" si="1"/>
        <v>0.65517241379310343</v>
      </c>
      <c r="I19" s="1">
        <v>600</v>
      </c>
      <c r="J19" s="3">
        <f t="shared" si="2"/>
        <v>2.8000000000000003</v>
      </c>
      <c r="K19" s="3">
        <f>ttk_dfs!Q19</f>
        <v>0.9</v>
      </c>
      <c r="L19" s="3">
        <f t="shared" si="3"/>
        <v>1.9000000000000004</v>
      </c>
    </row>
    <row r="20" spans="1:12" x14ac:dyDescent="0.3">
      <c r="A20" s="9"/>
      <c r="B20" s="9"/>
      <c r="C20" s="1" t="s">
        <v>48</v>
      </c>
      <c r="D20" s="1">
        <f>ttk_dfs!D20</f>
        <v>20</v>
      </c>
      <c r="E20" s="1">
        <v>31</v>
      </c>
      <c r="F20" s="1">
        <f>ttk_dfs!L20</f>
        <v>10</v>
      </c>
      <c r="G20" s="1">
        <f t="shared" si="0"/>
        <v>21</v>
      </c>
      <c r="H20" s="8">
        <f t="shared" si="1"/>
        <v>0.67741935483870963</v>
      </c>
      <c r="I20" s="1">
        <v>600</v>
      </c>
      <c r="J20" s="3">
        <f t="shared" si="2"/>
        <v>3</v>
      </c>
      <c r="K20" s="3">
        <f>ttk_dfs!Q20</f>
        <v>0.9</v>
      </c>
      <c r="L20" s="3">
        <f t="shared" si="3"/>
        <v>2.1</v>
      </c>
    </row>
    <row r="21" spans="1:12" x14ac:dyDescent="0.3">
      <c r="A21" s="9">
        <v>12</v>
      </c>
      <c r="B21" s="9" t="s">
        <v>51</v>
      </c>
      <c r="C21" s="1" t="s">
        <v>35</v>
      </c>
      <c r="D21" s="1">
        <f>ttk_dfs!D21</f>
        <v>24</v>
      </c>
      <c r="E21" s="1">
        <v>27</v>
      </c>
      <c r="F21" s="1">
        <f>ttk_dfs!L21</f>
        <v>9</v>
      </c>
      <c r="G21" s="1">
        <f t="shared" si="0"/>
        <v>18</v>
      </c>
      <c r="H21" s="8">
        <f t="shared" si="1"/>
        <v>0.66666666666666663</v>
      </c>
      <c r="I21" s="1">
        <v>450</v>
      </c>
      <c r="J21" s="3">
        <f t="shared" si="2"/>
        <v>3.4666666666666668</v>
      </c>
      <c r="K21" s="3">
        <f>ttk_dfs!Q21</f>
        <v>1.0666666666666667</v>
      </c>
      <c r="L21" s="3">
        <f t="shared" si="3"/>
        <v>2.4000000000000004</v>
      </c>
    </row>
    <row r="22" spans="1:12" x14ac:dyDescent="0.3">
      <c r="A22" s="9"/>
      <c r="B22" s="9"/>
      <c r="C22" s="1" t="s">
        <v>52</v>
      </c>
      <c r="D22" s="1">
        <f>ttk_dfs!D22</f>
        <v>24</v>
      </c>
      <c r="E22" s="1">
        <v>27</v>
      </c>
      <c r="F22" s="1">
        <f>ttk_dfs!L22</f>
        <v>9</v>
      </c>
      <c r="G22" s="1">
        <f t="shared" si="0"/>
        <v>18</v>
      </c>
      <c r="H22" s="8">
        <f t="shared" si="1"/>
        <v>0.66666666666666663</v>
      </c>
      <c r="I22" s="1">
        <v>450</v>
      </c>
      <c r="J22" s="3">
        <f t="shared" si="2"/>
        <v>3.4666666666666668</v>
      </c>
      <c r="K22" s="3">
        <f>ttk_dfs!Q22</f>
        <v>1.0666666666666667</v>
      </c>
      <c r="L22" s="3">
        <f t="shared" si="3"/>
        <v>2.4000000000000004</v>
      </c>
    </row>
    <row r="23" spans="1:12" x14ac:dyDescent="0.3">
      <c r="A23" s="1">
        <v>13</v>
      </c>
      <c r="B23" s="9" t="s">
        <v>54</v>
      </c>
      <c r="C23" s="9"/>
      <c r="D23" s="1">
        <f>ttk_dfs!D23</f>
        <v>12</v>
      </c>
      <c r="E23" s="1">
        <v>27</v>
      </c>
      <c r="F23" s="1">
        <f>ttk_dfs!L23</f>
        <v>17</v>
      </c>
      <c r="G23" s="1">
        <f t="shared" si="0"/>
        <v>10</v>
      </c>
      <c r="H23" s="8">
        <f t="shared" si="1"/>
        <v>0.37037037037037035</v>
      </c>
      <c r="I23" s="1">
        <v>1080</v>
      </c>
      <c r="J23" s="3">
        <f t="shared" si="2"/>
        <v>1.4444444444444444</v>
      </c>
      <c r="K23" s="3">
        <f>ttk_dfs!Q23</f>
        <v>0.88888888888888884</v>
      </c>
      <c r="L23" s="3">
        <f t="shared" si="3"/>
        <v>0.55555555555555558</v>
      </c>
    </row>
    <row r="24" spans="1:12" x14ac:dyDescent="0.3">
      <c r="A24" s="9">
        <v>14</v>
      </c>
      <c r="B24" s="9" t="s">
        <v>56</v>
      </c>
      <c r="C24" s="1" t="s">
        <v>44</v>
      </c>
      <c r="D24" s="1">
        <f>ttk_dfs!D24</f>
        <v>29</v>
      </c>
      <c r="E24" s="1">
        <v>40</v>
      </c>
      <c r="F24" s="1">
        <f>ttk_dfs!L24</f>
        <v>7</v>
      </c>
      <c r="G24" s="1">
        <f t="shared" si="0"/>
        <v>33</v>
      </c>
      <c r="H24" s="8">
        <f t="shared" si="1"/>
        <v>0.82499999999999996</v>
      </c>
      <c r="I24" s="1">
        <v>300</v>
      </c>
      <c r="J24" s="3">
        <f t="shared" si="2"/>
        <v>7.8000000000000007</v>
      </c>
      <c r="K24" s="3">
        <f>ttk_dfs!Q24</f>
        <v>1.2000000000000002</v>
      </c>
      <c r="L24" s="3">
        <f t="shared" si="3"/>
        <v>6.6000000000000005</v>
      </c>
    </row>
    <row r="25" spans="1:12" x14ac:dyDescent="0.3">
      <c r="A25" s="9"/>
      <c r="B25" s="9"/>
      <c r="C25" s="1" t="s">
        <v>57</v>
      </c>
      <c r="D25" s="1">
        <f>ttk_dfs!D25</f>
        <v>29</v>
      </c>
      <c r="E25" s="1">
        <v>40</v>
      </c>
      <c r="F25" s="1">
        <f>ttk_dfs!L25</f>
        <v>7</v>
      </c>
      <c r="G25" s="1">
        <f t="shared" si="0"/>
        <v>33</v>
      </c>
      <c r="H25" s="8">
        <f t="shared" si="1"/>
        <v>0.82499999999999996</v>
      </c>
      <c r="I25" s="1">
        <v>390</v>
      </c>
      <c r="J25" s="3">
        <f t="shared" si="2"/>
        <v>6</v>
      </c>
      <c r="K25" s="3">
        <f>ttk_dfs!Q25</f>
        <v>0.92307692307692313</v>
      </c>
      <c r="L25" s="3">
        <f t="shared" si="3"/>
        <v>5.0769230769230766</v>
      </c>
    </row>
    <row r="26" spans="1:12" x14ac:dyDescent="0.3">
      <c r="A26" s="1">
        <v>15</v>
      </c>
      <c r="B26" s="9" t="s">
        <v>55</v>
      </c>
      <c r="C26" s="9"/>
      <c r="D26" s="1">
        <f>ttk_dfs!D26</f>
        <v>15</v>
      </c>
      <c r="E26" s="1">
        <v>31</v>
      </c>
      <c r="F26" s="1">
        <f>ttk_dfs!L26</f>
        <v>14</v>
      </c>
      <c r="G26" s="1">
        <f t="shared" si="0"/>
        <v>17</v>
      </c>
      <c r="H26" s="8">
        <f t="shared" si="1"/>
        <v>0.54838709677419351</v>
      </c>
      <c r="I26" s="1">
        <v>810</v>
      </c>
      <c r="J26" s="3">
        <f t="shared" si="2"/>
        <v>2.2222222222222223</v>
      </c>
      <c r="K26" s="3">
        <f>ttk_dfs!Q26</f>
        <v>0.96296296296296291</v>
      </c>
      <c r="L26" s="3">
        <f t="shared" si="3"/>
        <v>1.2592592592592595</v>
      </c>
    </row>
    <row r="27" spans="1:12" x14ac:dyDescent="0.3">
      <c r="A27" s="1">
        <v>16</v>
      </c>
      <c r="B27" s="9" t="s">
        <v>61</v>
      </c>
      <c r="C27" s="9"/>
      <c r="D27" s="1">
        <f>ttk_dfs!D27</f>
        <v>16</v>
      </c>
      <c r="E27" s="1">
        <v>24</v>
      </c>
      <c r="F27" s="1">
        <f>ttk_dfs!L27</f>
        <v>13</v>
      </c>
      <c r="G27" s="1">
        <f t="shared" si="0"/>
        <v>11</v>
      </c>
      <c r="H27" s="8">
        <f t="shared" si="1"/>
        <v>0.45833333333333331</v>
      </c>
      <c r="I27" s="1">
        <v>780</v>
      </c>
      <c r="J27" s="3">
        <f t="shared" si="2"/>
        <v>1.7692307692307694</v>
      </c>
      <c r="K27" s="3">
        <f>ttk_dfs!Q27</f>
        <v>0.92307692307692313</v>
      </c>
      <c r="L27" s="3">
        <f t="shared" si="3"/>
        <v>0.84615384615384626</v>
      </c>
    </row>
    <row r="28" spans="1:12" x14ac:dyDescent="0.3">
      <c r="A28" s="1">
        <v>17</v>
      </c>
      <c r="B28" s="9" t="s">
        <v>60</v>
      </c>
      <c r="C28" s="9"/>
      <c r="D28" s="1">
        <f>ttk_dfs!D28</f>
        <v>21</v>
      </c>
      <c r="E28" s="1">
        <v>50</v>
      </c>
      <c r="F28" s="1">
        <f>ttk_dfs!L28</f>
        <v>10</v>
      </c>
      <c r="G28" s="1">
        <f t="shared" si="0"/>
        <v>40</v>
      </c>
      <c r="H28" s="8">
        <f t="shared" si="1"/>
        <v>0.8</v>
      </c>
      <c r="I28" s="1">
        <v>540</v>
      </c>
      <c r="J28" s="3">
        <f t="shared" si="2"/>
        <v>5.4444444444444438</v>
      </c>
      <c r="K28" s="3">
        <f>ttk_dfs!Q28</f>
        <v>1</v>
      </c>
      <c r="L28" s="3">
        <f t="shared" si="3"/>
        <v>4.4444444444444438</v>
      </c>
    </row>
    <row r="29" spans="1:12" x14ac:dyDescent="0.3">
      <c r="A29" s="9">
        <v>18</v>
      </c>
      <c r="B29" s="9" t="s">
        <v>64</v>
      </c>
      <c r="C29" s="1" t="s">
        <v>66</v>
      </c>
      <c r="D29" s="1">
        <f>ttk_dfs!D29</f>
        <v>50</v>
      </c>
      <c r="E29" s="1">
        <v>8</v>
      </c>
      <c r="F29" s="1">
        <f>ttk_dfs!L29</f>
        <v>4</v>
      </c>
      <c r="G29" s="1">
        <f t="shared" si="0"/>
        <v>4</v>
      </c>
      <c r="H29" s="8">
        <f t="shared" si="1"/>
        <v>0.5</v>
      </c>
      <c r="I29" s="1">
        <v>160</v>
      </c>
      <c r="J29" s="3">
        <f t="shared" si="2"/>
        <v>2.625</v>
      </c>
      <c r="K29" s="3">
        <f>ttk_dfs!Q29</f>
        <v>1.125</v>
      </c>
      <c r="L29" s="3">
        <f t="shared" si="3"/>
        <v>1.5</v>
      </c>
    </row>
    <row r="30" spans="1:12" x14ac:dyDescent="0.3">
      <c r="A30" s="9"/>
      <c r="B30" s="9"/>
      <c r="C30" s="1" t="s">
        <v>67</v>
      </c>
      <c r="D30" s="1">
        <f>ttk_dfs!D30</f>
        <v>50</v>
      </c>
      <c r="E30" s="1">
        <v>10</v>
      </c>
      <c r="F30" s="1">
        <f>ttk_dfs!L30</f>
        <v>4</v>
      </c>
      <c r="G30" s="1">
        <f t="shared" si="0"/>
        <v>6</v>
      </c>
      <c r="H30" s="8">
        <f t="shared" si="1"/>
        <v>0.6</v>
      </c>
      <c r="I30" s="1">
        <v>160</v>
      </c>
      <c r="J30" s="3">
        <f t="shared" si="2"/>
        <v>3.375</v>
      </c>
      <c r="K30" s="3">
        <f>ttk_dfs!Q30</f>
        <v>1.125</v>
      </c>
      <c r="L30" s="3">
        <f t="shared" si="3"/>
        <v>2.25</v>
      </c>
    </row>
    <row r="31" spans="1:12" x14ac:dyDescent="0.3">
      <c r="A31" s="9">
        <v>19</v>
      </c>
      <c r="B31" s="9" t="s">
        <v>65</v>
      </c>
      <c r="C31" s="1" t="s">
        <v>66</v>
      </c>
      <c r="D31" s="1">
        <f>ttk_dfs!D31</f>
        <v>16</v>
      </c>
      <c r="E31" s="1">
        <v>27</v>
      </c>
      <c r="F31" s="1">
        <f>ttk_dfs!L31</f>
        <v>13</v>
      </c>
      <c r="G31" s="1">
        <f t="shared" si="0"/>
        <v>14</v>
      </c>
      <c r="H31" s="8">
        <f t="shared" si="1"/>
        <v>0.51851851851851849</v>
      </c>
      <c r="I31" s="1">
        <v>720</v>
      </c>
      <c r="J31" s="3">
        <f t="shared" si="2"/>
        <v>2.1666666666666665</v>
      </c>
      <c r="K31" s="3">
        <f>ttk_dfs!Q31</f>
        <v>1</v>
      </c>
      <c r="L31" s="3">
        <f t="shared" si="3"/>
        <v>1.1666666666666665</v>
      </c>
    </row>
    <row r="32" spans="1:12" x14ac:dyDescent="0.3">
      <c r="A32" s="9"/>
      <c r="B32" s="9"/>
      <c r="C32" s="1" t="s">
        <v>67</v>
      </c>
      <c r="D32" s="1">
        <f>ttk_dfs!D32</f>
        <v>16</v>
      </c>
      <c r="E32" s="1">
        <v>29</v>
      </c>
      <c r="F32" s="1">
        <f>ttk_dfs!L32</f>
        <v>13</v>
      </c>
      <c r="G32" s="1">
        <f t="shared" si="0"/>
        <v>16</v>
      </c>
      <c r="H32" s="8">
        <f t="shared" si="1"/>
        <v>0.55172413793103448</v>
      </c>
      <c r="I32" s="1">
        <v>720</v>
      </c>
      <c r="J32" s="3">
        <f t="shared" si="2"/>
        <v>2.333333333333333</v>
      </c>
      <c r="K32" s="3">
        <f>ttk_dfs!Q32</f>
        <v>1</v>
      </c>
      <c r="L32" s="3">
        <f t="shared" si="3"/>
        <v>1.333333333333333</v>
      </c>
    </row>
    <row r="33" spans="1:17" x14ac:dyDescent="0.3">
      <c r="A33" s="1">
        <v>20</v>
      </c>
      <c r="B33" s="1" t="s">
        <v>72</v>
      </c>
      <c r="C33" s="1" t="s">
        <v>44</v>
      </c>
      <c r="D33" s="1">
        <f>ttk_dfs!D33</f>
        <v>21</v>
      </c>
      <c r="E33" s="1">
        <v>25</v>
      </c>
      <c r="F33" s="1">
        <f>ttk_dfs!L33</f>
        <v>10</v>
      </c>
      <c r="G33" s="1">
        <f>FLOOR((D33*E33-200)/D33,1)</f>
        <v>15</v>
      </c>
      <c r="H33" s="8">
        <f t="shared" si="1"/>
        <v>0.6</v>
      </c>
      <c r="I33" s="1">
        <v>462</v>
      </c>
      <c r="J33" s="3">
        <f t="shared" si="2"/>
        <v>3.1168831168831166</v>
      </c>
      <c r="K33" s="3">
        <f>ttk_dfs!Q33</f>
        <v>1.1688311688311688</v>
      </c>
      <c r="L33" s="3">
        <f t="shared" si="3"/>
        <v>1.9480519480519478</v>
      </c>
    </row>
    <row r="34" spans="1:17" x14ac:dyDescent="0.3">
      <c r="A34" s="9">
        <v>21</v>
      </c>
      <c r="B34" s="9" t="s">
        <v>74</v>
      </c>
      <c r="C34" s="1" t="s">
        <v>75</v>
      </c>
      <c r="D34" s="1">
        <f>ttk_dfs!D34</f>
        <v>71</v>
      </c>
      <c r="E34" s="1">
        <v>10</v>
      </c>
      <c r="F34" s="1">
        <f>ttk_dfs!L34</f>
        <v>3</v>
      </c>
      <c r="G34" s="1">
        <f t="shared" si="0"/>
        <v>7</v>
      </c>
      <c r="H34" s="8">
        <f t="shared" si="1"/>
        <v>0.7</v>
      </c>
      <c r="I34" s="1">
        <v>105</v>
      </c>
      <c r="J34" s="3">
        <f t="shared" si="2"/>
        <v>5.1428571428571423</v>
      </c>
      <c r="K34" s="3">
        <f>ttk_dfs!Q34</f>
        <v>1.1428571428571428</v>
      </c>
      <c r="L34" s="3">
        <f t="shared" si="3"/>
        <v>3.9999999999999996</v>
      </c>
    </row>
    <row r="35" spans="1:17" x14ac:dyDescent="0.3">
      <c r="A35" s="9"/>
      <c r="B35" s="9"/>
      <c r="C35" s="1" t="s">
        <v>77</v>
      </c>
      <c r="D35" s="1">
        <f>ttk_dfs!D35</f>
        <v>56</v>
      </c>
      <c r="E35" s="1">
        <v>10</v>
      </c>
      <c r="F35" s="1">
        <f>ttk_dfs!L35</f>
        <v>4</v>
      </c>
      <c r="G35" s="1">
        <f t="shared" si="0"/>
        <v>6</v>
      </c>
      <c r="H35" s="8">
        <f t="shared" si="1"/>
        <v>0.6</v>
      </c>
      <c r="I35" s="1">
        <v>140</v>
      </c>
      <c r="J35" s="3">
        <f t="shared" si="2"/>
        <v>3.8571428571428568</v>
      </c>
      <c r="K35" s="3">
        <f>ttk_dfs!Q35</f>
        <v>1.2857142857142856</v>
      </c>
      <c r="L35" s="3">
        <f t="shared" si="3"/>
        <v>2.5714285714285712</v>
      </c>
    </row>
    <row r="36" spans="1:17" x14ac:dyDescent="0.3">
      <c r="A36" s="9">
        <v>22</v>
      </c>
      <c r="B36" s="9" t="s">
        <v>78</v>
      </c>
      <c r="C36" s="1" t="s">
        <v>79</v>
      </c>
      <c r="D36" s="1">
        <f>ttk_dfs!D36</f>
        <v>60</v>
      </c>
      <c r="E36" s="1">
        <v>40</v>
      </c>
      <c r="F36" s="1">
        <f>ttk_dfs!L36</f>
        <v>4</v>
      </c>
      <c r="G36" s="1">
        <f t="shared" si="0"/>
        <v>36</v>
      </c>
      <c r="H36" s="8">
        <f t="shared" si="1"/>
        <v>0.9</v>
      </c>
      <c r="I36" s="1">
        <v>70</v>
      </c>
      <c r="J36" s="3">
        <f t="shared" si="2"/>
        <v>33.428571428571423</v>
      </c>
      <c r="K36" s="3">
        <f>ttk_dfs!Q36</f>
        <v>2.5714285714285712</v>
      </c>
      <c r="L36" s="3">
        <f t="shared" si="3"/>
        <v>30.857142857142854</v>
      </c>
      <c r="M36" s="9" t="s">
        <v>114</v>
      </c>
      <c r="N36" s="9"/>
      <c r="O36" s="9"/>
      <c r="P36" s="9"/>
      <c r="Q36" s="9"/>
    </row>
    <row r="37" spans="1:17" x14ac:dyDescent="0.3">
      <c r="A37" s="9"/>
      <c r="B37" s="9"/>
      <c r="C37" s="1" t="s">
        <v>80</v>
      </c>
      <c r="D37" s="1">
        <f>ttk_dfs!D37</f>
        <v>75</v>
      </c>
      <c r="E37" s="1">
        <v>40</v>
      </c>
      <c r="F37" s="1">
        <f>ttk_dfs!L37</f>
        <v>3</v>
      </c>
      <c r="G37" s="1">
        <f t="shared" si="0"/>
        <v>37</v>
      </c>
      <c r="H37" s="8">
        <f t="shared" si="1"/>
        <v>0.92500000000000004</v>
      </c>
      <c r="I37" s="1">
        <v>70</v>
      </c>
      <c r="J37" s="3">
        <f t="shared" si="2"/>
        <v>33.428571428571423</v>
      </c>
      <c r="K37" s="3">
        <f>ttk_dfs!Q37</f>
        <v>1.7142857142857142</v>
      </c>
      <c r="L37" s="3">
        <f t="shared" si="3"/>
        <v>31.714285714285708</v>
      </c>
      <c r="M37" s="9"/>
      <c r="N37" s="9"/>
      <c r="O37" s="9"/>
      <c r="P37" s="9"/>
      <c r="Q37" s="9"/>
    </row>
    <row r="38" spans="1:17" x14ac:dyDescent="0.3">
      <c r="A38" s="1">
        <v>23</v>
      </c>
      <c r="B38" s="9" t="s">
        <v>81</v>
      </c>
      <c r="C38" s="9"/>
      <c r="D38" s="1">
        <f>ttk_dfs!D38</f>
        <v>33</v>
      </c>
      <c r="E38" s="1">
        <v>16</v>
      </c>
      <c r="F38" s="1">
        <f>ttk_dfs!L38</f>
        <v>7</v>
      </c>
      <c r="G38" s="1">
        <f t="shared" si="0"/>
        <v>9</v>
      </c>
      <c r="H38" s="8">
        <f t="shared" si="1"/>
        <v>0.5625</v>
      </c>
      <c r="I38" s="1">
        <v>246</v>
      </c>
      <c r="J38" s="3">
        <f t="shared" si="2"/>
        <v>3.6585365853658534</v>
      </c>
      <c r="K38" s="3">
        <f>ttk_dfs!Q38</f>
        <v>1.4634146341463414</v>
      </c>
      <c r="L38" s="3">
        <f t="shared" si="3"/>
        <v>2.1951219512195119</v>
      </c>
    </row>
    <row r="39" spans="1:17" x14ac:dyDescent="0.3">
      <c r="A39" s="1">
        <v>24</v>
      </c>
      <c r="B39" s="1" t="s">
        <v>83</v>
      </c>
      <c r="C39" s="1" t="s">
        <v>31</v>
      </c>
      <c r="D39" s="1">
        <f>ttk_dfs!D39</f>
        <v>95</v>
      </c>
      <c r="E39" s="1">
        <v>5</v>
      </c>
      <c r="F39" s="1">
        <f>ttk_dfs!L39</f>
        <v>3</v>
      </c>
      <c r="G39" s="1">
        <f t="shared" si="0"/>
        <v>2</v>
      </c>
      <c r="H39" s="8">
        <f t="shared" si="1"/>
        <v>0.4</v>
      </c>
      <c r="I39" s="1">
        <v>79</v>
      </c>
      <c r="J39" s="3">
        <f t="shared" si="2"/>
        <v>3.037974683544304</v>
      </c>
      <c r="K39" s="3">
        <f>ttk_dfs!Q39</f>
        <v>1.518987341772152</v>
      </c>
      <c r="L39" s="3">
        <f t="shared" si="3"/>
        <v>1.518987341772152</v>
      </c>
    </row>
    <row r="40" spans="1:17" x14ac:dyDescent="0.3">
      <c r="A40" s="9">
        <v>25</v>
      </c>
      <c r="B40" s="9" t="s">
        <v>85</v>
      </c>
      <c r="C40" s="1" t="s">
        <v>86</v>
      </c>
      <c r="D40" s="1">
        <f>ttk_dfs!D40</f>
        <v>66</v>
      </c>
      <c r="E40" s="1">
        <v>10</v>
      </c>
      <c r="F40" s="1">
        <f>ttk_dfs!L40</f>
        <v>4</v>
      </c>
      <c r="G40" s="1">
        <f t="shared" si="0"/>
        <v>6</v>
      </c>
      <c r="H40" s="8">
        <f t="shared" si="1"/>
        <v>0.6</v>
      </c>
      <c r="I40" s="1">
        <v>77</v>
      </c>
      <c r="J40" s="3">
        <f t="shared" si="2"/>
        <v>7.0129870129870131</v>
      </c>
      <c r="K40" s="3">
        <f>ttk_dfs!Q40</f>
        <v>2.337662337662338</v>
      </c>
      <c r="L40" s="3">
        <f t="shared" si="3"/>
        <v>4.6753246753246751</v>
      </c>
    </row>
    <row r="41" spans="1:17" x14ac:dyDescent="0.3">
      <c r="A41" s="9"/>
      <c r="B41" s="9"/>
      <c r="C41" s="1" t="s">
        <v>87</v>
      </c>
      <c r="D41" s="1">
        <f>ttk_dfs!D41</f>
        <v>66</v>
      </c>
      <c r="E41" s="1">
        <v>10</v>
      </c>
      <c r="F41" s="1">
        <f>ttk_dfs!L41</f>
        <v>4</v>
      </c>
      <c r="G41" s="1">
        <f t="shared" si="0"/>
        <v>6</v>
      </c>
      <c r="H41" s="8">
        <f t="shared" si="1"/>
        <v>0.6</v>
      </c>
      <c r="I41" s="1">
        <v>107</v>
      </c>
      <c r="J41" s="3">
        <f t="shared" si="2"/>
        <v>5.0467289719626161</v>
      </c>
      <c r="K41" s="3">
        <f>ttk_dfs!Q41</f>
        <v>1.6822429906542054</v>
      </c>
      <c r="L41" s="3">
        <f t="shared" si="3"/>
        <v>3.3644859813084107</v>
      </c>
    </row>
    <row r="42" spans="1:17" x14ac:dyDescent="0.3">
      <c r="A42" s="9">
        <v>26</v>
      </c>
      <c r="B42" s="9" t="s">
        <v>89</v>
      </c>
      <c r="C42" s="1" t="s">
        <v>44</v>
      </c>
      <c r="D42" s="1">
        <f>ttk_dfs!D42</f>
        <v>75</v>
      </c>
      <c r="E42" s="1">
        <v>9</v>
      </c>
      <c r="F42" s="1">
        <f>ttk_dfs!L42</f>
        <v>3</v>
      </c>
      <c r="G42" s="1">
        <f t="shared" si="0"/>
        <v>6</v>
      </c>
      <c r="H42" s="8">
        <f t="shared" si="1"/>
        <v>0.66666666666666663</v>
      </c>
      <c r="I42" s="1">
        <v>41</v>
      </c>
      <c r="J42" s="3">
        <f t="shared" si="2"/>
        <v>11.707317073170731</v>
      </c>
      <c r="K42" s="3">
        <f>ttk_dfs!Q42</f>
        <v>2.9268292682926829</v>
      </c>
      <c r="L42" s="3">
        <f t="shared" si="3"/>
        <v>8.7804878048780495</v>
      </c>
    </row>
    <row r="43" spans="1:17" x14ac:dyDescent="0.3">
      <c r="A43" s="9"/>
      <c r="B43" s="9"/>
      <c r="C43" s="1" t="s">
        <v>90</v>
      </c>
      <c r="D43" s="1">
        <f>ttk_dfs!D43</f>
        <v>45</v>
      </c>
      <c r="E43" s="1">
        <v>9</v>
      </c>
      <c r="F43" s="1">
        <f>ttk_dfs!L43</f>
        <v>5</v>
      </c>
      <c r="G43" s="1">
        <f t="shared" si="0"/>
        <v>4</v>
      </c>
      <c r="H43" s="8">
        <f t="shared" si="1"/>
        <v>0.44444444444444442</v>
      </c>
      <c r="I43" s="1">
        <v>99</v>
      </c>
      <c r="J43" s="3">
        <f t="shared" si="2"/>
        <v>4.8484848484848486</v>
      </c>
      <c r="K43" s="3">
        <f>ttk_dfs!Q43</f>
        <v>2.4242424242424243</v>
      </c>
      <c r="L43" s="3">
        <f t="shared" si="3"/>
        <v>2.4242424242424243</v>
      </c>
    </row>
    <row r="44" spans="1:17" x14ac:dyDescent="0.3">
      <c r="A44" s="1">
        <v>27</v>
      </c>
      <c r="B44" s="1" t="s">
        <v>93</v>
      </c>
      <c r="C44" s="1" t="s">
        <v>44</v>
      </c>
      <c r="D44" s="1">
        <f>ttk_dfs!D44</f>
        <v>60</v>
      </c>
      <c r="E44" s="1">
        <v>12</v>
      </c>
      <c r="F44" s="1">
        <f>ttk_dfs!L44</f>
        <v>4</v>
      </c>
      <c r="G44" s="1">
        <f t="shared" si="0"/>
        <v>8</v>
      </c>
      <c r="H44" s="8">
        <f t="shared" si="1"/>
        <v>0.66666666666666663</v>
      </c>
      <c r="I44" s="1">
        <v>78</v>
      </c>
      <c r="J44" s="3">
        <f t="shared" si="2"/>
        <v>8.4615384615384617</v>
      </c>
      <c r="K44" s="3">
        <f>ttk_dfs!Q44</f>
        <v>2.3076923076923079</v>
      </c>
      <c r="L44" s="3">
        <f t="shared" si="3"/>
        <v>6.1538461538461533</v>
      </c>
    </row>
    <row r="45" spans="1:17" x14ac:dyDescent="0.3">
      <c r="A45" s="1">
        <v>28</v>
      </c>
      <c r="B45" s="1" t="s">
        <v>95</v>
      </c>
      <c r="C45" s="1" t="s">
        <v>31</v>
      </c>
      <c r="D45" s="1">
        <f>ttk_dfs!D45</f>
        <v>99</v>
      </c>
      <c r="E45" s="1">
        <v>5</v>
      </c>
      <c r="F45" s="1">
        <f>ttk_dfs!L45</f>
        <v>3</v>
      </c>
      <c r="G45" s="1">
        <f t="shared" si="0"/>
        <v>2</v>
      </c>
      <c r="H45" s="8">
        <f t="shared" si="1"/>
        <v>0.4</v>
      </c>
      <c r="I45" s="1">
        <v>57</v>
      </c>
      <c r="J45" s="3">
        <f t="shared" si="2"/>
        <v>4.2105263157894735</v>
      </c>
      <c r="K45" s="3">
        <f>ttk_dfs!Q45</f>
        <v>2.1052631578947367</v>
      </c>
      <c r="L45" s="3">
        <f t="shared" si="3"/>
        <v>2.1052631578947367</v>
      </c>
    </row>
    <row r="46" spans="1:17" x14ac:dyDescent="0.3">
      <c r="A46" s="1">
        <v>29</v>
      </c>
      <c r="B46" s="1" t="s">
        <v>96</v>
      </c>
      <c r="C46" s="1" t="s">
        <v>76</v>
      </c>
      <c r="D46" s="1">
        <f>ttk_dfs!D46</f>
        <v>150</v>
      </c>
      <c r="E46" s="1">
        <v>4</v>
      </c>
      <c r="F46" s="1">
        <f>ttk_dfs!L46</f>
        <v>2</v>
      </c>
      <c r="G46" s="1">
        <f t="shared" si="0"/>
        <v>2</v>
      </c>
      <c r="H46" s="8">
        <f t="shared" si="1"/>
        <v>0.5</v>
      </c>
      <c r="I46" s="1">
        <v>28</v>
      </c>
      <c r="J46" s="3">
        <f t="shared" si="2"/>
        <v>6.4285714285714288</v>
      </c>
      <c r="K46" s="3">
        <f>ttk_dfs!Q46</f>
        <v>2.1428571428571428</v>
      </c>
      <c r="L46" s="3">
        <f t="shared" si="3"/>
        <v>4.2857142857142865</v>
      </c>
    </row>
    <row r="47" spans="1:17" x14ac:dyDescent="0.3">
      <c r="A47" s="9">
        <v>30</v>
      </c>
      <c r="B47" s="9" t="s">
        <v>97</v>
      </c>
      <c r="C47" s="1" t="s">
        <v>44</v>
      </c>
      <c r="D47" s="1">
        <f>ttk_dfs!D47</f>
        <v>70</v>
      </c>
      <c r="E47" s="1">
        <v>7</v>
      </c>
      <c r="F47" s="1">
        <f>ttk_dfs!L47</f>
        <v>3</v>
      </c>
      <c r="G47" s="1">
        <f t="shared" si="0"/>
        <v>4</v>
      </c>
      <c r="H47" s="8">
        <f t="shared" si="1"/>
        <v>0.5714285714285714</v>
      </c>
      <c r="I47" s="1">
        <v>38</v>
      </c>
      <c r="J47" s="3">
        <f t="shared" si="2"/>
        <v>9.473684210526315</v>
      </c>
      <c r="K47" s="3">
        <f>ttk_dfs!Q47</f>
        <v>3.1578947368421053</v>
      </c>
      <c r="L47" s="3">
        <f t="shared" si="3"/>
        <v>6.3157894736842097</v>
      </c>
    </row>
    <row r="48" spans="1:17" x14ac:dyDescent="0.3">
      <c r="A48" s="9"/>
      <c r="B48" s="9"/>
      <c r="C48" s="1" t="s">
        <v>98</v>
      </c>
      <c r="D48" s="1">
        <f>ttk_dfs!D48</f>
        <v>88</v>
      </c>
      <c r="E48" s="1">
        <v>7</v>
      </c>
      <c r="F48" s="1">
        <f>ttk_dfs!L48</f>
        <v>3</v>
      </c>
      <c r="G48" s="1">
        <f t="shared" si="0"/>
        <v>4</v>
      </c>
      <c r="H48" s="8">
        <f t="shared" si="1"/>
        <v>0.5714285714285714</v>
      </c>
      <c r="I48" s="1">
        <v>38</v>
      </c>
      <c r="J48" s="3">
        <f t="shared" si="2"/>
        <v>9.473684210526315</v>
      </c>
      <c r="K48" s="3">
        <f>ttk_dfs!Q48</f>
        <v>3.1578947368421053</v>
      </c>
      <c r="L48" s="3">
        <f t="shared" si="3"/>
        <v>6.3157894736842097</v>
      </c>
    </row>
  </sheetData>
  <mergeCells count="51">
    <mergeCell ref="A1:A3"/>
    <mergeCell ref="B1:C3"/>
    <mergeCell ref="E1:E3"/>
    <mergeCell ref="F1:F3"/>
    <mergeCell ref="H1:H3"/>
    <mergeCell ref="B21:B22"/>
    <mergeCell ref="J1:J3"/>
    <mergeCell ref="B4:C4"/>
    <mergeCell ref="B5:B6"/>
    <mergeCell ref="B8:B9"/>
    <mergeCell ref="B10:C10"/>
    <mergeCell ref="B11:B12"/>
    <mergeCell ref="B14:B15"/>
    <mergeCell ref="B16:C16"/>
    <mergeCell ref="B17:B18"/>
    <mergeCell ref="B19:B20"/>
    <mergeCell ref="B42:B43"/>
    <mergeCell ref="B23:C23"/>
    <mergeCell ref="B24:B25"/>
    <mergeCell ref="B26:C26"/>
    <mergeCell ref="B27:C27"/>
    <mergeCell ref="B28:C28"/>
    <mergeCell ref="B29:B30"/>
    <mergeCell ref="A47:A48"/>
    <mergeCell ref="B47:B48"/>
    <mergeCell ref="A5:A6"/>
    <mergeCell ref="A8:A9"/>
    <mergeCell ref="A11:A12"/>
    <mergeCell ref="A14:A15"/>
    <mergeCell ref="A17:A18"/>
    <mergeCell ref="A19:A20"/>
    <mergeCell ref="A21:A22"/>
    <mergeCell ref="A24:A25"/>
    <mergeCell ref="A29:A30"/>
    <mergeCell ref="B31:B32"/>
    <mergeCell ref="B34:B35"/>
    <mergeCell ref="B36:B37"/>
    <mergeCell ref="B38:C38"/>
    <mergeCell ref="B40:B41"/>
    <mergeCell ref="A31:A32"/>
    <mergeCell ref="A34:A35"/>
    <mergeCell ref="A36:A37"/>
    <mergeCell ref="A40:A41"/>
    <mergeCell ref="A42:A43"/>
    <mergeCell ref="M1:Q3"/>
    <mergeCell ref="M36:Q37"/>
    <mergeCell ref="D1:D3"/>
    <mergeCell ref="G1:G3"/>
    <mergeCell ref="I1:I3"/>
    <mergeCell ref="L1:L3"/>
    <mergeCell ref="K1:K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ttk_dfs</vt:lpstr>
      <vt:lpstr>赛季调整</vt:lpstr>
      <vt:lpstr>容错计算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viter U</cp:lastModifiedBy>
  <dcterms:created xsi:type="dcterms:W3CDTF">2015-06-05T18:19:34Z</dcterms:created>
  <dcterms:modified xsi:type="dcterms:W3CDTF">2026-08-27T07:29:05Z</dcterms:modified>
</cp:coreProperties>
</file>